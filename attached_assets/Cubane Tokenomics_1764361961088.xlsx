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omments1.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upply Charts" sheetId="1" r:id="rId1"/>
    <sheet name="Supply (Allocation &amp; Emissions)" sheetId="2" r:id="rId2"/>
    <sheet name="Airdrop" sheetId="3" state="hidden" r:id="rId3"/>
    <sheet name="Linear Curves" sheetId="4" state="hidden" r:id="rId4"/>
    <sheet name="Sigmoid Curves" sheetId="5" state="hidden" r:id="rId5"/>
  </sheets>
  <definedNames>
    <definedName name="TotalSupply">'Supply (Allocation &amp; Emissions)'!$I$1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G1" authorId="0">
      <text>
        <r>
          <rPr>
            <sz val="10"/>
            <rFont val="SimSun"/>
            <charset val="134"/>
          </rPr>
          <t>Total number of tokens to ever be emitted. Does not currently support infinite or uncapped supply or emissions for longer than 30 years.
Even protocols with tail emissions can make use of this sheet though by entering an approximate total number of tokens that is approached.</t>
        </r>
      </text>
    </comment>
    <comment ref="G2" authorId="0">
      <text>
        <r>
          <rPr>
            <sz val="10"/>
            <rFont val="SimSun"/>
            <charset val="134"/>
          </rPr>
          <t>Check that exactly 100% of tokes have been allocated.</t>
        </r>
      </text>
    </comment>
    <comment ref="G3" authorId="0">
      <text>
        <r>
          <rPr>
            <sz val="10"/>
            <rFont val="SimSun"/>
            <charset val="134"/>
          </rPr>
          <t>Check that all tokens are scheduled to be emitted as expected.</t>
        </r>
      </text>
    </comment>
    <comment ref="H5" authorId="0">
      <text>
        <r>
          <rPr>
            <sz val="10"/>
            <rFont val="SimSun"/>
            <charset val="134"/>
          </rPr>
          <t>The different allocations for the token. To add a new column, simply fill out rows 5-13 for that column.</t>
        </r>
      </text>
    </comment>
    <comment ref="H6" authorId="0">
      <text>
        <r>
          <rPr>
            <sz val="10"/>
            <rFont val="SimSun"/>
            <charset val="134"/>
          </rPr>
          <t>Portion of total supply allocated to this Role.</t>
        </r>
      </text>
    </comment>
    <comment ref="H7" authorId="0">
      <text>
        <r>
          <rPr>
            <sz val="10"/>
            <rFont val="SimSun"/>
            <charset val="134"/>
          </rPr>
          <t>Number of months for tokens to fully vest once they begin vesting.
For example, if Vesting Months is 12 and Delay Months is 6, vesting will not begin until 6 months, and then will take 12 months from that point, finishing after 18 months total.</t>
        </r>
      </text>
    </comment>
    <comment ref="H8" authorId="0">
      <text>
        <r>
          <rPr>
            <sz val="10"/>
            <rFont val="SimSun"/>
            <charset val="134"/>
          </rPr>
          <t>Number of months for tokens to reach the cliff once they begin vesting.
A cliff is an initial discrete "jump" in vested tokens. For example if tokens vest linearly over 12 months, with a 3 month cliff, 0% of tokens vest month 1-2, then 25% are vested as the 3 month cliff is reached, and the remaining 75% vest linearly until month 12.</t>
        </r>
      </text>
    </comment>
    <comment ref="H9" authorId="0">
      <text>
        <r>
          <rPr>
            <sz val="10"/>
            <rFont val="SimSun"/>
            <charset val="134"/>
          </rPr>
          <t>Number of months before vesting begins (ie delayed start vesting).
For example, if Vesting Months is 12 and Delay Months is 6, vesting will not begin until 6 months, and then will take 12 months from that point, finishing after 18 months total.</t>
        </r>
      </text>
    </comment>
    <comment ref="H10" authorId="0">
      <text>
        <r>
          <rPr>
            <sz val="10"/>
            <rFont val="SimSun"/>
            <charset val="134"/>
          </rPr>
          <t>Number of months between tokens vesting. By default tokens vest each 1 month, but setting Spacing Months to 3 results in tokens vesting each quarter.
For example, Vesting Months set to 12, Spacing Months set to 2, tokens will vest each 2 months in 6 token releases in total.</t>
        </r>
      </text>
    </comment>
    <comment ref="H11" authorId="0">
      <text>
        <r>
          <rPr>
            <sz val="10"/>
            <rFont val="SimSun"/>
            <charset val="134"/>
          </rPr>
          <t>Curve type for emissions. Linear curve means that the same portion of tokens vests each month. Sigmoid applies a non-linear curve to emissions. The exact shape of this curve is determined by the two inputs below: Backweight and Slope.
Refer to the 'Curve Calculator' chart to visualize different sigmoid curves.</t>
        </r>
      </text>
    </comment>
    <comment ref="H12" authorId="0">
      <text>
        <r>
          <rPr>
            <sz val="10"/>
            <rFont val="SimSun"/>
            <charset val="134"/>
          </rPr>
          <t>This cell is only applicable when using a Curve Type of Sigmoid.
The number must be &gt;0. The larger this number, all else equal, the heavier share of emissions that occurs towards the end of the vesting schedule.
Refer to the 'Curve Calculator' chart to visualize different sigmoid curves.</t>
        </r>
      </text>
    </comment>
    <comment ref="H13" authorId="0">
      <text>
        <r>
          <rPr>
            <sz val="10"/>
            <rFont val="SimSun"/>
            <charset val="134"/>
          </rPr>
          <t xml:space="preserve">This cell is only applicable when using a Curve Type of Sigmoid.
The number must be &gt;0. The larger this number, all else equal, the closer the curve resembles linear vesting.
Refer to the 'Curve Calculator' chart to visualize different sigmoid curves.
</t>
        </r>
      </text>
    </comment>
    <comment ref="H14" authorId="0">
      <text>
        <r>
          <rPr>
            <sz val="10"/>
            <rFont val="SimSun"/>
            <charset val="134"/>
          </rPr>
          <t>Note this sheet default has 5 years of emissions (60 months). Adding further requires dragging formulas at the bottom of the sheet down further rows.
A maximum of 30 years (360 months) is supported without further customizations.</t>
        </r>
      </text>
    </comment>
    <comment ref="H15" authorId="0">
      <text>
        <r>
          <rPr>
            <sz val="10"/>
            <rFont val="SimSun"/>
            <charset val="134"/>
          </rPr>
          <t>If using spacing between vesting unlocks, the period of time between unlocks must be evenly divisible into the total Vesting Months length.</t>
        </r>
      </text>
    </comment>
    <comment ref="H16" authorId="0">
      <text>
        <r>
          <rPr>
            <sz val="10"/>
            <rFont val="SimSun"/>
            <charset val="134"/>
          </rPr>
          <t>Confirm all expected tokens allocated to this role are emitted (no more and no less).</t>
        </r>
      </text>
    </comment>
  </commentList>
</comments>
</file>

<file path=xl/sharedStrings.xml><?xml version="1.0" encoding="utf-8"?>
<sst xmlns="http://schemas.openxmlformats.org/spreadsheetml/2006/main" count="73" uniqueCount="58">
  <si>
    <t>Total Number of Tokens</t>
  </si>
  <si>
    <t>Total % of Tokens Allocated</t>
  </si>
  <si>
    <t>All Tokens Emitted Check</t>
  </si>
  <si>
    <t>Role</t>
  </si>
  <si>
    <t>Team</t>
  </si>
  <si>
    <t>Foundation</t>
  </si>
  <si>
    <t>Advisors</t>
  </si>
  <si>
    <t>Private Investors</t>
  </si>
  <si>
    <t>Public rounds</t>
  </si>
  <si>
    <t>Community Rewards</t>
  </si>
  <si>
    <t>Ecosystem growth fund</t>
  </si>
  <si>
    <t>Staking</t>
  </si>
  <si>
    <t>Air drops</t>
  </si>
  <si>
    <t>Treasury</t>
  </si>
  <si>
    <t>Testnet Incentive</t>
  </si>
  <si>
    <t>% Allocation</t>
  </si>
  <si>
    <t>Vesting Months</t>
  </si>
  <si>
    <t>Cliff Months</t>
  </si>
  <si>
    <t>Delay Months</t>
  </si>
  <si>
    <t>Spacing Months</t>
  </si>
  <si>
    <t>Curve Type</t>
  </si>
  <si>
    <t>Sigmoid</t>
  </si>
  <si>
    <t>Linear</t>
  </si>
  <si>
    <t>Backweight Factor</t>
  </si>
  <si>
    <t>Slope Factor</t>
  </si>
  <si>
    <t>CHECKS</t>
  </si>
  <si>
    <t>Max Vest</t>
  </si>
  <si>
    <t>Valid Spacing</t>
  </si>
  <si>
    <t>Emitted Check</t>
  </si>
  <si>
    <t>At End of Month...</t>
  </si>
  <si>
    <t>Linear Comparison</t>
  </si>
  <si>
    <t>Linear MoM</t>
  </si>
  <si>
    <t>Emissions MoM</t>
  </si>
  <si>
    <t>Linear Annualized Inflation Rate</t>
  </si>
  <si>
    <t>Annualized Inflation Rate</t>
  </si>
  <si>
    <t>% of Total</t>
  </si>
  <si>
    <t>Total</t>
  </si>
  <si>
    <t>Year</t>
  </si>
  <si>
    <t>Purpose</t>
  </si>
  <si>
    <t>Tokens Distributed Annually</t>
  </si>
  <si>
    <t>Tokens Distributed Monthly</t>
  </si>
  <si>
    <t>Attract Early Users</t>
  </si>
  <si>
    <t>Build Community</t>
  </si>
  <si>
    <t>Strengthen Engagement</t>
  </si>
  <si>
    <t>Sustain Growth</t>
  </si>
  <si>
    <t>Expand Network</t>
  </si>
  <si>
    <t>Reward Contributors</t>
  </si>
  <si>
    <t>Global Scale</t>
  </si>
  <si>
    <t>Maintain Engagement</t>
  </si>
  <si>
    <t>Grow Developer Base</t>
  </si>
  <si>
    <t>Focus on New Markets</t>
  </si>
  <si>
    <t>Support Partnerships</t>
  </si>
  <si>
    <t>Finalize Adoption Efforts</t>
  </si>
  <si>
    <t>Explanation:
First 3 Years (1% Allocation):
Total Tokens: 8,000,000.
Annual Distribution: 2,666,666 tokens/year.
Remaining 9 Years (1.5% Allocation):
Total Tokens: 12,000,000.
Annual Distribution: 1,333,333 tokens/year.  
First 3 Years: 222,222.22 tokens per month.
Next 9 Years: 111,111.11 tokens per month.</t>
  </si>
  <si>
    <t>Unnormalized Value at Start</t>
  </si>
  <si>
    <t>Unnormalized Value at End</t>
  </si>
  <si>
    <t>Range</t>
  </si>
  <si>
    <t>Cumulative Percent of Tokens in Circulation/Vested...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</si>
</sst>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0"/>
      <color rgb="FF000000"/>
      <name val="Arial"/>
      <charset val="134"/>
      <scheme val="minor"/>
    </font>
    <font>
      <sz val="10"/>
      <color theme="1"/>
      <name val="Arial"/>
      <charset val="134"/>
      <scheme val="minor"/>
    </font>
    <font>
      <b/>
      <i/>
      <sz val="10"/>
      <color theme="1"/>
      <name val="Arial"/>
      <charset val="134"/>
      <scheme val="minor"/>
    </font>
    <font>
      <b/>
      <sz val="10"/>
      <color theme="1"/>
      <name val="Arial"/>
      <charset val="134"/>
      <scheme val="minor"/>
    </font>
    <font>
      <b/>
      <sz val="10"/>
      <color theme="1"/>
      <name val="Arial"/>
      <charset val="134"/>
    </font>
    <font>
      <sz val="9"/>
      <color rgb="FF1F1F1F"/>
      <name val="&quot;Google Sans&quot;"/>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SimSun"/>
      <charset val="134"/>
    </font>
  </fonts>
  <fills count="34">
    <fill>
      <patternFill patternType="none"/>
    </fill>
    <fill>
      <patternFill patternType="gray125"/>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8">
    <xf numFmtId="0" fontId="0" fillId="0" borderId="0" xfId="0" applyFont="1" applyAlignment="1"/>
    <xf numFmtId="0" fontId="1" fillId="0" borderId="0" xfId="0" applyFont="1"/>
    <xf numFmtId="0" fontId="1" fillId="0" borderId="0" xfId="0" applyFont="1" applyAlignment="1"/>
    <xf numFmtId="10" fontId="1" fillId="0" borderId="0" xfId="0" applyNumberFormat="1" applyFont="1"/>
    <xf numFmtId="0" fontId="2" fillId="0" borderId="0" xfId="0" applyFont="1" applyAlignment="1"/>
    <xf numFmtId="0" fontId="3" fillId="0" borderId="0" xfId="0" applyFont="1" applyAlignment="1">
      <alignment horizontal="center"/>
    </xf>
    <xf numFmtId="3" fontId="1" fillId="0" borderId="0" xfId="0" applyNumberFormat="1" applyFont="1" applyAlignment="1"/>
    <xf numFmtId="0" fontId="3" fillId="0" borderId="0" xfId="0" applyFont="1" applyAlignment="1"/>
    <xf numFmtId="9" fontId="1" fillId="0" borderId="0" xfId="0" applyNumberFormat="1" applyFont="1" applyAlignment="1"/>
    <xf numFmtId="0" fontId="3" fillId="0" borderId="0" xfId="0" applyFont="1" applyAlignment="1">
      <alignment horizontal="center" textRotation="90"/>
    </xf>
    <xf numFmtId="0" fontId="4" fillId="0" borderId="0" xfId="0" applyFont="1" applyAlignment="1"/>
    <xf numFmtId="3" fontId="1" fillId="0" borderId="0" xfId="0" applyNumberFormat="1" applyFont="1"/>
    <xf numFmtId="3" fontId="1" fillId="0" borderId="0" xfId="0" applyNumberFormat="1" applyFont="1" applyAlignment="1">
      <alignment horizontal="center"/>
    </xf>
    <xf numFmtId="0" fontId="1" fillId="0" borderId="0" xfId="0" applyFont="1" applyAlignment="1">
      <alignment horizontal="center"/>
    </xf>
    <xf numFmtId="10" fontId="1" fillId="0" borderId="0" xfId="0" applyNumberFormat="1" applyFont="1" applyAlignment="1">
      <alignment horizontal="center"/>
    </xf>
    <xf numFmtId="9" fontId="1" fillId="0" borderId="0" xfId="0" applyNumberFormat="1" applyFont="1" applyAlignment="1">
      <alignment horizontal="center"/>
    </xf>
    <xf numFmtId="0" fontId="5" fillId="2" borderId="0" xfId="0" applyFont="1" applyFill="1" applyAlignment="1"/>
    <xf numFmtId="0" fontId="2" fillId="0" borderId="0" xfId="0" applyFont="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fill>
        <patternFill patternType="solid">
          <fgColor rgb="FFB7E1CD"/>
          <bgColor rgb="FFB7E1CD"/>
        </patternFill>
      </fill>
    </dxf>
    <dxf>
      <fill>
        <patternFill patternType="solid">
          <fgColor rgb="FFF4C7C3"/>
          <bgColor rgb="FFF4C7C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0"/>
          <c:dPt>
            <c:idx val="0"/>
            <c:bubble3D val="0"/>
            <c:spPr>
              <a:solidFill>
                <a:srgbClr val="4285F4"/>
              </a:solidFill>
            </c:spPr>
          </c:dPt>
          <c:dPt>
            <c:idx val="1"/>
            <c:bubble3D val="0"/>
            <c:spPr>
              <a:solidFill>
                <a:schemeClr val="tx2">
                  <a:lumMod val="50000"/>
                  <a:lumOff val="50000"/>
                </a:schemeClr>
              </a:solidFill>
            </c:spPr>
          </c:dPt>
          <c:dPt>
            <c:idx val="2"/>
            <c:bubble3D val="0"/>
          </c:dPt>
          <c:dPt>
            <c:idx val="3"/>
            <c:bubble3D val="0"/>
          </c:dPt>
          <c:dPt>
            <c:idx val="4"/>
            <c:bubble3D val="0"/>
          </c:dPt>
          <c:dPt>
            <c:idx val="5"/>
            <c:bubble3D val="0"/>
          </c:dPt>
          <c:dPt>
            <c:idx val="6"/>
            <c:bubble3D val="0"/>
          </c:dPt>
          <c:dPt>
            <c:idx val="7"/>
            <c:bubble3D val="0"/>
          </c:dPt>
          <c:dPt>
            <c:idx val="8"/>
            <c:bubble3D val="0"/>
          </c:dPt>
          <c:dPt>
            <c:idx val="9"/>
            <c:bubble3D val="0"/>
          </c:dPt>
          <c:dPt>
            <c:idx val="10"/>
            <c:bubble3D val="0"/>
          </c:dPt>
          <c:dPt>
            <c:idx val="11"/>
            <c:bubble3D val="0"/>
          </c:dPt>
          <c:dPt>
            <c:idx val="12"/>
            <c:bubble3D val="0"/>
          </c:dPt>
          <c:dPt>
            <c:idx val="13"/>
            <c:bubble3D val="0"/>
          </c:dPt>
          <c:dPt>
            <c:idx val="14"/>
            <c:bubble3D val="0"/>
          </c:dPt>
          <c:dPt>
            <c:idx val="15"/>
            <c:bubble3D val="0"/>
          </c:dPt>
          <c:dPt>
            <c:idx val="16"/>
            <c:bubble3D val="0"/>
          </c:dPt>
          <c:dPt>
            <c:idx val="17"/>
            <c:bubble3D val="0"/>
          </c:dPt>
          <c:dPt>
            <c:idx val="18"/>
            <c:bubble3D val="0"/>
          </c:dPt>
          <c:dPt>
            <c:idx val="19"/>
            <c:bubble3D val="0"/>
          </c:dPt>
          <c:dPt>
            <c:idx val="20"/>
            <c:bubble3D val="0"/>
          </c:dPt>
          <c:dPt>
            <c:idx val="21"/>
            <c:bubble3D val="0"/>
          </c:dPt>
          <c:dPt>
            <c:idx val="22"/>
            <c:bubble3D val="0"/>
          </c:dPt>
          <c:dPt>
            <c:idx val="23"/>
            <c:bubble3D val="0"/>
          </c:dPt>
          <c:dPt>
            <c:idx val="24"/>
            <c:bubble3D val="0"/>
          </c:dPt>
          <c:dLbls>
            <c:delete val="1"/>
          </c:dLbls>
          <c:cat>
            <c:strRef>
              <c:f>'Supply (Allocation &amp; Emissions)'!$I$5:$AG$5</c:f>
              <c:strCache>
                <c:ptCount val="25"/>
                <c:pt idx="0">
                  <c:v>Team</c:v>
                </c:pt>
                <c:pt idx="1">
                  <c:v>Foundation</c:v>
                </c:pt>
                <c:pt idx="2">
                  <c:v>Advisors</c:v>
                </c:pt>
                <c:pt idx="3">
                  <c:v>Private Investors</c:v>
                </c:pt>
                <c:pt idx="4">
                  <c:v>Public rounds</c:v>
                </c:pt>
                <c:pt idx="5">
                  <c:v>Community Rewards</c:v>
                </c:pt>
                <c:pt idx="6">
                  <c:v>Ecosystem growth fund</c:v>
                </c:pt>
                <c:pt idx="7">
                  <c:v>Staking</c:v>
                </c:pt>
                <c:pt idx="8">
                  <c:v>Air drops</c:v>
                </c:pt>
                <c:pt idx="9">
                  <c:v>Treasury</c:v>
                </c:pt>
                <c:pt idx="10">
                  <c:v>Testnet Incentive</c:v>
                </c:pt>
              </c:strCache>
            </c:strRef>
          </c:cat>
          <c:val>
            <c:numRef>
              <c:f>'Supply (Allocation &amp; Emissions)'!$I$6:$AG$6</c:f>
              <c:numCache>
                <c:formatCode>0.00%</c:formatCode>
                <c:ptCount val="25"/>
                <c:pt idx="0">
                  <c:v>0.13</c:v>
                </c:pt>
                <c:pt idx="1">
                  <c:v>0.115</c:v>
                </c:pt>
                <c:pt idx="2">
                  <c:v>0.04</c:v>
                </c:pt>
                <c:pt idx="3">
                  <c:v>0.015</c:v>
                </c:pt>
                <c:pt idx="4">
                  <c:v>0.005</c:v>
                </c:pt>
                <c:pt idx="5">
                  <c:v>0.07</c:v>
                </c:pt>
                <c:pt idx="6">
                  <c:v>0.06</c:v>
                </c:pt>
                <c:pt idx="7">
                  <c:v>0.5</c:v>
                </c:pt>
                <c:pt idx="8">
                  <c:v>0.025</c:v>
                </c:pt>
                <c:pt idx="9">
                  <c:v>0.036</c:v>
                </c:pt>
                <c:pt idx="10">
                  <c:v>0.004</c:v>
                </c:pt>
              </c:numCache>
            </c:numRef>
          </c:val>
        </c:ser>
        <c:dLbls>
          <c:showLegendKey val="0"/>
          <c:showVal val="0"/>
          <c:showCatName val="0"/>
          <c:showSerName val="0"/>
          <c:showPercent val="0"/>
          <c:showBubbleSize val="0"/>
          <c:showLeaderLines val="1"/>
        </c:dLbls>
        <c:firstSliceAng val="0"/>
      </c:pieChart>
    </c:plotArea>
    <c:legend>
      <c:legendPos val="r"/>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egendEntry>
        <c:idx val="23"/>
        <c:delete val="1"/>
      </c:legendEntry>
      <c:legendEntry>
        <c:idx val="24"/>
        <c:delete val="1"/>
      </c:legendEntry>
      <c:layout>
        <c:manualLayout>
          <c:xMode val="edge"/>
          <c:yMode val="edge"/>
          <c:x val="0.751769464105157"/>
          <c:y val="0.0041952174521046"/>
          <c:w val="0.238119312436805"/>
          <c:h val="0.991609565095791"/>
        </c:manualLayout>
      </c:layout>
      <c:overlay val="0"/>
      <c:txPr>
        <a:bodyPr rot="0" spcFirstLastPara="0" vertOverflow="ellipsis" vert="horz" wrap="square" anchor="ctr" anchorCtr="1"/>
        <a:lstStyle/>
        <a:p>
          <a:pPr>
            <a:defRPr lang="en-US" sz="1000" b="1"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ad8cb944-8499-426c-ae7f-4afdceee81b3}"/>
      </c:ext>
    </c:extLst>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863903067309068"/>
          <c:y val="0.0301204819277108"/>
          <c:w val="0.6908839383676"/>
          <c:h val="0.84118291347207"/>
        </c:manualLayout>
      </c:layout>
      <c:areaChart>
        <c:grouping val="stacked"/>
        <c:varyColors val="0"/>
        <c:ser>
          <c:idx val="0"/>
          <c:order val="0"/>
          <c:tx>
            <c:strRef>
              <c:f>'Supply (Allocation &amp; Emissions)'!$I$18</c:f>
              <c:strCache>
                <c:ptCount val="1"/>
                <c:pt idx="0">
                  <c:v>Team</c:v>
                </c:pt>
              </c:strCache>
            </c:strRef>
          </c:tx>
          <c:spPr>
            <a:solidFill>
              <a:srgbClr val="4285F4">
                <a:alpha val="30000"/>
              </a:srgbClr>
            </a:solidFill>
            <a:ln cmpd="sng">
              <a:solidFill>
                <a:srgbClr val="4285F4"/>
              </a:solidFill>
            </a:ln>
          </c:spPr>
          <c:dLbls>
            <c:delete val="1"/>
          </c:dLbls>
          <c:cat>
            <c:numRef>
              <c:f>'Supply (Allocation &amp; Emissions)'!$A$19:$A$139</c:f>
              <c:numCache>
                <c:formatCode>General</c:formatCod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Emissions)'!$I$19:$I$139</c:f>
              <c:numCache>
                <c:formatCode>#,##0</c:formatCode>
                <c:ptCount val="121"/>
                <c:pt idx="0">
                  <c:v>0</c:v>
                </c:pt>
                <c:pt idx="1">
                  <c:v>0</c:v>
                </c:pt>
                <c:pt idx="2">
                  <c:v>0</c:v>
                </c:pt>
                <c:pt idx="3">
                  <c:v>0</c:v>
                </c:pt>
                <c:pt idx="4">
                  <c:v>0</c:v>
                </c:pt>
                <c:pt idx="5">
                  <c:v>0</c:v>
                </c:pt>
                <c:pt idx="6">
                  <c:v>0</c:v>
                </c:pt>
                <c:pt idx="7">
                  <c:v>0</c:v>
                </c:pt>
                <c:pt idx="8">
                  <c:v>0</c:v>
                </c:pt>
                <c:pt idx="9">
                  <c:v>0</c:v>
                </c:pt>
                <c:pt idx="10">
                  <c:v>0</c:v>
                </c:pt>
                <c:pt idx="11">
                  <c:v>0</c:v>
                </c:pt>
                <c:pt idx="12">
                  <c:v>19982378.4506527</c:v>
                </c:pt>
                <c:pt idx="13">
                  <c:v>22104220.960227</c:v>
                </c:pt>
                <c:pt idx="14">
                  <c:v>24389748.610664</c:v>
                </c:pt>
                <c:pt idx="15">
                  <c:v>26838735.7882201</c:v>
                </c:pt>
                <c:pt idx="16">
                  <c:v>29448198.5893937</c:v>
                </c:pt>
                <c:pt idx="17">
                  <c:v>32212091.2016468</c:v>
                </c:pt>
                <c:pt idx="18">
                  <c:v>35121090.4800915</c:v>
                </c:pt>
                <c:pt idx="19">
                  <c:v>38162498.4747794</c:v>
                </c:pt>
                <c:pt idx="20">
                  <c:v>41320288.323687</c:v>
                </c:pt>
                <c:pt idx="21">
                  <c:v>44575310.8187444</c:v>
                </c:pt>
                <c:pt idx="22">
                  <c:v>47905667.3983446</c:v>
                </c:pt>
                <c:pt idx="23">
                  <c:v>51287241.3134247</c:v>
                </c:pt>
                <c:pt idx="24">
                  <c:v>54694363.865398</c:v>
                </c:pt>
                <c:pt idx="25">
                  <c:v>58100578.9294076</c:v>
                </c:pt>
                <c:pt idx="26">
                  <c:v>61479458.5012681</c:v>
                </c:pt>
                <c:pt idx="27">
                  <c:v>64805416.4090398</c:v>
                </c:pt>
                <c:pt idx="28">
                  <c:v>68054467.5333438</c:v>
                </c:pt>
                <c:pt idx="29">
                  <c:v>71204885.8504249</c:v>
                </c:pt>
                <c:pt idx="30">
                  <c:v>74237725.3658301</c:v>
                </c:pt>
                <c:pt idx="31">
                  <c:v>77137181.8377517</c:v>
                </c:pt>
                <c:pt idx="32">
                  <c:v>79890788.041409</c:v>
                </c:pt>
                <c:pt idx="33">
                  <c:v>82489449.2097987</c:v>
                </c:pt>
                <c:pt idx="34">
                  <c:v>84927336.628672</c:v>
                </c:pt>
                <c:pt idx="35">
                  <c:v>87201665.2169137</c:v>
                </c:pt>
                <c:pt idx="36">
                  <c:v>89312385.0095917</c:v>
                </c:pt>
                <c:pt idx="37">
                  <c:v>91261817.0762997</c:v>
                </c:pt>
                <c:pt idx="38">
                  <c:v>93054262.2420726</c:v>
                </c:pt>
                <c:pt idx="39">
                  <c:v>94695606.9100577</c:v>
                </c:pt>
                <c:pt idx="40">
                  <c:v>96192945.1987622</c:v>
                </c:pt>
                <c:pt idx="41">
                  <c:v>97554231.2646079</c:v>
                </c:pt>
                <c:pt idx="42">
                  <c:v>98787970.6548805</c:v>
                </c:pt>
                <c:pt idx="43">
                  <c:v>99902955.19272</c:v>
                </c:pt>
                <c:pt idx="44">
                  <c:v>100908042.414452</c:v>
                </c:pt>
                <c:pt idx="45">
                  <c:v>101811977.994658</c:v>
                </c:pt>
                <c:pt idx="46">
                  <c:v>102623257.840844</c:v>
                </c:pt>
                <c:pt idx="47">
                  <c:v>103350025.495168</c:v>
                </c:pt>
                <c:pt idx="48">
                  <c:v>104000000</c:v>
                </c:pt>
                <c:pt idx="49">
                  <c:v>104000000</c:v>
                </c:pt>
                <c:pt idx="50">
                  <c:v>104000000</c:v>
                </c:pt>
                <c:pt idx="51">
                  <c:v>104000000</c:v>
                </c:pt>
                <c:pt idx="52">
                  <c:v>104000000</c:v>
                </c:pt>
                <c:pt idx="53">
                  <c:v>104000000</c:v>
                </c:pt>
                <c:pt idx="54">
                  <c:v>104000000</c:v>
                </c:pt>
                <c:pt idx="55">
                  <c:v>104000000</c:v>
                </c:pt>
                <c:pt idx="56">
                  <c:v>104000000</c:v>
                </c:pt>
                <c:pt idx="57">
                  <c:v>104000000</c:v>
                </c:pt>
                <c:pt idx="58">
                  <c:v>104000000</c:v>
                </c:pt>
                <c:pt idx="59">
                  <c:v>104000000</c:v>
                </c:pt>
                <c:pt idx="60">
                  <c:v>104000000</c:v>
                </c:pt>
              </c:numCache>
            </c:numRef>
          </c:val>
        </c:ser>
        <c:ser>
          <c:idx val="1"/>
          <c:order val="1"/>
          <c:tx>
            <c:strRef>
              <c:f>'Supply (Allocation &amp; Emissions)'!$J$18</c:f>
              <c:strCache>
                <c:ptCount val="1"/>
                <c:pt idx="0">
                  <c:v>Foundation</c:v>
                </c:pt>
              </c:strCache>
            </c:strRef>
          </c:tx>
          <c:spPr>
            <a:solidFill>
              <a:schemeClr val="tx1">
                <a:lumMod val="50000"/>
                <a:lumOff val="50000"/>
                <a:alpha val="30000"/>
              </a:schemeClr>
            </a:solidFill>
            <a:ln cmpd="sng">
              <a:solidFill>
                <a:srgbClr val="EA4335"/>
              </a:solidFill>
            </a:ln>
          </c:spPr>
          <c:dLbls>
            <c:delete val="1"/>
          </c:dLbls>
          <c:cat>
            <c:numRef>
              <c:f>'Supply (Allocation &amp; Emissions)'!$A$19:$A$139</c:f>
              <c:numCache>
                <c:formatCode>General</c:formatCod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Emissions)'!$J$19:$J$139</c:f>
              <c:numCache>
                <c:formatCode>#,##0</c:formatCode>
                <c:ptCount val="121"/>
                <c:pt idx="0">
                  <c:v>0</c:v>
                </c:pt>
                <c:pt idx="1">
                  <c:v>0</c:v>
                </c:pt>
                <c:pt idx="2">
                  <c:v>0</c:v>
                </c:pt>
                <c:pt idx="3">
                  <c:v>0</c:v>
                </c:pt>
                <c:pt idx="4">
                  <c:v>0</c:v>
                </c:pt>
                <c:pt idx="5">
                  <c:v>0</c:v>
                </c:pt>
                <c:pt idx="6">
                  <c:v>0</c:v>
                </c:pt>
                <c:pt idx="7">
                  <c:v>0</c:v>
                </c:pt>
                <c:pt idx="8">
                  <c:v>0</c:v>
                </c:pt>
                <c:pt idx="9">
                  <c:v>0</c:v>
                </c:pt>
                <c:pt idx="10">
                  <c:v>0</c:v>
                </c:pt>
                <c:pt idx="11">
                  <c:v>0</c:v>
                </c:pt>
                <c:pt idx="12">
                  <c:v>17676719.3986543</c:v>
                </c:pt>
                <c:pt idx="13">
                  <c:v>19553733.9263546</c:v>
                </c:pt>
                <c:pt idx="14">
                  <c:v>21575546.8478951</c:v>
                </c:pt>
                <c:pt idx="15">
                  <c:v>23741958.581887</c:v>
                </c:pt>
                <c:pt idx="16">
                  <c:v>26050329.5213867</c:v>
                </c:pt>
                <c:pt idx="17">
                  <c:v>28495311.4476106</c:v>
                </c:pt>
                <c:pt idx="18">
                  <c:v>31068656.9631579</c:v>
                </c:pt>
                <c:pt idx="19">
                  <c:v>33759133.266151</c:v>
                </c:pt>
                <c:pt idx="20">
                  <c:v>36552562.747877</c:v>
                </c:pt>
                <c:pt idx="21">
                  <c:v>39432005.7242739</c:v>
                </c:pt>
                <c:pt idx="22">
                  <c:v>42378090.3908433</c:v>
                </c:pt>
                <c:pt idx="23">
                  <c:v>45369482.7003373</c:v>
                </c:pt>
                <c:pt idx="24">
                  <c:v>48383475.7270829</c:v>
                </c:pt>
                <c:pt idx="25">
                  <c:v>51396665.9760144</c:v>
                </c:pt>
                <c:pt idx="26">
                  <c:v>54385674.8280448</c:v>
                </c:pt>
                <c:pt idx="27">
                  <c:v>57327868.3618429</c:v>
                </c:pt>
                <c:pt idx="28">
                  <c:v>60202028.9718041</c:v>
                </c:pt>
                <c:pt idx="29">
                  <c:v>62988937.4830682</c:v>
                </c:pt>
                <c:pt idx="30">
                  <c:v>65671833.9774651</c:v>
                </c:pt>
                <c:pt idx="31">
                  <c:v>68236737.7795496</c:v>
                </c:pt>
                <c:pt idx="32">
                  <c:v>70672620.1904772</c:v>
                </c:pt>
                <c:pt idx="33">
                  <c:v>72971435.8394373</c:v>
                </c:pt>
                <c:pt idx="34">
                  <c:v>75128028.556133</c:v>
                </c:pt>
                <c:pt idx="35">
                  <c:v>77139934.6149621</c:v>
                </c:pt>
                <c:pt idx="36">
                  <c:v>79007109.8161772</c:v>
                </c:pt>
                <c:pt idx="37">
                  <c:v>80731607.4136497</c:v>
                </c:pt>
                <c:pt idx="38">
                  <c:v>82317231.9833719</c:v>
                </c:pt>
                <c:pt idx="39">
                  <c:v>83769190.728128</c:v>
                </c:pt>
                <c:pt idx="40">
                  <c:v>85093759.2142896</c:v>
                </c:pt>
                <c:pt idx="41">
                  <c:v>86297973.8109993</c:v>
                </c:pt>
                <c:pt idx="42">
                  <c:v>87389358.6562404</c:v>
                </c:pt>
                <c:pt idx="43">
                  <c:v>88375691.1320215</c:v>
                </c:pt>
                <c:pt idx="44">
                  <c:v>89264806.751246</c:v>
                </c:pt>
                <c:pt idx="45">
                  <c:v>90064442.0721978</c:v>
                </c:pt>
                <c:pt idx="46">
                  <c:v>90782112.7053621</c:v>
                </c:pt>
                <c:pt idx="47">
                  <c:v>91425022.553418</c:v>
                </c:pt>
                <c:pt idx="48">
                  <c:v>92000000</c:v>
                </c:pt>
                <c:pt idx="49">
                  <c:v>92000000</c:v>
                </c:pt>
                <c:pt idx="50">
                  <c:v>92000000</c:v>
                </c:pt>
                <c:pt idx="51">
                  <c:v>92000000</c:v>
                </c:pt>
                <c:pt idx="52">
                  <c:v>92000000</c:v>
                </c:pt>
                <c:pt idx="53">
                  <c:v>92000000</c:v>
                </c:pt>
                <c:pt idx="54">
                  <c:v>92000000</c:v>
                </c:pt>
                <c:pt idx="55">
                  <c:v>92000000</c:v>
                </c:pt>
                <c:pt idx="56">
                  <c:v>92000000</c:v>
                </c:pt>
                <c:pt idx="57">
                  <c:v>92000000</c:v>
                </c:pt>
                <c:pt idx="58">
                  <c:v>92000000</c:v>
                </c:pt>
                <c:pt idx="59">
                  <c:v>92000000</c:v>
                </c:pt>
                <c:pt idx="60">
                  <c:v>92000000</c:v>
                </c:pt>
              </c:numCache>
            </c:numRef>
          </c:val>
        </c:ser>
        <c:ser>
          <c:idx val="2"/>
          <c:order val="2"/>
          <c:tx>
            <c:strRef>
              <c:f>'Supply (Allocation &amp; Emissions)'!$K$18</c:f>
              <c:strCache>
                <c:ptCount val="1"/>
                <c:pt idx="0">
                  <c:v>Advisors</c:v>
                </c:pt>
              </c:strCache>
            </c:strRef>
          </c:tx>
          <c:spPr>
            <a:solidFill>
              <a:srgbClr val="FBBC04">
                <a:alpha val="30000"/>
              </a:srgbClr>
            </a:solidFill>
            <a:ln cmpd="sng">
              <a:solidFill>
                <a:srgbClr val="FBBC04"/>
              </a:solidFill>
            </a:ln>
          </c:spPr>
          <c:dLbls>
            <c:delete val="1"/>
          </c:dLbls>
          <c:cat>
            <c:numRef>
              <c:f>'Supply (Allocation &amp; Emissions)'!$A$19:$A$139</c:f>
              <c:numCache>
                <c:formatCode>General</c:formatCod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Emissions)'!$K$19:$K$139</c:f>
              <c:numCache>
                <c:formatCode>#,##0</c:formatCode>
                <c:ptCount val="121"/>
                <c:pt idx="0">
                  <c:v>0</c:v>
                </c:pt>
                <c:pt idx="1">
                  <c:v>0</c:v>
                </c:pt>
                <c:pt idx="2">
                  <c:v>0</c:v>
                </c:pt>
                <c:pt idx="3">
                  <c:v>0</c:v>
                </c:pt>
                <c:pt idx="4">
                  <c:v>0</c:v>
                </c:pt>
                <c:pt idx="5">
                  <c:v>0</c:v>
                </c:pt>
                <c:pt idx="6">
                  <c:v>8000000</c:v>
                </c:pt>
                <c:pt idx="7">
                  <c:v>9333333.33333333</c:v>
                </c:pt>
                <c:pt idx="8">
                  <c:v>10666666.6666667</c:v>
                </c:pt>
                <c:pt idx="9">
                  <c:v>12000000</c:v>
                </c:pt>
                <c:pt idx="10">
                  <c:v>13333333.3333333</c:v>
                </c:pt>
                <c:pt idx="11">
                  <c:v>14666666.6666667</c:v>
                </c:pt>
                <c:pt idx="12">
                  <c:v>16000000</c:v>
                </c:pt>
                <c:pt idx="13">
                  <c:v>17333333.3333333</c:v>
                </c:pt>
                <c:pt idx="14">
                  <c:v>18666666.6666667</c:v>
                </c:pt>
                <c:pt idx="15">
                  <c:v>20000000</c:v>
                </c:pt>
                <c:pt idx="16">
                  <c:v>21333333.3333333</c:v>
                </c:pt>
                <c:pt idx="17">
                  <c:v>22666666.6666667</c:v>
                </c:pt>
                <c:pt idx="18">
                  <c:v>24000000</c:v>
                </c:pt>
                <c:pt idx="19">
                  <c:v>25333333.3333333</c:v>
                </c:pt>
                <c:pt idx="20">
                  <c:v>26666666.6666667</c:v>
                </c:pt>
                <c:pt idx="21">
                  <c:v>28000000</c:v>
                </c:pt>
                <c:pt idx="22">
                  <c:v>29333333.3333333</c:v>
                </c:pt>
                <c:pt idx="23">
                  <c:v>30666666.6666667</c:v>
                </c:pt>
                <c:pt idx="24">
                  <c:v>32000000</c:v>
                </c:pt>
                <c:pt idx="25">
                  <c:v>32000000</c:v>
                </c:pt>
                <c:pt idx="26">
                  <c:v>32000000</c:v>
                </c:pt>
                <c:pt idx="27">
                  <c:v>32000000</c:v>
                </c:pt>
                <c:pt idx="28">
                  <c:v>32000000</c:v>
                </c:pt>
                <c:pt idx="29">
                  <c:v>32000000</c:v>
                </c:pt>
                <c:pt idx="30">
                  <c:v>32000000</c:v>
                </c:pt>
                <c:pt idx="31">
                  <c:v>32000000</c:v>
                </c:pt>
                <c:pt idx="32">
                  <c:v>32000000</c:v>
                </c:pt>
                <c:pt idx="33">
                  <c:v>32000000</c:v>
                </c:pt>
                <c:pt idx="34">
                  <c:v>32000000</c:v>
                </c:pt>
                <c:pt idx="35">
                  <c:v>32000000</c:v>
                </c:pt>
                <c:pt idx="36">
                  <c:v>32000000</c:v>
                </c:pt>
                <c:pt idx="37">
                  <c:v>32000000</c:v>
                </c:pt>
                <c:pt idx="38">
                  <c:v>32000000</c:v>
                </c:pt>
                <c:pt idx="39">
                  <c:v>32000000</c:v>
                </c:pt>
                <c:pt idx="40">
                  <c:v>32000000</c:v>
                </c:pt>
                <c:pt idx="41">
                  <c:v>32000000</c:v>
                </c:pt>
                <c:pt idx="42">
                  <c:v>32000000</c:v>
                </c:pt>
                <c:pt idx="43">
                  <c:v>32000000</c:v>
                </c:pt>
                <c:pt idx="44">
                  <c:v>32000000</c:v>
                </c:pt>
                <c:pt idx="45">
                  <c:v>32000000</c:v>
                </c:pt>
                <c:pt idx="46">
                  <c:v>32000000</c:v>
                </c:pt>
                <c:pt idx="47">
                  <c:v>32000000</c:v>
                </c:pt>
                <c:pt idx="48">
                  <c:v>32000000</c:v>
                </c:pt>
                <c:pt idx="49">
                  <c:v>32000000</c:v>
                </c:pt>
                <c:pt idx="50">
                  <c:v>32000000</c:v>
                </c:pt>
                <c:pt idx="51">
                  <c:v>32000000</c:v>
                </c:pt>
                <c:pt idx="52">
                  <c:v>32000000</c:v>
                </c:pt>
                <c:pt idx="53">
                  <c:v>32000000</c:v>
                </c:pt>
                <c:pt idx="54">
                  <c:v>32000000</c:v>
                </c:pt>
                <c:pt idx="55">
                  <c:v>32000000</c:v>
                </c:pt>
                <c:pt idx="56">
                  <c:v>32000000</c:v>
                </c:pt>
                <c:pt idx="57">
                  <c:v>32000000</c:v>
                </c:pt>
                <c:pt idx="58">
                  <c:v>32000000</c:v>
                </c:pt>
                <c:pt idx="59">
                  <c:v>32000000</c:v>
                </c:pt>
                <c:pt idx="60">
                  <c:v>32000000</c:v>
                </c:pt>
              </c:numCache>
            </c:numRef>
          </c:val>
        </c:ser>
        <c:ser>
          <c:idx val="3"/>
          <c:order val="3"/>
          <c:tx>
            <c:strRef>
              <c:f>'Supply (Allocation &amp; Emissions)'!$L$18</c:f>
              <c:strCache>
                <c:ptCount val="1"/>
                <c:pt idx="0">
                  <c:v>Private Investors</c:v>
                </c:pt>
              </c:strCache>
            </c:strRef>
          </c:tx>
          <c:spPr>
            <a:solidFill>
              <a:srgbClr val="34A853">
                <a:alpha val="30000"/>
              </a:srgbClr>
            </a:solidFill>
            <a:ln cmpd="sng">
              <a:solidFill>
                <a:srgbClr val="34A853"/>
              </a:solidFill>
            </a:ln>
          </c:spPr>
          <c:dLbls>
            <c:delete val="1"/>
          </c:dLbls>
          <c:cat>
            <c:numRef>
              <c:f>'Supply (Allocation &amp; Emissions)'!$A$19:$A$139</c:f>
              <c:numCache>
                <c:formatCode>General</c:formatCod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Emissions)'!$L$19:$L$139</c:f>
              <c:numCache>
                <c:formatCode>#,##0</c:formatCode>
                <c:ptCount val="121"/>
                <c:pt idx="0">
                  <c:v>0</c:v>
                </c:pt>
                <c:pt idx="1">
                  <c:v>0</c:v>
                </c:pt>
                <c:pt idx="2">
                  <c:v>0</c:v>
                </c:pt>
                <c:pt idx="3">
                  <c:v>0</c:v>
                </c:pt>
                <c:pt idx="4">
                  <c:v>0</c:v>
                </c:pt>
                <c:pt idx="5">
                  <c:v>0</c:v>
                </c:pt>
                <c:pt idx="6">
                  <c:v>0</c:v>
                </c:pt>
                <c:pt idx="7">
                  <c:v>0</c:v>
                </c:pt>
                <c:pt idx="8">
                  <c:v>0</c:v>
                </c:pt>
                <c:pt idx="9">
                  <c:v>0</c:v>
                </c:pt>
                <c:pt idx="10">
                  <c:v>0</c:v>
                </c:pt>
                <c:pt idx="11">
                  <c:v>0</c:v>
                </c:pt>
                <c:pt idx="12">
                  <c:v>5140013.2358948</c:v>
                </c:pt>
                <c:pt idx="13">
                  <c:v>5739730.5530691</c:v>
                </c:pt>
                <c:pt idx="14">
                  <c:v>6345934.93411836</c:v>
                </c:pt>
                <c:pt idx="15">
                  <c:v>6946613.00009527</c:v>
                </c:pt>
                <c:pt idx="16">
                  <c:v>7530182.76040048</c:v>
                </c:pt>
                <c:pt idx="17">
                  <c:v>8086360.87722438</c:v>
                </c:pt>
                <c:pt idx="18">
                  <c:v>8606827.11633094</c:v>
                </c:pt>
                <c:pt idx="19">
                  <c:v>9085605.37141997</c:v>
                </c:pt>
                <c:pt idx="20">
                  <c:v>9519146.65545466</c:v>
                </c:pt>
                <c:pt idx="21">
                  <c:v>9906157.30301201</c:v>
                </c:pt>
                <c:pt idx="22">
                  <c:v>10247250.7394963</c:v>
                </c:pt>
                <c:pt idx="23">
                  <c:v>10544510.1803938</c:v>
                </c:pt>
                <c:pt idx="24">
                  <c:v>10801038.2549343</c:v>
                </c:pt>
                <c:pt idx="25">
                  <c:v>11020547.4738157</c:v>
                </c:pt>
                <c:pt idx="26">
                  <c:v>11207021.5964802</c:v>
                </c:pt>
                <c:pt idx="27">
                  <c:v>11364458.0272714</c:v>
                </c:pt>
                <c:pt idx="28">
                  <c:v>11496687.6819268</c:v>
                </c:pt>
                <c:pt idx="29">
                  <c:v>11607261.1661422</c:v>
                </c:pt>
                <c:pt idx="30">
                  <c:v>11699387.2223614</c:v>
                </c:pt>
                <c:pt idx="31">
                  <c:v>11775909.570712</c:v>
                </c:pt>
                <c:pt idx="32">
                  <c:v>11839310.0691856</c:v>
                </c:pt>
                <c:pt idx="33">
                  <c:v>11891728.5343676</c:v>
                </c:pt>
                <c:pt idx="34">
                  <c:v>11934991.983592</c:v>
                </c:pt>
                <c:pt idx="35">
                  <c:v>11970648.172737</c:v>
                </c:pt>
                <c:pt idx="36">
                  <c:v>12000000</c:v>
                </c:pt>
                <c:pt idx="37">
                  <c:v>12000000</c:v>
                </c:pt>
                <c:pt idx="38">
                  <c:v>12000000</c:v>
                </c:pt>
                <c:pt idx="39">
                  <c:v>12000000</c:v>
                </c:pt>
                <c:pt idx="40">
                  <c:v>12000000</c:v>
                </c:pt>
                <c:pt idx="41">
                  <c:v>12000000</c:v>
                </c:pt>
                <c:pt idx="42">
                  <c:v>12000000</c:v>
                </c:pt>
                <c:pt idx="43">
                  <c:v>12000000</c:v>
                </c:pt>
                <c:pt idx="44">
                  <c:v>12000000</c:v>
                </c:pt>
                <c:pt idx="45">
                  <c:v>12000000</c:v>
                </c:pt>
                <c:pt idx="46">
                  <c:v>12000000</c:v>
                </c:pt>
                <c:pt idx="47">
                  <c:v>12000000</c:v>
                </c:pt>
                <c:pt idx="48">
                  <c:v>12000000</c:v>
                </c:pt>
                <c:pt idx="49">
                  <c:v>12000000</c:v>
                </c:pt>
                <c:pt idx="50">
                  <c:v>12000000</c:v>
                </c:pt>
                <c:pt idx="51">
                  <c:v>12000000</c:v>
                </c:pt>
                <c:pt idx="52">
                  <c:v>12000000</c:v>
                </c:pt>
                <c:pt idx="53">
                  <c:v>12000000</c:v>
                </c:pt>
                <c:pt idx="54">
                  <c:v>12000000</c:v>
                </c:pt>
                <c:pt idx="55">
                  <c:v>12000000</c:v>
                </c:pt>
                <c:pt idx="56">
                  <c:v>12000000</c:v>
                </c:pt>
                <c:pt idx="57">
                  <c:v>12000000</c:v>
                </c:pt>
                <c:pt idx="58">
                  <c:v>12000000</c:v>
                </c:pt>
                <c:pt idx="59">
                  <c:v>12000000</c:v>
                </c:pt>
                <c:pt idx="60">
                  <c:v>12000000</c:v>
                </c:pt>
              </c:numCache>
            </c:numRef>
          </c:val>
        </c:ser>
        <c:ser>
          <c:idx val="4"/>
          <c:order val="4"/>
          <c:tx>
            <c:strRef>
              <c:f>'Supply (Allocation &amp; Emissions)'!$M$18</c:f>
              <c:strCache>
                <c:ptCount val="1"/>
                <c:pt idx="0">
                  <c:v>Public rounds</c:v>
                </c:pt>
              </c:strCache>
            </c:strRef>
          </c:tx>
          <c:spPr>
            <a:solidFill>
              <a:srgbClr val="FF6D01">
                <a:alpha val="30000"/>
              </a:srgbClr>
            </a:solidFill>
            <a:ln cmpd="sng">
              <a:solidFill>
                <a:srgbClr val="FF6D01"/>
              </a:solidFill>
            </a:ln>
          </c:spPr>
          <c:dLbls>
            <c:delete val="1"/>
          </c:dLbls>
          <c:cat>
            <c:numRef>
              <c:f>'Supply (Allocation &amp; Emissions)'!$A$19:$A$139</c:f>
              <c:numCache>
                <c:formatCode>General</c:formatCod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Emissions)'!$M$19:$M$139</c:f>
              <c:numCache>
                <c:formatCode>#,##0</c:formatCode>
                <c:ptCount val="121"/>
                <c:pt idx="0">
                  <c:v>0</c:v>
                </c:pt>
                <c:pt idx="1">
                  <c:v>0</c:v>
                </c:pt>
                <c:pt idx="2">
                  <c:v>0</c:v>
                </c:pt>
                <c:pt idx="3">
                  <c:v>0</c:v>
                </c:pt>
                <c:pt idx="4">
                  <c:v>0</c:v>
                </c:pt>
                <c:pt idx="5">
                  <c:v>0</c:v>
                </c:pt>
                <c:pt idx="6">
                  <c:v>814399.334933671</c:v>
                </c:pt>
                <c:pt idx="7">
                  <c:v>956337.172882254</c:v>
                </c:pt>
                <c:pt idx="8">
                  <c:v>1115512.74326951</c:v>
                </c:pt>
                <c:pt idx="9">
                  <c:v>1291509.22863125</c:v>
                </c:pt>
                <c:pt idx="10">
                  <c:v>1483082.98512065</c:v>
                </c:pt>
                <c:pt idx="11">
                  <c:v>1688093.48188511</c:v>
                </c:pt>
                <c:pt idx="12">
                  <c:v>1903525.61099268</c:v>
                </c:pt>
                <c:pt idx="13">
                  <c:v>2125621.78471944</c:v>
                </c:pt>
                <c:pt idx="14">
                  <c:v>2350120.34374355</c:v>
                </c:pt>
                <c:pt idx="15">
                  <c:v>2572572.31615555</c:v>
                </c:pt>
                <c:pt idx="16">
                  <c:v>2788688.48814989</c:v>
                </c:pt>
                <c:pt idx="17">
                  <c:v>2994660.58220106</c:v>
                </c:pt>
                <c:pt idx="18">
                  <c:v>3187407.32629069</c:v>
                </c:pt>
                <c:pt idx="19">
                  <c:v>3364715.56047654</c:v>
                </c:pt>
                <c:pt idx="20">
                  <c:v>3525270.97146645</c:v>
                </c:pt>
                <c:pt idx="21">
                  <c:v>3668594.4699757</c:v>
                </c:pt>
                <c:pt idx="22">
                  <c:v>3794913.22875927</c:v>
                </c:pt>
                <c:pt idx="23">
                  <c:v>3904998.73494167</c:v>
                </c:pt>
                <c:pt idx="24">
                  <c:v>4000000</c:v>
                </c:pt>
                <c:pt idx="25">
                  <c:v>4000000</c:v>
                </c:pt>
                <c:pt idx="26">
                  <c:v>4000000</c:v>
                </c:pt>
                <c:pt idx="27">
                  <c:v>4000000</c:v>
                </c:pt>
                <c:pt idx="28">
                  <c:v>4000000</c:v>
                </c:pt>
                <c:pt idx="29">
                  <c:v>4000000</c:v>
                </c:pt>
                <c:pt idx="30">
                  <c:v>4000000</c:v>
                </c:pt>
                <c:pt idx="31">
                  <c:v>4000000</c:v>
                </c:pt>
                <c:pt idx="32">
                  <c:v>4000000</c:v>
                </c:pt>
                <c:pt idx="33">
                  <c:v>4000000</c:v>
                </c:pt>
                <c:pt idx="34">
                  <c:v>4000000</c:v>
                </c:pt>
                <c:pt idx="35">
                  <c:v>4000000</c:v>
                </c:pt>
                <c:pt idx="36">
                  <c:v>4000000</c:v>
                </c:pt>
                <c:pt idx="37">
                  <c:v>4000000</c:v>
                </c:pt>
                <c:pt idx="38">
                  <c:v>4000000</c:v>
                </c:pt>
                <c:pt idx="39">
                  <c:v>4000000</c:v>
                </c:pt>
                <c:pt idx="40">
                  <c:v>4000000</c:v>
                </c:pt>
                <c:pt idx="41">
                  <c:v>4000000</c:v>
                </c:pt>
                <c:pt idx="42">
                  <c:v>4000000</c:v>
                </c:pt>
                <c:pt idx="43">
                  <c:v>4000000</c:v>
                </c:pt>
                <c:pt idx="44">
                  <c:v>4000000</c:v>
                </c:pt>
                <c:pt idx="45">
                  <c:v>4000000</c:v>
                </c:pt>
                <c:pt idx="46">
                  <c:v>4000000</c:v>
                </c:pt>
                <c:pt idx="47">
                  <c:v>4000000</c:v>
                </c:pt>
                <c:pt idx="48">
                  <c:v>4000000</c:v>
                </c:pt>
                <c:pt idx="49">
                  <c:v>4000000</c:v>
                </c:pt>
                <c:pt idx="50">
                  <c:v>4000000</c:v>
                </c:pt>
                <c:pt idx="51">
                  <c:v>4000000</c:v>
                </c:pt>
                <c:pt idx="52">
                  <c:v>4000000</c:v>
                </c:pt>
                <c:pt idx="53">
                  <c:v>4000000</c:v>
                </c:pt>
                <c:pt idx="54">
                  <c:v>4000000</c:v>
                </c:pt>
                <c:pt idx="55">
                  <c:v>4000000</c:v>
                </c:pt>
                <c:pt idx="56">
                  <c:v>4000000</c:v>
                </c:pt>
                <c:pt idx="57">
                  <c:v>4000000</c:v>
                </c:pt>
                <c:pt idx="58">
                  <c:v>4000000</c:v>
                </c:pt>
                <c:pt idx="59">
                  <c:v>4000000</c:v>
                </c:pt>
                <c:pt idx="60">
                  <c:v>4000000</c:v>
                </c:pt>
              </c:numCache>
            </c:numRef>
          </c:val>
        </c:ser>
        <c:ser>
          <c:idx val="5"/>
          <c:order val="5"/>
          <c:tx>
            <c:strRef>
              <c:f>'Supply (Allocation &amp; Emissions)'!$N$18</c:f>
              <c:strCache>
                <c:ptCount val="1"/>
                <c:pt idx="0">
                  <c:v>Community Rewards</c:v>
                </c:pt>
              </c:strCache>
            </c:strRef>
          </c:tx>
          <c:spPr>
            <a:solidFill>
              <a:srgbClr val="46BDC6">
                <a:alpha val="30000"/>
              </a:srgbClr>
            </a:solidFill>
            <a:ln cmpd="sng">
              <a:solidFill>
                <a:srgbClr val="46BDC6"/>
              </a:solidFill>
            </a:ln>
          </c:spPr>
          <c:dLbls>
            <c:delete val="1"/>
          </c:dLbls>
          <c:cat>
            <c:numRef>
              <c:f>'Supply (Allocation &amp; Emissions)'!$A$19:$A$139</c:f>
              <c:numCache>
                <c:formatCode>General</c:formatCod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Emissions)'!$N$19:$N$139</c:f>
              <c:numCache>
                <c:formatCode>#,##0</c:formatCode>
                <c:ptCount val="121"/>
                <c:pt idx="0">
                  <c:v>0</c:v>
                </c:pt>
                <c:pt idx="1">
                  <c:v>28000000</c:v>
                </c:pt>
                <c:pt idx="2">
                  <c:v>56000000</c:v>
                </c:pt>
                <c:pt idx="3">
                  <c:v>56000000</c:v>
                </c:pt>
                <c:pt idx="4">
                  <c:v>56000000</c:v>
                </c:pt>
                <c:pt idx="5">
                  <c:v>56000000</c:v>
                </c:pt>
                <c:pt idx="6">
                  <c:v>56000000</c:v>
                </c:pt>
                <c:pt idx="7">
                  <c:v>56000000</c:v>
                </c:pt>
                <c:pt idx="8">
                  <c:v>56000000</c:v>
                </c:pt>
                <c:pt idx="9">
                  <c:v>56000000</c:v>
                </c:pt>
                <c:pt idx="10">
                  <c:v>56000000</c:v>
                </c:pt>
                <c:pt idx="11">
                  <c:v>56000000</c:v>
                </c:pt>
                <c:pt idx="12">
                  <c:v>56000000</c:v>
                </c:pt>
                <c:pt idx="13">
                  <c:v>56000000</c:v>
                </c:pt>
                <c:pt idx="14">
                  <c:v>56000000</c:v>
                </c:pt>
                <c:pt idx="15">
                  <c:v>56000000</c:v>
                </c:pt>
                <c:pt idx="16">
                  <c:v>56000000</c:v>
                </c:pt>
                <c:pt idx="17">
                  <c:v>56000000</c:v>
                </c:pt>
                <c:pt idx="18">
                  <c:v>56000000</c:v>
                </c:pt>
                <c:pt idx="19">
                  <c:v>56000000</c:v>
                </c:pt>
                <c:pt idx="20">
                  <c:v>56000000</c:v>
                </c:pt>
                <c:pt idx="21">
                  <c:v>56000000</c:v>
                </c:pt>
                <c:pt idx="22">
                  <c:v>56000000</c:v>
                </c:pt>
                <c:pt idx="23">
                  <c:v>56000000</c:v>
                </c:pt>
                <c:pt idx="24">
                  <c:v>56000000</c:v>
                </c:pt>
                <c:pt idx="25">
                  <c:v>56000000</c:v>
                </c:pt>
                <c:pt idx="26">
                  <c:v>56000000</c:v>
                </c:pt>
                <c:pt idx="27">
                  <c:v>56000000</c:v>
                </c:pt>
                <c:pt idx="28">
                  <c:v>56000000</c:v>
                </c:pt>
                <c:pt idx="29">
                  <c:v>56000000</c:v>
                </c:pt>
                <c:pt idx="30">
                  <c:v>56000000</c:v>
                </c:pt>
                <c:pt idx="31">
                  <c:v>56000000</c:v>
                </c:pt>
                <c:pt idx="32">
                  <c:v>56000000</c:v>
                </c:pt>
                <c:pt idx="33">
                  <c:v>56000000</c:v>
                </c:pt>
                <c:pt idx="34">
                  <c:v>56000000</c:v>
                </c:pt>
                <c:pt idx="35">
                  <c:v>56000000</c:v>
                </c:pt>
                <c:pt idx="36">
                  <c:v>56000000</c:v>
                </c:pt>
                <c:pt idx="37">
                  <c:v>56000000</c:v>
                </c:pt>
                <c:pt idx="38">
                  <c:v>56000000</c:v>
                </c:pt>
                <c:pt idx="39">
                  <c:v>56000000</c:v>
                </c:pt>
                <c:pt idx="40">
                  <c:v>56000000</c:v>
                </c:pt>
                <c:pt idx="41">
                  <c:v>56000000</c:v>
                </c:pt>
                <c:pt idx="42">
                  <c:v>56000000</c:v>
                </c:pt>
                <c:pt idx="43">
                  <c:v>56000000</c:v>
                </c:pt>
                <c:pt idx="44">
                  <c:v>56000000</c:v>
                </c:pt>
                <c:pt idx="45">
                  <c:v>56000000</c:v>
                </c:pt>
                <c:pt idx="46">
                  <c:v>56000000</c:v>
                </c:pt>
                <c:pt idx="47">
                  <c:v>56000000</c:v>
                </c:pt>
                <c:pt idx="48">
                  <c:v>56000000</c:v>
                </c:pt>
                <c:pt idx="49">
                  <c:v>56000000</c:v>
                </c:pt>
                <c:pt idx="50">
                  <c:v>56000000</c:v>
                </c:pt>
                <c:pt idx="51">
                  <c:v>56000000</c:v>
                </c:pt>
                <c:pt idx="52">
                  <c:v>56000000</c:v>
                </c:pt>
                <c:pt idx="53">
                  <c:v>56000000</c:v>
                </c:pt>
                <c:pt idx="54">
                  <c:v>56000000</c:v>
                </c:pt>
                <c:pt idx="55">
                  <c:v>56000000</c:v>
                </c:pt>
                <c:pt idx="56">
                  <c:v>56000000</c:v>
                </c:pt>
                <c:pt idx="57">
                  <c:v>56000000</c:v>
                </c:pt>
                <c:pt idx="58">
                  <c:v>56000000</c:v>
                </c:pt>
                <c:pt idx="59">
                  <c:v>56000000</c:v>
                </c:pt>
                <c:pt idx="60">
                  <c:v>56000000</c:v>
                </c:pt>
              </c:numCache>
            </c:numRef>
          </c:val>
        </c:ser>
        <c:ser>
          <c:idx val="6"/>
          <c:order val="6"/>
          <c:tx>
            <c:strRef>
              <c:f>'Supply (Allocation &amp; Emissions)'!$O$18</c:f>
              <c:strCache>
                <c:ptCount val="1"/>
                <c:pt idx="0">
                  <c:v>Ecosystem growth fund</c:v>
                </c:pt>
              </c:strCache>
            </c:strRef>
          </c:tx>
          <c:spPr>
            <a:solidFill>
              <a:srgbClr val="7BAAF7">
                <a:alpha val="30000"/>
              </a:srgbClr>
            </a:solidFill>
            <a:ln cmpd="sng">
              <a:solidFill>
                <a:srgbClr val="7BAAF7"/>
              </a:solidFill>
            </a:ln>
          </c:spPr>
          <c:dLbls>
            <c:delete val="1"/>
          </c:dLbls>
          <c:cat>
            <c:numRef>
              <c:f>'Supply (Allocation &amp; Emissions)'!$A$19:$A$139</c:f>
              <c:numCache>
                <c:formatCode>General</c:formatCod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Emissions)'!$O$19:$O$139</c:f>
              <c:numCache>
                <c:formatCode>#,##0</c:formatCode>
                <c:ptCount val="121"/>
                <c:pt idx="0">
                  <c:v>0</c:v>
                </c:pt>
                <c:pt idx="1">
                  <c:v>8000000</c:v>
                </c:pt>
                <c:pt idx="2">
                  <c:v>16000000</c:v>
                </c:pt>
                <c:pt idx="3">
                  <c:v>24000000</c:v>
                </c:pt>
                <c:pt idx="4">
                  <c:v>32000000</c:v>
                </c:pt>
                <c:pt idx="5">
                  <c:v>40000000</c:v>
                </c:pt>
                <c:pt idx="6">
                  <c:v>48000000</c:v>
                </c:pt>
                <c:pt idx="7">
                  <c:v>48000000</c:v>
                </c:pt>
                <c:pt idx="8">
                  <c:v>48000000</c:v>
                </c:pt>
                <c:pt idx="9">
                  <c:v>48000000</c:v>
                </c:pt>
                <c:pt idx="10">
                  <c:v>48000000</c:v>
                </c:pt>
                <c:pt idx="11">
                  <c:v>48000000</c:v>
                </c:pt>
                <c:pt idx="12">
                  <c:v>48000000</c:v>
                </c:pt>
                <c:pt idx="13">
                  <c:v>48000000</c:v>
                </c:pt>
                <c:pt idx="14">
                  <c:v>48000000</c:v>
                </c:pt>
                <c:pt idx="15">
                  <c:v>48000000</c:v>
                </c:pt>
                <c:pt idx="16">
                  <c:v>48000000</c:v>
                </c:pt>
                <c:pt idx="17">
                  <c:v>48000000</c:v>
                </c:pt>
                <c:pt idx="18">
                  <c:v>48000000</c:v>
                </c:pt>
                <c:pt idx="19">
                  <c:v>48000000</c:v>
                </c:pt>
                <c:pt idx="20">
                  <c:v>48000000</c:v>
                </c:pt>
                <c:pt idx="21">
                  <c:v>48000000</c:v>
                </c:pt>
                <c:pt idx="22">
                  <c:v>48000000</c:v>
                </c:pt>
                <c:pt idx="23">
                  <c:v>48000000</c:v>
                </c:pt>
                <c:pt idx="24">
                  <c:v>48000000</c:v>
                </c:pt>
                <c:pt idx="25">
                  <c:v>48000000</c:v>
                </c:pt>
                <c:pt idx="26">
                  <c:v>48000000</c:v>
                </c:pt>
                <c:pt idx="27">
                  <c:v>48000000</c:v>
                </c:pt>
                <c:pt idx="28">
                  <c:v>48000000</c:v>
                </c:pt>
                <c:pt idx="29">
                  <c:v>48000000</c:v>
                </c:pt>
                <c:pt idx="30">
                  <c:v>48000000</c:v>
                </c:pt>
                <c:pt idx="31">
                  <c:v>48000000</c:v>
                </c:pt>
                <c:pt idx="32">
                  <c:v>48000000</c:v>
                </c:pt>
                <c:pt idx="33">
                  <c:v>48000000</c:v>
                </c:pt>
                <c:pt idx="34">
                  <c:v>48000000</c:v>
                </c:pt>
                <c:pt idx="35">
                  <c:v>48000000</c:v>
                </c:pt>
                <c:pt idx="36">
                  <c:v>48000000</c:v>
                </c:pt>
                <c:pt idx="37">
                  <c:v>48000000</c:v>
                </c:pt>
                <c:pt idx="38">
                  <c:v>48000000</c:v>
                </c:pt>
                <c:pt idx="39">
                  <c:v>48000000</c:v>
                </c:pt>
                <c:pt idx="40">
                  <c:v>48000000</c:v>
                </c:pt>
                <c:pt idx="41">
                  <c:v>48000000</c:v>
                </c:pt>
                <c:pt idx="42">
                  <c:v>48000000</c:v>
                </c:pt>
                <c:pt idx="43">
                  <c:v>48000000</c:v>
                </c:pt>
                <c:pt idx="44">
                  <c:v>48000000</c:v>
                </c:pt>
                <c:pt idx="45">
                  <c:v>48000000</c:v>
                </c:pt>
                <c:pt idx="46">
                  <c:v>48000000</c:v>
                </c:pt>
                <c:pt idx="47">
                  <c:v>48000000</c:v>
                </c:pt>
                <c:pt idx="48">
                  <c:v>48000000</c:v>
                </c:pt>
                <c:pt idx="49">
                  <c:v>48000000</c:v>
                </c:pt>
                <c:pt idx="50">
                  <c:v>48000000</c:v>
                </c:pt>
                <c:pt idx="51">
                  <c:v>48000000</c:v>
                </c:pt>
                <c:pt idx="52">
                  <c:v>48000000</c:v>
                </c:pt>
                <c:pt idx="53">
                  <c:v>48000000</c:v>
                </c:pt>
                <c:pt idx="54">
                  <c:v>48000000</c:v>
                </c:pt>
                <c:pt idx="55">
                  <c:v>48000000</c:v>
                </c:pt>
                <c:pt idx="56">
                  <c:v>48000000</c:v>
                </c:pt>
                <c:pt idx="57">
                  <c:v>48000000</c:v>
                </c:pt>
                <c:pt idx="58">
                  <c:v>48000000</c:v>
                </c:pt>
                <c:pt idx="59">
                  <c:v>48000000</c:v>
                </c:pt>
                <c:pt idx="60">
                  <c:v>48000000</c:v>
                </c:pt>
              </c:numCache>
            </c:numRef>
          </c:val>
        </c:ser>
        <c:ser>
          <c:idx val="7"/>
          <c:order val="7"/>
          <c:tx>
            <c:strRef>
              <c:f>'Supply (Allocation &amp; Emissions)'!$P$18</c:f>
              <c:strCache>
                <c:ptCount val="1"/>
                <c:pt idx="0">
                  <c:v>Staking</c:v>
                </c:pt>
              </c:strCache>
            </c:strRef>
          </c:tx>
          <c:spPr>
            <a:solidFill>
              <a:srgbClr val="F07B72">
                <a:alpha val="30000"/>
              </a:srgbClr>
            </a:solidFill>
            <a:ln cmpd="sng">
              <a:solidFill>
                <a:srgbClr val="F07B72"/>
              </a:solidFill>
            </a:ln>
          </c:spPr>
          <c:dLbls>
            <c:delete val="1"/>
          </c:dLbls>
          <c:cat>
            <c:numRef>
              <c:f>'Supply (Allocation &amp; Emissions)'!$A$19:$A$139</c:f>
              <c:numCache>
                <c:formatCode>General</c:formatCod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Emissions)'!$P$19:$P$139</c:f>
              <c:numCache>
                <c:formatCode>#,##0</c:formatCode>
                <c:ptCount val="121"/>
                <c:pt idx="0">
                  <c:v>0</c:v>
                </c:pt>
                <c:pt idx="1">
                  <c:v>66666666.6666667</c:v>
                </c:pt>
                <c:pt idx="2">
                  <c:v>133333333.333333</c:v>
                </c:pt>
                <c:pt idx="3">
                  <c:v>200000000</c:v>
                </c:pt>
                <c:pt idx="4">
                  <c:v>266666666.666667</c:v>
                </c:pt>
                <c:pt idx="5">
                  <c:v>333333333.333333</c:v>
                </c:pt>
                <c:pt idx="6">
                  <c:v>400000000</c:v>
                </c:pt>
                <c:pt idx="7">
                  <c:v>400000000</c:v>
                </c:pt>
                <c:pt idx="8">
                  <c:v>400000000</c:v>
                </c:pt>
                <c:pt idx="9">
                  <c:v>400000000</c:v>
                </c:pt>
                <c:pt idx="10">
                  <c:v>400000000</c:v>
                </c:pt>
                <c:pt idx="11">
                  <c:v>400000000</c:v>
                </c:pt>
                <c:pt idx="12">
                  <c:v>400000000</c:v>
                </c:pt>
                <c:pt idx="13">
                  <c:v>400000000</c:v>
                </c:pt>
                <c:pt idx="14">
                  <c:v>400000000</c:v>
                </c:pt>
                <c:pt idx="15">
                  <c:v>400000000</c:v>
                </c:pt>
                <c:pt idx="16">
                  <c:v>400000000</c:v>
                </c:pt>
                <c:pt idx="17">
                  <c:v>400000000</c:v>
                </c:pt>
                <c:pt idx="18">
                  <c:v>400000000</c:v>
                </c:pt>
                <c:pt idx="19">
                  <c:v>400000000</c:v>
                </c:pt>
                <c:pt idx="20">
                  <c:v>400000000</c:v>
                </c:pt>
                <c:pt idx="21">
                  <c:v>400000000</c:v>
                </c:pt>
                <c:pt idx="22">
                  <c:v>400000000</c:v>
                </c:pt>
                <c:pt idx="23">
                  <c:v>400000000</c:v>
                </c:pt>
                <c:pt idx="24">
                  <c:v>400000000</c:v>
                </c:pt>
                <c:pt idx="25">
                  <c:v>400000000</c:v>
                </c:pt>
                <c:pt idx="26">
                  <c:v>400000000</c:v>
                </c:pt>
                <c:pt idx="27">
                  <c:v>400000000</c:v>
                </c:pt>
                <c:pt idx="28">
                  <c:v>400000000</c:v>
                </c:pt>
                <c:pt idx="29">
                  <c:v>400000000</c:v>
                </c:pt>
                <c:pt idx="30">
                  <c:v>400000000</c:v>
                </c:pt>
                <c:pt idx="31">
                  <c:v>400000000</c:v>
                </c:pt>
                <c:pt idx="32">
                  <c:v>400000000</c:v>
                </c:pt>
                <c:pt idx="33">
                  <c:v>400000000</c:v>
                </c:pt>
                <c:pt idx="34">
                  <c:v>400000000</c:v>
                </c:pt>
                <c:pt idx="35">
                  <c:v>400000000</c:v>
                </c:pt>
                <c:pt idx="36">
                  <c:v>400000000</c:v>
                </c:pt>
                <c:pt idx="37">
                  <c:v>400000000</c:v>
                </c:pt>
                <c:pt idx="38">
                  <c:v>400000000</c:v>
                </c:pt>
                <c:pt idx="39">
                  <c:v>400000000</c:v>
                </c:pt>
                <c:pt idx="40">
                  <c:v>400000000</c:v>
                </c:pt>
                <c:pt idx="41">
                  <c:v>400000000</c:v>
                </c:pt>
                <c:pt idx="42">
                  <c:v>400000000</c:v>
                </c:pt>
                <c:pt idx="43">
                  <c:v>400000000</c:v>
                </c:pt>
                <c:pt idx="44">
                  <c:v>400000000</c:v>
                </c:pt>
                <c:pt idx="45">
                  <c:v>400000000</c:v>
                </c:pt>
                <c:pt idx="46">
                  <c:v>400000000</c:v>
                </c:pt>
                <c:pt idx="47">
                  <c:v>400000000</c:v>
                </c:pt>
                <c:pt idx="48">
                  <c:v>400000000</c:v>
                </c:pt>
                <c:pt idx="49">
                  <c:v>400000000</c:v>
                </c:pt>
                <c:pt idx="50">
                  <c:v>400000000</c:v>
                </c:pt>
                <c:pt idx="51">
                  <c:v>400000000</c:v>
                </c:pt>
                <c:pt idx="52">
                  <c:v>400000000</c:v>
                </c:pt>
                <c:pt idx="53">
                  <c:v>400000000</c:v>
                </c:pt>
                <c:pt idx="54">
                  <c:v>400000000</c:v>
                </c:pt>
                <c:pt idx="55">
                  <c:v>400000000</c:v>
                </c:pt>
                <c:pt idx="56">
                  <c:v>400000000</c:v>
                </c:pt>
                <c:pt idx="57">
                  <c:v>400000000</c:v>
                </c:pt>
                <c:pt idx="58">
                  <c:v>400000000</c:v>
                </c:pt>
                <c:pt idx="59">
                  <c:v>400000000</c:v>
                </c:pt>
                <c:pt idx="60">
                  <c:v>400000000</c:v>
                </c:pt>
              </c:numCache>
            </c:numRef>
          </c:val>
        </c:ser>
        <c:ser>
          <c:idx val="8"/>
          <c:order val="8"/>
          <c:tx>
            <c:strRef>
              <c:f>'Supply (Allocation &amp; Emissions)'!$Q$18</c:f>
              <c:strCache>
                <c:ptCount val="1"/>
                <c:pt idx="0">
                  <c:v>Air drops</c:v>
                </c:pt>
              </c:strCache>
            </c:strRef>
          </c:tx>
          <c:spPr>
            <a:solidFill>
              <a:srgbClr val="FCD04F">
                <a:alpha val="30000"/>
              </a:srgbClr>
            </a:solidFill>
            <a:ln cmpd="sng">
              <a:solidFill>
                <a:srgbClr val="FCD04F"/>
              </a:solidFill>
            </a:ln>
          </c:spPr>
          <c:dLbls>
            <c:delete val="1"/>
          </c:dLbls>
          <c:cat>
            <c:numRef>
              <c:f>'Supply (Allocation &amp; Emissions)'!$A$19:$A$139</c:f>
              <c:numCache>
                <c:formatCode>General</c:formatCod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Emissions)'!$Q$19:$Q$139</c:f>
              <c:numCache>
                <c:formatCode>#,##0</c:formatCode>
                <c:ptCount val="121"/>
                <c:pt idx="0">
                  <c:v>20000000</c:v>
                </c:pt>
                <c:pt idx="1">
                  <c:v>20000000</c:v>
                </c:pt>
                <c:pt idx="2">
                  <c:v>20000000</c:v>
                </c:pt>
                <c:pt idx="3">
                  <c:v>20000000</c:v>
                </c:pt>
                <c:pt idx="4">
                  <c:v>20000000</c:v>
                </c:pt>
                <c:pt idx="5">
                  <c:v>20000000</c:v>
                </c:pt>
                <c:pt idx="6">
                  <c:v>20000000</c:v>
                </c:pt>
                <c:pt idx="7">
                  <c:v>20000000</c:v>
                </c:pt>
                <c:pt idx="8">
                  <c:v>20000000</c:v>
                </c:pt>
                <c:pt idx="9">
                  <c:v>20000000</c:v>
                </c:pt>
                <c:pt idx="10">
                  <c:v>20000000</c:v>
                </c:pt>
                <c:pt idx="11">
                  <c:v>20000000</c:v>
                </c:pt>
                <c:pt idx="12">
                  <c:v>20000000</c:v>
                </c:pt>
                <c:pt idx="13">
                  <c:v>20000000</c:v>
                </c:pt>
                <c:pt idx="14">
                  <c:v>20000000</c:v>
                </c:pt>
                <c:pt idx="15">
                  <c:v>20000000</c:v>
                </c:pt>
                <c:pt idx="16">
                  <c:v>20000000</c:v>
                </c:pt>
                <c:pt idx="17">
                  <c:v>20000000</c:v>
                </c:pt>
                <c:pt idx="18">
                  <c:v>20000000</c:v>
                </c:pt>
                <c:pt idx="19">
                  <c:v>20000000</c:v>
                </c:pt>
                <c:pt idx="20">
                  <c:v>20000000</c:v>
                </c:pt>
                <c:pt idx="21">
                  <c:v>20000000</c:v>
                </c:pt>
                <c:pt idx="22">
                  <c:v>20000000</c:v>
                </c:pt>
                <c:pt idx="23">
                  <c:v>20000000</c:v>
                </c:pt>
                <c:pt idx="24">
                  <c:v>20000000</c:v>
                </c:pt>
                <c:pt idx="25">
                  <c:v>20000000</c:v>
                </c:pt>
                <c:pt idx="26">
                  <c:v>20000000</c:v>
                </c:pt>
                <c:pt idx="27">
                  <c:v>20000000</c:v>
                </c:pt>
                <c:pt idx="28">
                  <c:v>20000000</c:v>
                </c:pt>
                <c:pt idx="29">
                  <c:v>20000000</c:v>
                </c:pt>
                <c:pt idx="30">
                  <c:v>20000000</c:v>
                </c:pt>
                <c:pt idx="31">
                  <c:v>20000000</c:v>
                </c:pt>
                <c:pt idx="32">
                  <c:v>20000000</c:v>
                </c:pt>
                <c:pt idx="33">
                  <c:v>20000000</c:v>
                </c:pt>
                <c:pt idx="34">
                  <c:v>20000000</c:v>
                </c:pt>
                <c:pt idx="35">
                  <c:v>20000000</c:v>
                </c:pt>
                <c:pt idx="36">
                  <c:v>20000000</c:v>
                </c:pt>
                <c:pt idx="37">
                  <c:v>20000000</c:v>
                </c:pt>
                <c:pt idx="38">
                  <c:v>20000000</c:v>
                </c:pt>
                <c:pt idx="39">
                  <c:v>20000000</c:v>
                </c:pt>
                <c:pt idx="40">
                  <c:v>20000000</c:v>
                </c:pt>
                <c:pt idx="41">
                  <c:v>20000000</c:v>
                </c:pt>
                <c:pt idx="42">
                  <c:v>20000000</c:v>
                </c:pt>
                <c:pt idx="43">
                  <c:v>20000000</c:v>
                </c:pt>
                <c:pt idx="44">
                  <c:v>20000000</c:v>
                </c:pt>
                <c:pt idx="45">
                  <c:v>20000000</c:v>
                </c:pt>
                <c:pt idx="46">
                  <c:v>20000000</c:v>
                </c:pt>
                <c:pt idx="47">
                  <c:v>20000000</c:v>
                </c:pt>
                <c:pt idx="48">
                  <c:v>20000000</c:v>
                </c:pt>
                <c:pt idx="49">
                  <c:v>20000000</c:v>
                </c:pt>
                <c:pt idx="50">
                  <c:v>20000000</c:v>
                </c:pt>
                <c:pt idx="51">
                  <c:v>20000000</c:v>
                </c:pt>
                <c:pt idx="52">
                  <c:v>20000000</c:v>
                </c:pt>
                <c:pt idx="53">
                  <c:v>20000000</c:v>
                </c:pt>
                <c:pt idx="54">
                  <c:v>20000000</c:v>
                </c:pt>
                <c:pt idx="55">
                  <c:v>20000000</c:v>
                </c:pt>
                <c:pt idx="56">
                  <c:v>20000000</c:v>
                </c:pt>
                <c:pt idx="57">
                  <c:v>20000000</c:v>
                </c:pt>
                <c:pt idx="58">
                  <c:v>20000000</c:v>
                </c:pt>
                <c:pt idx="59">
                  <c:v>20000000</c:v>
                </c:pt>
                <c:pt idx="60">
                  <c:v>20000000</c:v>
                </c:pt>
              </c:numCache>
            </c:numRef>
          </c:val>
        </c:ser>
        <c:ser>
          <c:idx val="9"/>
          <c:order val="9"/>
          <c:tx>
            <c:strRef>
              <c:f>'Supply (Allocation &amp; Emissions)'!$R$18</c:f>
              <c:strCache>
                <c:ptCount val="1"/>
                <c:pt idx="0">
                  <c:v>Treasury</c:v>
                </c:pt>
              </c:strCache>
            </c:strRef>
          </c:tx>
          <c:spPr>
            <a:solidFill>
              <a:srgbClr val="71C287">
                <a:alpha val="30000"/>
              </a:srgbClr>
            </a:solidFill>
            <a:ln cmpd="sng">
              <a:solidFill>
                <a:srgbClr val="71C287"/>
              </a:solidFill>
            </a:ln>
          </c:spPr>
          <c:dLbls>
            <c:delete val="1"/>
          </c:dLbls>
          <c:cat>
            <c:numRef>
              <c:f>'Supply (Allocation &amp; Emissions)'!$A$19:$A$139</c:f>
              <c:numCache>
                <c:formatCode>General</c:formatCod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Emissions)'!$R$19:$R$139</c:f>
              <c:numCache>
                <c:formatCode>#,##0</c:formatCode>
                <c:ptCount val="121"/>
                <c:pt idx="0">
                  <c:v>0</c:v>
                </c:pt>
                <c:pt idx="1">
                  <c:v>14400000</c:v>
                </c:pt>
                <c:pt idx="2">
                  <c:v>28800000</c:v>
                </c:pt>
                <c:pt idx="3">
                  <c:v>28800000</c:v>
                </c:pt>
                <c:pt idx="4">
                  <c:v>28800000</c:v>
                </c:pt>
                <c:pt idx="5">
                  <c:v>28800000</c:v>
                </c:pt>
                <c:pt idx="6">
                  <c:v>28800000</c:v>
                </c:pt>
                <c:pt idx="7">
                  <c:v>28800000</c:v>
                </c:pt>
                <c:pt idx="8">
                  <c:v>28800000</c:v>
                </c:pt>
                <c:pt idx="9">
                  <c:v>28800000</c:v>
                </c:pt>
                <c:pt idx="10">
                  <c:v>28800000</c:v>
                </c:pt>
                <c:pt idx="11">
                  <c:v>28800000</c:v>
                </c:pt>
                <c:pt idx="12">
                  <c:v>28800000</c:v>
                </c:pt>
                <c:pt idx="13">
                  <c:v>28800000</c:v>
                </c:pt>
                <c:pt idx="14">
                  <c:v>28800000</c:v>
                </c:pt>
                <c:pt idx="15">
                  <c:v>28800000</c:v>
                </c:pt>
                <c:pt idx="16">
                  <c:v>28800000</c:v>
                </c:pt>
                <c:pt idx="17">
                  <c:v>28800000</c:v>
                </c:pt>
                <c:pt idx="18">
                  <c:v>28800000</c:v>
                </c:pt>
                <c:pt idx="19">
                  <c:v>28800000</c:v>
                </c:pt>
                <c:pt idx="20">
                  <c:v>28800000</c:v>
                </c:pt>
                <c:pt idx="21">
                  <c:v>28800000</c:v>
                </c:pt>
                <c:pt idx="22">
                  <c:v>28800000</c:v>
                </c:pt>
                <c:pt idx="23">
                  <c:v>28800000</c:v>
                </c:pt>
                <c:pt idx="24">
                  <c:v>28800000</c:v>
                </c:pt>
                <c:pt idx="25">
                  <c:v>28800000</c:v>
                </c:pt>
                <c:pt idx="26">
                  <c:v>28800000</c:v>
                </c:pt>
                <c:pt idx="27">
                  <c:v>28800000</c:v>
                </c:pt>
                <c:pt idx="28">
                  <c:v>28800000</c:v>
                </c:pt>
                <c:pt idx="29">
                  <c:v>28800000</c:v>
                </c:pt>
                <c:pt idx="30">
                  <c:v>28800000</c:v>
                </c:pt>
                <c:pt idx="31">
                  <c:v>28800000</c:v>
                </c:pt>
                <c:pt idx="32">
                  <c:v>28800000</c:v>
                </c:pt>
                <c:pt idx="33">
                  <c:v>28800000</c:v>
                </c:pt>
                <c:pt idx="34">
                  <c:v>28800000</c:v>
                </c:pt>
                <c:pt idx="35">
                  <c:v>28800000</c:v>
                </c:pt>
                <c:pt idx="36">
                  <c:v>28800000</c:v>
                </c:pt>
                <c:pt idx="37">
                  <c:v>28800000</c:v>
                </c:pt>
                <c:pt idx="38">
                  <c:v>28800000</c:v>
                </c:pt>
                <c:pt idx="39">
                  <c:v>28800000</c:v>
                </c:pt>
                <c:pt idx="40">
                  <c:v>28800000</c:v>
                </c:pt>
                <c:pt idx="41">
                  <c:v>28800000</c:v>
                </c:pt>
                <c:pt idx="42">
                  <c:v>28800000</c:v>
                </c:pt>
                <c:pt idx="43">
                  <c:v>28800000</c:v>
                </c:pt>
                <c:pt idx="44">
                  <c:v>28800000</c:v>
                </c:pt>
                <c:pt idx="45">
                  <c:v>28800000</c:v>
                </c:pt>
                <c:pt idx="46">
                  <c:v>28800000</c:v>
                </c:pt>
                <c:pt idx="47">
                  <c:v>28800000</c:v>
                </c:pt>
                <c:pt idx="48">
                  <c:v>28800000</c:v>
                </c:pt>
                <c:pt idx="49">
                  <c:v>28800000</c:v>
                </c:pt>
                <c:pt idx="50">
                  <c:v>28800000</c:v>
                </c:pt>
                <c:pt idx="51">
                  <c:v>28800000</c:v>
                </c:pt>
                <c:pt idx="52">
                  <c:v>28800000</c:v>
                </c:pt>
                <c:pt idx="53">
                  <c:v>28800000</c:v>
                </c:pt>
                <c:pt idx="54">
                  <c:v>28800000</c:v>
                </c:pt>
                <c:pt idx="55">
                  <c:v>28800000</c:v>
                </c:pt>
                <c:pt idx="56">
                  <c:v>28800000</c:v>
                </c:pt>
                <c:pt idx="57">
                  <c:v>28800000</c:v>
                </c:pt>
                <c:pt idx="58">
                  <c:v>28800000</c:v>
                </c:pt>
                <c:pt idx="59">
                  <c:v>28800000</c:v>
                </c:pt>
                <c:pt idx="60">
                  <c:v>28800000</c:v>
                </c:pt>
              </c:numCache>
            </c:numRef>
          </c:val>
        </c:ser>
        <c:ser>
          <c:idx val="10"/>
          <c:order val="10"/>
          <c:tx>
            <c:strRef>
              <c:f>'Supply (Allocation &amp; Emissions)'!$S$18</c:f>
              <c:strCache>
                <c:ptCount val="1"/>
                <c:pt idx="0">
                  <c:v>Testnet Incentive</c:v>
                </c:pt>
              </c:strCache>
            </c:strRef>
          </c:tx>
          <c:spPr>
            <a:solidFill>
              <a:srgbClr val="FF994D">
                <a:alpha val="30000"/>
              </a:srgbClr>
            </a:solidFill>
            <a:ln cmpd="sng">
              <a:solidFill>
                <a:srgbClr val="FF994D"/>
              </a:solidFill>
            </a:ln>
          </c:spPr>
          <c:dLbls>
            <c:delete val="1"/>
          </c:dLbls>
          <c:cat>
            <c:numRef>
              <c:f>'Supply (Allocation &amp; Emissions)'!$A$19:$A$139</c:f>
              <c:numCache>
                <c:formatCode>General</c:formatCod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Emissions)'!$S$19:$S$139</c:f>
              <c:numCache>
                <c:formatCode>#,##0</c:formatCode>
                <c:ptCount val="121"/>
                <c:pt idx="0">
                  <c:v>0</c:v>
                </c:pt>
                <c:pt idx="1">
                  <c:v>1600000</c:v>
                </c:pt>
                <c:pt idx="2">
                  <c:v>3200000</c:v>
                </c:pt>
                <c:pt idx="3">
                  <c:v>3200000</c:v>
                </c:pt>
                <c:pt idx="4">
                  <c:v>3200000</c:v>
                </c:pt>
                <c:pt idx="5">
                  <c:v>3200000</c:v>
                </c:pt>
                <c:pt idx="6">
                  <c:v>3200000</c:v>
                </c:pt>
                <c:pt idx="7">
                  <c:v>3200000</c:v>
                </c:pt>
                <c:pt idx="8">
                  <c:v>3200000</c:v>
                </c:pt>
                <c:pt idx="9">
                  <c:v>3200000</c:v>
                </c:pt>
                <c:pt idx="10">
                  <c:v>3200000</c:v>
                </c:pt>
                <c:pt idx="11">
                  <c:v>3200000</c:v>
                </c:pt>
                <c:pt idx="12">
                  <c:v>3200000</c:v>
                </c:pt>
                <c:pt idx="13">
                  <c:v>3200000</c:v>
                </c:pt>
                <c:pt idx="14">
                  <c:v>3200000</c:v>
                </c:pt>
                <c:pt idx="15">
                  <c:v>3200000</c:v>
                </c:pt>
                <c:pt idx="16">
                  <c:v>3200000</c:v>
                </c:pt>
                <c:pt idx="17">
                  <c:v>3200000</c:v>
                </c:pt>
                <c:pt idx="18">
                  <c:v>3200000</c:v>
                </c:pt>
                <c:pt idx="19">
                  <c:v>3200000</c:v>
                </c:pt>
                <c:pt idx="20">
                  <c:v>3200000</c:v>
                </c:pt>
                <c:pt idx="21">
                  <c:v>3200000</c:v>
                </c:pt>
                <c:pt idx="22">
                  <c:v>3200000</c:v>
                </c:pt>
                <c:pt idx="23">
                  <c:v>3200000</c:v>
                </c:pt>
                <c:pt idx="24">
                  <c:v>3200000</c:v>
                </c:pt>
                <c:pt idx="25">
                  <c:v>3200000</c:v>
                </c:pt>
                <c:pt idx="26">
                  <c:v>3200000</c:v>
                </c:pt>
                <c:pt idx="27">
                  <c:v>3200000</c:v>
                </c:pt>
                <c:pt idx="28">
                  <c:v>3200000</c:v>
                </c:pt>
                <c:pt idx="29">
                  <c:v>3200000</c:v>
                </c:pt>
                <c:pt idx="30">
                  <c:v>3200000</c:v>
                </c:pt>
                <c:pt idx="31">
                  <c:v>3200000</c:v>
                </c:pt>
                <c:pt idx="32">
                  <c:v>3200000</c:v>
                </c:pt>
                <c:pt idx="33">
                  <c:v>3200000</c:v>
                </c:pt>
                <c:pt idx="34">
                  <c:v>3200000</c:v>
                </c:pt>
                <c:pt idx="35">
                  <c:v>3200000</c:v>
                </c:pt>
                <c:pt idx="36">
                  <c:v>3200000</c:v>
                </c:pt>
                <c:pt idx="37">
                  <c:v>3200000</c:v>
                </c:pt>
                <c:pt idx="38">
                  <c:v>3200000</c:v>
                </c:pt>
                <c:pt idx="39">
                  <c:v>3200000</c:v>
                </c:pt>
                <c:pt idx="40">
                  <c:v>3200000</c:v>
                </c:pt>
                <c:pt idx="41">
                  <c:v>3200000</c:v>
                </c:pt>
                <c:pt idx="42">
                  <c:v>3200000</c:v>
                </c:pt>
                <c:pt idx="43">
                  <c:v>3200000</c:v>
                </c:pt>
                <c:pt idx="44">
                  <c:v>3200000</c:v>
                </c:pt>
                <c:pt idx="45">
                  <c:v>3200000</c:v>
                </c:pt>
                <c:pt idx="46">
                  <c:v>3200000</c:v>
                </c:pt>
                <c:pt idx="47">
                  <c:v>3200000</c:v>
                </c:pt>
                <c:pt idx="48">
                  <c:v>3200000</c:v>
                </c:pt>
                <c:pt idx="49">
                  <c:v>3200000</c:v>
                </c:pt>
                <c:pt idx="50">
                  <c:v>3200000</c:v>
                </c:pt>
                <c:pt idx="51">
                  <c:v>3200000</c:v>
                </c:pt>
                <c:pt idx="52">
                  <c:v>3200000</c:v>
                </c:pt>
                <c:pt idx="53">
                  <c:v>3200000</c:v>
                </c:pt>
                <c:pt idx="54">
                  <c:v>3200000</c:v>
                </c:pt>
                <c:pt idx="55">
                  <c:v>3200000</c:v>
                </c:pt>
                <c:pt idx="56">
                  <c:v>3200000</c:v>
                </c:pt>
                <c:pt idx="57">
                  <c:v>3200000</c:v>
                </c:pt>
                <c:pt idx="58">
                  <c:v>3200000</c:v>
                </c:pt>
                <c:pt idx="59">
                  <c:v>3200000</c:v>
                </c:pt>
                <c:pt idx="60">
                  <c:v>3200000</c:v>
                </c:pt>
              </c:numCache>
            </c:numRef>
          </c:val>
        </c:ser>
        <c:dLbls>
          <c:showLegendKey val="0"/>
          <c:showVal val="0"/>
          <c:showCatName val="0"/>
          <c:showSerName val="0"/>
          <c:showPercent val="0"/>
          <c:showBubbleSize val="0"/>
        </c:dLbls>
        <c:axId val="1173503850"/>
        <c:axId val="192328014"/>
      </c:areaChart>
      <c:catAx>
        <c:axId val="1173503850"/>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Month</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2328014"/>
        <c:crosses val="autoZero"/>
        <c:auto val="1"/>
        <c:lblAlgn val="ctr"/>
        <c:lblOffset val="100"/>
        <c:noMultiLvlLbl val="0"/>
      </c:catAx>
      <c:valAx>
        <c:axId val="192328014"/>
        <c:scaling>
          <c:orientation val="minMax"/>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Circulating Supply</a:t>
                </a:r>
                <a:endParaRPr b="0">
                  <a:solidFill>
                    <a:srgbClr val="000000"/>
                  </a:solidFill>
                  <a:latin typeface="+mn-lt"/>
                </a:endParaRPr>
              </a:p>
            </c:rich>
          </c:tx>
          <c:layout/>
          <c:overlay val="0"/>
        </c:title>
        <c:numFmt formatCode="#,##0"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17350385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0"/>
    <c:dispBlanksAs val="gap"/>
    <c:showDLblsOverMax val="0"/>
    <c:extLst>
      <c:ext uri="{0b15fc19-7d7d-44ad-8c2d-2c3a37ce22c3}">
        <chartProps xmlns="https://web.wps.cn/et/2018/main" chartId="{46fd4bfa-e1c2-4062-b1c9-88c407c020a2}"/>
      </c:ext>
    </c:extLst>
  </c:chart>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Linear Emissions vs Cumulative Emissions Schedule</a:t>
            </a:r>
            <a:endParaRPr b="0">
              <a:solidFill>
                <a:srgbClr val="757575"/>
              </a:solidFill>
              <a:latin typeface="+mn-lt"/>
            </a:endParaRPr>
          </a:p>
        </c:rich>
      </c:tx>
      <c:layout/>
      <c:overlay val="0"/>
    </c:title>
    <c:autoTitleDeleted val="0"/>
    <c:plotArea>
      <c:layout/>
      <c:lineChart>
        <c:grouping val="none"/>
        <c:varyColors val="0"/>
        <c:ser>
          <c:idx val="0"/>
          <c:order val="0"/>
          <c:tx>
            <c:strRef>
              <c:f>'Supply (Allocation &amp; Emissions)'!$B$18</c:f>
              <c:strCache>
                <c:ptCount val="1"/>
                <c:pt idx="0">
                  <c:v>Linear Comparison</c:v>
                </c:pt>
              </c:strCache>
            </c:strRef>
          </c:tx>
          <c:spPr>
            <a:ln w="19050" cap="rnd" cmpd="sng" algn="ctr">
              <a:solidFill>
                <a:srgbClr val="4285F4"/>
              </a:solidFill>
              <a:prstDash val="solid"/>
              <a:round/>
            </a:ln>
          </c:spPr>
          <c:marker>
            <c:symbol val="none"/>
          </c:marker>
          <c:dLbls>
            <c:delete val="1"/>
          </c:dLbls>
          <c:cat>
            <c:numRef>
              <c:f>'Supply (Allocation &amp; Emissions)'!$A$19:$A$79</c:f>
              <c:numCache>
                <c:formatCode>General</c:formatCode>
                <c:ptCount val="6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Emissions)'!$B$19:$B$79</c:f>
              <c:numCache>
                <c:formatCode>0.00%</c:formatCode>
                <c:ptCount val="61"/>
                <c:pt idx="0">
                  <c:v>0.025</c:v>
                </c:pt>
                <c:pt idx="1">
                  <c:v>0.0453125</c:v>
                </c:pt>
                <c:pt idx="2">
                  <c:v>0.065625</c:v>
                </c:pt>
                <c:pt idx="3">
                  <c:v>0.0859375</c:v>
                </c:pt>
                <c:pt idx="4">
                  <c:v>0.10625</c:v>
                </c:pt>
                <c:pt idx="5">
                  <c:v>0.1265625</c:v>
                </c:pt>
                <c:pt idx="6">
                  <c:v>0.146875</c:v>
                </c:pt>
                <c:pt idx="7">
                  <c:v>0.1671875</c:v>
                </c:pt>
                <c:pt idx="8">
                  <c:v>0.1875</c:v>
                </c:pt>
                <c:pt idx="9">
                  <c:v>0.2078125</c:v>
                </c:pt>
                <c:pt idx="10">
                  <c:v>0.228125</c:v>
                </c:pt>
                <c:pt idx="11">
                  <c:v>0.2484375</c:v>
                </c:pt>
                <c:pt idx="12">
                  <c:v>0.26875</c:v>
                </c:pt>
                <c:pt idx="13">
                  <c:v>0.2890625</c:v>
                </c:pt>
                <c:pt idx="14">
                  <c:v>0.309375</c:v>
                </c:pt>
                <c:pt idx="15">
                  <c:v>0.3296875</c:v>
                </c:pt>
                <c:pt idx="16">
                  <c:v>0.35</c:v>
                </c:pt>
                <c:pt idx="17">
                  <c:v>0.3703125</c:v>
                </c:pt>
                <c:pt idx="18">
                  <c:v>0.390625</c:v>
                </c:pt>
                <c:pt idx="19">
                  <c:v>0.4109375</c:v>
                </c:pt>
                <c:pt idx="20">
                  <c:v>0.43125</c:v>
                </c:pt>
                <c:pt idx="21">
                  <c:v>0.4515625</c:v>
                </c:pt>
                <c:pt idx="22">
                  <c:v>0.471875</c:v>
                </c:pt>
                <c:pt idx="23">
                  <c:v>0.4921875</c:v>
                </c:pt>
                <c:pt idx="24">
                  <c:v>0.5125</c:v>
                </c:pt>
                <c:pt idx="25">
                  <c:v>0.5328125</c:v>
                </c:pt>
                <c:pt idx="26">
                  <c:v>0.553125</c:v>
                </c:pt>
                <c:pt idx="27">
                  <c:v>0.5734375</c:v>
                </c:pt>
                <c:pt idx="28">
                  <c:v>0.59375</c:v>
                </c:pt>
                <c:pt idx="29">
                  <c:v>0.6140625</c:v>
                </c:pt>
                <c:pt idx="30">
                  <c:v>0.634375</c:v>
                </c:pt>
                <c:pt idx="31">
                  <c:v>0.6546875</c:v>
                </c:pt>
                <c:pt idx="32">
                  <c:v>0.675</c:v>
                </c:pt>
                <c:pt idx="33">
                  <c:v>0.6953125</c:v>
                </c:pt>
                <c:pt idx="34">
                  <c:v>0.715625</c:v>
                </c:pt>
                <c:pt idx="35">
                  <c:v>0.7359375</c:v>
                </c:pt>
                <c:pt idx="36">
                  <c:v>0.75625</c:v>
                </c:pt>
                <c:pt idx="37">
                  <c:v>0.7765625</c:v>
                </c:pt>
                <c:pt idx="38">
                  <c:v>0.796875</c:v>
                </c:pt>
                <c:pt idx="39">
                  <c:v>0.8171875</c:v>
                </c:pt>
                <c:pt idx="40">
                  <c:v>0.8375</c:v>
                </c:pt>
                <c:pt idx="41">
                  <c:v>0.8578125</c:v>
                </c:pt>
                <c:pt idx="42">
                  <c:v>0.878125</c:v>
                </c:pt>
                <c:pt idx="43">
                  <c:v>0.8984375</c:v>
                </c:pt>
                <c:pt idx="44">
                  <c:v>0.91875</c:v>
                </c:pt>
                <c:pt idx="45">
                  <c:v>0.9390625</c:v>
                </c:pt>
                <c:pt idx="46">
                  <c:v>0.959375</c:v>
                </c:pt>
                <c:pt idx="47">
                  <c:v>0.9796875</c:v>
                </c:pt>
                <c:pt idx="48">
                  <c:v>1</c:v>
                </c:pt>
                <c:pt idx="49">
                  <c:v>1</c:v>
                </c:pt>
                <c:pt idx="50">
                  <c:v>1</c:v>
                </c:pt>
                <c:pt idx="51">
                  <c:v>1</c:v>
                </c:pt>
                <c:pt idx="52">
                  <c:v>1</c:v>
                </c:pt>
                <c:pt idx="53">
                  <c:v>1</c:v>
                </c:pt>
                <c:pt idx="54">
                  <c:v>1</c:v>
                </c:pt>
                <c:pt idx="55">
                  <c:v>1</c:v>
                </c:pt>
                <c:pt idx="56">
                  <c:v>1</c:v>
                </c:pt>
                <c:pt idx="57">
                  <c:v>1</c:v>
                </c:pt>
                <c:pt idx="58">
                  <c:v>1</c:v>
                </c:pt>
                <c:pt idx="59">
                  <c:v>1</c:v>
                </c:pt>
                <c:pt idx="60">
                  <c:v>1</c:v>
                </c:pt>
              </c:numCache>
            </c:numRef>
          </c:val>
          <c:smooth val="0"/>
        </c:ser>
        <c:ser>
          <c:idx val="1"/>
          <c:order val="1"/>
          <c:tx>
            <c:strRef>
              <c:f>'Supply (Allocation &amp; Emissions)'!$G$18</c:f>
              <c:strCache>
                <c:ptCount val="1"/>
                <c:pt idx="0">
                  <c:v>% of Total</c:v>
                </c:pt>
              </c:strCache>
            </c:strRef>
          </c:tx>
          <c:spPr>
            <a:ln w="19050" cap="rnd" cmpd="sng" algn="ctr">
              <a:solidFill>
                <a:srgbClr val="EA4335"/>
              </a:solidFill>
              <a:prstDash val="solid"/>
              <a:round/>
            </a:ln>
          </c:spPr>
          <c:marker>
            <c:symbol val="none"/>
          </c:marker>
          <c:dLbls>
            <c:delete val="1"/>
          </c:dLbls>
          <c:cat>
            <c:numRef>
              <c:f>'Supply (Allocation &amp; Emissions)'!$A$19:$A$79</c:f>
              <c:numCache>
                <c:formatCode>General</c:formatCode>
                <c:ptCount val="6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Emissions)'!$G$19:$G$79</c:f>
              <c:numCache>
                <c:formatCode>0.00%</c:formatCode>
                <c:ptCount val="61"/>
                <c:pt idx="0">
                  <c:v>0.025</c:v>
                </c:pt>
                <c:pt idx="1">
                  <c:v>0.173333333333333</c:v>
                </c:pt>
                <c:pt idx="2">
                  <c:v>0.321666666666667</c:v>
                </c:pt>
                <c:pt idx="3">
                  <c:v>0.415</c:v>
                </c:pt>
                <c:pt idx="4">
                  <c:v>0.508333333333333</c:v>
                </c:pt>
                <c:pt idx="5">
                  <c:v>0.601666666666667</c:v>
                </c:pt>
                <c:pt idx="6">
                  <c:v>0.706017999168667</c:v>
                </c:pt>
                <c:pt idx="7">
                  <c:v>0.70786208813277</c:v>
                </c:pt>
                <c:pt idx="8">
                  <c:v>0.70972772426242</c:v>
                </c:pt>
                <c:pt idx="9">
                  <c:v>0.711614386535789</c:v>
                </c:pt>
                <c:pt idx="10">
                  <c:v>0.713520520398068</c:v>
                </c:pt>
                <c:pt idx="11">
                  <c:v>0.71544345018569</c:v>
                </c:pt>
                <c:pt idx="12">
                  <c:v>0.770878295870243</c:v>
                </c:pt>
                <c:pt idx="13">
                  <c:v>0.778570800697129</c:v>
                </c:pt>
                <c:pt idx="14">
                  <c:v>0.78666002175386</c:v>
                </c:pt>
                <c:pt idx="15">
                  <c:v>0.795124849607947</c:v>
                </c:pt>
                <c:pt idx="16">
                  <c:v>0.80393841586583</c:v>
                </c:pt>
                <c:pt idx="17">
                  <c:v>0.813068863469187</c:v>
                </c:pt>
                <c:pt idx="18">
                  <c:v>0.822479977357339</c:v>
                </c:pt>
                <c:pt idx="19">
                  <c:v>0.8321316075077</c:v>
                </c:pt>
                <c:pt idx="20">
                  <c:v>0.84197991920644</c:v>
                </c:pt>
                <c:pt idx="21">
                  <c:v>0.851977585395007</c:v>
                </c:pt>
                <c:pt idx="22">
                  <c:v>0.862074068863471</c:v>
                </c:pt>
                <c:pt idx="23">
                  <c:v>0.872216124494705</c:v>
                </c:pt>
                <c:pt idx="24">
                  <c:v>0.882348597309269</c:v>
                </c:pt>
                <c:pt idx="25">
                  <c:v>0.890647240474047</c:v>
                </c:pt>
                <c:pt idx="26">
                  <c:v>0.898840193657241</c:v>
                </c:pt>
                <c:pt idx="27">
                  <c:v>0.906872178497693</c:v>
                </c:pt>
                <c:pt idx="28">
                  <c:v>0.914691480233844</c:v>
                </c:pt>
                <c:pt idx="29">
                  <c:v>0.922251355624544</c:v>
                </c:pt>
                <c:pt idx="30">
                  <c:v>0.929511183207071</c:v>
                </c:pt>
                <c:pt idx="31">
                  <c:v>0.936437286485017</c:v>
                </c:pt>
                <c:pt idx="32">
                  <c:v>0.94300339787634</c:v>
                </c:pt>
                <c:pt idx="33">
                  <c:v>0.949190766979505</c:v>
                </c:pt>
                <c:pt idx="34">
                  <c:v>0.954987946460496</c:v>
                </c:pt>
                <c:pt idx="35">
                  <c:v>0.960390310005766</c:v>
                </c:pt>
                <c:pt idx="36">
                  <c:v>0.965399368532211</c:v>
                </c:pt>
                <c:pt idx="37">
                  <c:v>0.969991780612437</c:v>
                </c:pt>
                <c:pt idx="38">
                  <c:v>0.974214367781806</c:v>
                </c:pt>
                <c:pt idx="39">
                  <c:v>0.978080997047732</c:v>
                </c:pt>
                <c:pt idx="40">
                  <c:v>0.981608380516315</c:v>
                </c:pt>
                <c:pt idx="41">
                  <c:v>0.984815256344509</c:v>
                </c:pt>
                <c:pt idx="42">
                  <c:v>0.987721661638901</c:v>
                </c:pt>
                <c:pt idx="43">
                  <c:v>0.990348307905927</c:v>
                </c:pt>
                <c:pt idx="44">
                  <c:v>0.992716061457122</c:v>
                </c:pt>
                <c:pt idx="45">
                  <c:v>0.99484552508357</c:v>
                </c:pt>
                <c:pt idx="46">
                  <c:v>0.996756713182758</c:v>
                </c:pt>
                <c:pt idx="47">
                  <c:v>0.998468810060733</c:v>
                </c:pt>
                <c:pt idx="48">
                  <c:v>1</c:v>
                </c:pt>
                <c:pt idx="49">
                  <c:v>1</c:v>
                </c:pt>
                <c:pt idx="50">
                  <c:v>1</c:v>
                </c:pt>
                <c:pt idx="51">
                  <c:v>1</c:v>
                </c:pt>
                <c:pt idx="52">
                  <c:v>1</c:v>
                </c:pt>
                <c:pt idx="53">
                  <c:v>1</c:v>
                </c:pt>
                <c:pt idx="54">
                  <c:v>1</c:v>
                </c:pt>
                <c:pt idx="55">
                  <c:v>1</c:v>
                </c:pt>
                <c:pt idx="56">
                  <c:v>1</c:v>
                </c:pt>
                <c:pt idx="57">
                  <c:v>1</c:v>
                </c:pt>
                <c:pt idx="58">
                  <c:v>1</c:v>
                </c:pt>
                <c:pt idx="59">
                  <c:v>1</c:v>
                </c:pt>
                <c:pt idx="60">
                  <c:v>1</c:v>
                </c:pt>
              </c:numCache>
            </c:numRef>
          </c:val>
          <c:smooth val="0"/>
        </c:ser>
        <c:dLbls>
          <c:showLegendKey val="0"/>
          <c:showVal val="0"/>
          <c:showCatName val="0"/>
          <c:showSerName val="0"/>
          <c:showPercent val="0"/>
          <c:showBubbleSize val="0"/>
        </c:dLbls>
        <c:marker val="0"/>
        <c:smooth val="0"/>
        <c:axId val="122563983"/>
        <c:axId val="1242782470"/>
      </c:lineChart>
      <c:catAx>
        <c:axId val="122563983"/>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At End of Month...</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242782470"/>
        <c:crosses val="autoZero"/>
        <c:auto val="1"/>
        <c:lblAlgn val="ctr"/>
        <c:lblOffset val="100"/>
        <c:noMultiLvlLbl val="0"/>
      </c:catAx>
      <c:valAx>
        <c:axId val="1242782470"/>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22563983"/>
        <c:crosses val="autoZero"/>
        <c:crossBetween val="between"/>
        <c:majorUnit val="0.1"/>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0"/>
    <c:dispBlanksAs val="gap"/>
    <c:showDLblsOverMax val="0"/>
    <c:extLst>
      <c:ext uri="{0b15fc19-7d7d-44ad-8c2d-2c3a37ce22c3}">
        <chartProps xmlns="https://web.wps.cn/et/2018/main" chartId="{bcdbbf76-9426-4d21-973a-40331d953534}"/>
      </c:ext>
    </c:extLst>
  </c:chart>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Linear Emissions vs Cumulative Emissions MoM Growth Rate</a:t>
            </a:r>
            <a:endParaRPr b="0">
              <a:solidFill>
                <a:srgbClr val="757575"/>
              </a:solidFill>
              <a:latin typeface="+mn-lt"/>
            </a:endParaRPr>
          </a:p>
        </c:rich>
      </c:tx>
      <c:layout/>
      <c:overlay val="0"/>
    </c:title>
    <c:autoTitleDeleted val="0"/>
    <c:plotArea>
      <c:layout/>
      <c:lineChart>
        <c:grouping val="none"/>
        <c:varyColors val="0"/>
        <c:ser>
          <c:idx val="0"/>
          <c:order val="0"/>
          <c:tx>
            <c:strRef>
              <c:f>'Supply (Allocation &amp; Emissions)'!$C$18</c:f>
              <c:strCache>
                <c:ptCount val="1"/>
                <c:pt idx="0">
                  <c:v>Linear MoM</c:v>
                </c:pt>
              </c:strCache>
            </c:strRef>
          </c:tx>
          <c:spPr>
            <a:ln w="19050" cap="rnd" cmpd="sng" algn="ctr">
              <a:solidFill>
                <a:srgbClr val="4285F4"/>
              </a:solidFill>
              <a:prstDash val="solid"/>
              <a:round/>
            </a:ln>
          </c:spPr>
          <c:marker>
            <c:symbol val="none"/>
          </c:marker>
          <c:dLbls>
            <c:delete val="1"/>
          </c:dLbls>
          <c:cat>
            <c:numRef>
              <c:f>'Supply (Allocation &amp; Emissions)'!$A$19:$A$79</c:f>
              <c:numCache>
                <c:formatCode>General</c:formatCode>
                <c:ptCount val="6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Emissions)'!$C$19:$C$79</c:f>
              <c:numCache>
                <c:formatCode>0.00%</c:formatCode>
                <c:ptCount val="61"/>
                <c:pt idx="1">
                  <c:v>0.0203125</c:v>
                </c:pt>
                <c:pt idx="2">
                  <c:v>0.0203125</c:v>
                </c:pt>
                <c:pt idx="3">
                  <c:v>0.0203125</c:v>
                </c:pt>
                <c:pt idx="4">
                  <c:v>0.0203125</c:v>
                </c:pt>
                <c:pt idx="5">
                  <c:v>0.0203125</c:v>
                </c:pt>
                <c:pt idx="6">
                  <c:v>0.0203125</c:v>
                </c:pt>
                <c:pt idx="7">
                  <c:v>0.0203125</c:v>
                </c:pt>
                <c:pt idx="8">
                  <c:v>0.0203125</c:v>
                </c:pt>
                <c:pt idx="9">
                  <c:v>0.0203125</c:v>
                </c:pt>
                <c:pt idx="10">
                  <c:v>0.0203125</c:v>
                </c:pt>
                <c:pt idx="11">
                  <c:v>0.0203125</c:v>
                </c:pt>
                <c:pt idx="12">
                  <c:v>0.0203125</c:v>
                </c:pt>
                <c:pt idx="13">
                  <c:v>0.0203125</c:v>
                </c:pt>
                <c:pt idx="14">
                  <c:v>0.0203125</c:v>
                </c:pt>
                <c:pt idx="15">
                  <c:v>0.0203125</c:v>
                </c:pt>
                <c:pt idx="16">
                  <c:v>0.0203125</c:v>
                </c:pt>
                <c:pt idx="17">
                  <c:v>0.0203125</c:v>
                </c:pt>
                <c:pt idx="18">
                  <c:v>0.0203125</c:v>
                </c:pt>
                <c:pt idx="19">
                  <c:v>0.0203125</c:v>
                </c:pt>
                <c:pt idx="20">
                  <c:v>0.0203125</c:v>
                </c:pt>
                <c:pt idx="21">
                  <c:v>0.0203125</c:v>
                </c:pt>
                <c:pt idx="22">
                  <c:v>0.0203125</c:v>
                </c:pt>
                <c:pt idx="23">
                  <c:v>0.0203125</c:v>
                </c:pt>
                <c:pt idx="24">
                  <c:v>0.0203125</c:v>
                </c:pt>
                <c:pt idx="25">
                  <c:v>0.0203125</c:v>
                </c:pt>
                <c:pt idx="26">
                  <c:v>0.0203125000000001</c:v>
                </c:pt>
                <c:pt idx="27">
                  <c:v>0.0203125</c:v>
                </c:pt>
                <c:pt idx="28">
                  <c:v>0.0203125</c:v>
                </c:pt>
                <c:pt idx="29">
                  <c:v>0.0203125000000001</c:v>
                </c:pt>
                <c:pt idx="30">
                  <c:v>0.0203125</c:v>
                </c:pt>
                <c:pt idx="31">
                  <c:v>0.0203125000000001</c:v>
                </c:pt>
                <c:pt idx="32">
                  <c:v>0.0203125</c:v>
                </c:pt>
                <c:pt idx="33">
                  <c:v>0.0203125</c:v>
                </c:pt>
                <c:pt idx="34">
                  <c:v>0.0203125000000001</c:v>
                </c:pt>
                <c:pt idx="35">
                  <c:v>0.0203125</c:v>
                </c:pt>
                <c:pt idx="36">
                  <c:v>0.0203125000000001</c:v>
                </c:pt>
                <c:pt idx="37">
                  <c:v>0.0203125</c:v>
                </c:pt>
                <c:pt idx="38">
                  <c:v>0.0203125</c:v>
                </c:pt>
                <c:pt idx="39">
                  <c:v>0.0203125000000001</c:v>
                </c:pt>
                <c:pt idx="40">
                  <c:v>0.0203125</c:v>
                </c:pt>
                <c:pt idx="41">
                  <c:v>0.0203125000000001</c:v>
                </c:pt>
                <c:pt idx="42">
                  <c:v>0.0203125</c:v>
                </c:pt>
                <c:pt idx="43">
                  <c:v>0.0203125</c:v>
                </c:pt>
                <c:pt idx="44">
                  <c:v>0.0203125000000001</c:v>
                </c:pt>
                <c:pt idx="45">
                  <c:v>0.0203125</c:v>
                </c:pt>
                <c:pt idx="46">
                  <c:v>0.0203125000000001</c:v>
                </c:pt>
                <c:pt idx="47">
                  <c:v>0.0203125</c:v>
                </c:pt>
                <c:pt idx="48">
                  <c:v>0.0203125</c:v>
                </c:pt>
                <c:pt idx="49">
                  <c:v>0</c:v>
                </c:pt>
                <c:pt idx="50">
                  <c:v>0</c:v>
                </c:pt>
                <c:pt idx="51">
                  <c:v>0</c:v>
                </c:pt>
                <c:pt idx="52">
                  <c:v>0</c:v>
                </c:pt>
                <c:pt idx="53">
                  <c:v>0</c:v>
                </c:pt>
                <c:pt idx="54">
                  <c:v>0</c:v>
                </c:pt>
                <c:pt idx="55">
                  <c:v>0</c:v>
                </c:pt>
                <c:pt idx="56">
                  <c:v>0</c:v>
                </c:pt>
                <c:pt idx="57">
                  <c:v>0</c:v>
                </c:pt>
                <c:pt idx="58">
                  <c:v>0</c:v>
                </c:pt>
                <c:pt idx="59">
                  <c:v>0</c:v>
                </c:pt>
                <c:pt idx="60">
                  <c:v>0</c:v>
                </c:pt>
              </c:numCache>
            </c:numRef>
          </c:val>
          <c:smooth val="0"/>
        </c:ser>
        <c:ser>
          <c:idx val="1"/>
          <c:order val="1"/>
          <c:tx>
            <c:strRef>
              <c:f>'Supply (Allocation &amp; Emissions)'!$D$18</c:f>
              <c:strCache>
                <c:ptCount val="1"/>
                <c:pt idx="0">
                  <c:v>Emissions MoM</c:v>
                </c:pt>
              </c:strCache>
            </c:strRef>
          </c:tx>
          <c:spPr>
            <a:ln w="19050" cap="rnd" cmpd="sng" algn="ctr">
              <a:solidFill>
                <a:srgbClr val="EA4335"/>
              </a:solidFill>
              <a:prstDash val="solid"/>
              <a:round/>
            </a:ln>
          </c:spPr>
          <c:marker>
            <c:symbol val="none"/>
          </c:marker>
          <c:dLbls>
            <c:delete val="1"/>
          </c:dLbls>
          <c:cat>
            <c:numRef>
              <c:f>'Supply (Allocation &amp; Emissions)'!$A$19:$A$79</c:f>
              <c:numCache>
                <c:formatCode>General</c:formatCode>
                <c:ptCount val="6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Emissions)'!$D$19:$D$79</c:f>
              <c:numCache>
                <c:formatCode>0.00%</c:formatCode>
                <c:ptCount val="61"/>
                <c:pt idx="1">
                  <c:v>0.148333333333333</c:v>
                </c:pt>
                <c:pt idx="2">
                  <c:v>0.148333333333333</c:v>
                </c:pt>
                <c:pt idx="3">
                  <c:v>0.0933333333333333</c:v>
                </c:pt>
                <c:pt idx="4">
                  <c:v>0.0933333333333333</c:v>
                </c:pt>
                <c:pt idx="5">
                  <c:v>0.0933333333333334</c:v>
                </c:pt>
                <c:pt idx="6">
                  <c:v>0.104351332502</c:v>
                </c:pt>
                <c:pt idx="7">
                  <c:v>0.00184408896410249</c:v>
                </c:pt>
                <c:pt idx="8">
                  <c:v>0.00186563612965074</c:v>
                </c:pt>
                <c:pt idx="9">
                  <c:v>0.00188666227336887</c:v>
                </c:pt>
                <c:pt idx="10">
                  <c:v>0.00190613386227845</c:v>
                </c:pt>
                <c:pt idx="11">
                  <c:v>0.00192292978762221</c:v>
                </c:pt>
                <c:pt idx="12">
                  <c:v>0.0554348456845533</c:v>
                </c:pt>
                <c:pt idx="13">
                  <c:v>0.00769250482688633</c:v>
                </c:pt>
                <c:pt idx="14">
                  <c:v>0.00808922105673016</c:v>
                </c:pt>
                <c:pt idx="15">
                  <c:v>0.00846482785408798</c:v>
                </c:pt>
                <c:pt idx="16">
                  <c:v>0.00881356625788265</c:v>
                </c:pt>
                <c:pt idx="17">
                  <c:v>0.00913044760335691</c:v>
                </c:pt>
                <c:pt idx="18">
                  <c:v>0.00941111388815175</c:v>
                </c:pt>
                <c:pt idx="19">
                  <c:v>0.00965163015036152</c:v>
                </c:pt>
                <c:pt idx="20">
                  <c:v>0.00984831169873934</c:v>
                </c:pt>
                <c:pt idx="21">
                  <c:v>0.00999766618856779</c:v>
                </c:pt>
                <c:pt idx="22">
                  <c:v>0.0100964834684637</c:v>
                </c:pt>
                <c:pt idx="23">
                  <c:v>0.010142055631234</c:v>
                </c:pt>
                <c:pt idx="24">
                  <c:v>0.0101324728145638</c:v>
                </c:pt>
                <c:pt idx="25">
                  <c:v>0.00829864316477813</c:v>
                </c:pt>
                <c:pt idx="26">
                  <c:v>0.00819295318319435</c:v>
                </c:pt>
                <c:pt idx="27">
                  <c:v>0.0080319848404512</c:v>
                </c:pt>
                <c:pt idx="28">
                  <c:v>0.00781930173615086</c:v>
                </c:pt>
                <c:pt idx="29">
                  <c:v>0.00755987539070069</c:v>
                </c:pt>
                <c:pt idx="30">
                  <c:v>0.00725982758252663</c:v>
                </c:pt>
                <c:pt idx="31">
                  <c:v>0.00692610327794585</c:v>
                </c:pt>
                <c:pt idx="32">
                  <c:v>0.00656611139132302</c:v>
                </c:pt>
                <c:pt idx="33">
                  <c:v>0.00618736910316486</c:v>
                </c:pt>
                <c:pt idx="34">
                  <c:v>0.00579717948099179</c:v>
                </c:pt>
                <c:pt idx="35">
                  <c:v>0.00540236354526968</c:v>
                </c:pt>
                <c:pt idx="36">
                  <c:v>0.00500905852644518</c:v>
                </c:pt>
                <c:pt idx="37">
                  <c:v>0.00459241208022565</c:v>
                </c:pt>
                <c:pt idx="38">
                  <c:v>0.00422258716936885</c:v>
                </c:pt>
                <c:pt idx="39">
                  <c:v>0.00386662926592651</c:v>
                </c:pt>
                <c:pt idx="40">
                  <c:v>0.00352738346858261</c:v>
                </c:pt>
                <c:pt idx="41">
                  <c:v>0.00320687582819434</c:v>
                </c:pt>
                <c:pt idx="42">
                  <c:v>0.00290640529439201</c:v>
                </c:pt>
                <c:pt idx="43">
                  <c:v>0.0026266462670258</c:v>
                </c:pt>
                <c:pt idx="44">
                  <c:v>0.00236775355119545</c:v>
                </c:pt>
                <c:pt idx="45">
                  <c:v>0.00212946362644795</c:v>
                </c:pt>
                <c:pt idx="46">
                  <c:v>0.00191118809918722</c:v>
                </c:pt>
                <c:pt idx="47">
                  <c:v>0.00171209687797502</c:v>
                </c:pt>
                <c:pt idx="48">
                  <c:v>0.00153118993926737</c:v>
                </c:pt>
                <c:pt idx="49">
                  <c:v>0</c:v>
                </c:pt>
                <c:pt idx="50">
                  <c:v>0</c:v>
                </c:pt>
                <c:pt idx="51">
                  <c:v>0</c:v>
                </c:pt>
                <c:pt idx="52">
                  <c:v>0</c:v>
                </c:pt>
                <c:pt idx="53">
                  <c:v>0</c:v>
                </c:pt>
                <c:pt idx="54">
                  <c:v>0</c:v>
                </c:pt>
                <c:pt idx="55">
                  <c:v>0</c:v>
                </c:pt>
                <c:pt idx="56">
                  <c:v>0</c:v>
                </c:pt>
                <c:pt idx="57">
                  <c:v>0</c:v>
                </c:pt>
                <c:pt idx="58">
                  <c:v>0</c:v>
                </c:pt>
                <c:pt idx="59">
                  <c:v>0</c:v>
                </c:pt>
                <c:pt idx="60">
                  <c:v>0</c:v>
                </c:pt>
              </c:numCache>
            </c:numRef>
          </c:val>
          <c:smooth val="0"/>
        </c:ser>
        <c:dLbls>
          <c:showLegendKey val="0"/>
          <c:showVal val="0"/>
          <c:showCatName val="0"/>
          <c:showSerName val="0"/>
          <c:showPercent val="0"/>
          <c:showBubbleSize val="0"/>
        </c:dLbls>
        <c:marker val="0"/>
        <c:smooth val="0"/>
        <c:axId val="1534012586"/>
        <c:axId val="1587121032"/>
      </c:lineChart>
      <c:catAx>
        <c:axId val="1534012586"/>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At End of Month...</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587121032"/>
        <c:crosses val="autoZero"/>
        <c:auto val="1"/>
        <c:lblAlgn val="ctr"/>
        <c:lblOffset val="100"/>
        <c:noMultiLvlLbl val="0"/>
      </c:catAx>
      <c:valAx>
        <c:axId val="1587121032"/>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534012586"/>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0"/>
    <c:dispBlanksAs val="gap"/>
    <c:showDLblsOverMax val="0"/>
    <c:extLst>
      <c:ext uri="{0b15fc19-7d7d-44ad-8c2d-2c3a37ce22c3}">
        <chartProps xmlns="https://web.wps.cn/et/2018/main" chartId="{b96e9c7f-291b-4259-a3d1-465387aa980a}"/>
      </c:ext>
    </c:extLst>
  </c:chart>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Linear Emissions Annualized Inflation vs Cumulative Emissions Annualized Inflation</a:t>
            </a:r>
            <a:endParaRPr b="0">
              <a:solidFill>
                <a:srgbClr val="757575"/>
              </a:solidFill>
              <a:latin typeface="+mn-lt"/>
            </a:endParaRPr>
          </a:p>
        </c:rich>
      </c:tx>
      <c:layout/>
      <c:overlay val="0"/>
    </c:title>
    <c:autoTitleDeleted val="0"/>
    <c:plotArea>
      <c:layout/>
      <c:lineChart>
        <c:grouping val="none"/>
        <c:varyColors val="0"/>
        <c:ser>
          <c:idx val="0"/>
          <c:order val="0"/>
          <c:tx>
            <c:strRef>
              <c:f>"Linear Comparison Annualized Inflation"</c:f>
              <c:strCache>
                <c:ptCount val="1"/>
                <c:pt idx="0">
                  <c:v>Linear Comparison Annualized Inflation</c:v>
                </c:pt>
              </c:strCache>
            </c:strRef>
          </c:tx>
          <c:spPr>
            <a:ln w="19050" cap="rnd" cmpd="sng" algn="ctr">
              <a:solidFill>
                <a:srgbClr val="4285F4"/>
              </a:solidFill>
              <a:prstDash val="solid"/>
              <a:round/>
            </a:ln>
          </c:spPr>
          <c:marker>
            <c:symbol val="none"/>
          </c:marker>
          <c:dLbls>
            <c:delete val="1"/>
          </c:dLbls>
          <c:cat>
            <c:numRef>
              <c:f>'Supply (Allocation &amp; Emissions)'!$A$19:$A$79</c:f>
              <c:numCache>
                <c:formatCode>General</c:formatCode>
                <c:ptCount val="6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Emissions)'!$E$19:$E$79</c:f>
              <c:numCache>
                <c:formatCode>0.00%</c:formatCode>
                <c:ptCount val="61"/>
                <c:pt idx="1">
                  <c:v>9.75</c:v>
                </c:pt>
                <c:pt idx="2">
                  <c:v>5.37931034482758</c:v>
                </c:pt>
                <c:pt idx="3">
                  <c:v>3.71428571428571</c:v>
                </c:pt>
                <c:pt idx="4">
                  <c:v>2.83636363636364</c:v>
                </c:pt>
                <c:pt idx="5">
                  <c:v>2.29411764705882</c:v>
                </c:pt>
                <c:pt idx="6">
                  <c:v>1.92592592592593</c:v>
                </c:pt>
                <c:pt idx="7">
                  <c:v>1.6595744680851</c:v>
                </c:pt>
                <c:pt idx="8">
                  <c:v>1.45794392523365</c:v>
                </c:pt>
                <c:pt idx="9">
                  <c:v>1.3</c:v>
                </c:pt>
                <c:pt idx="10">
                  <c:v>1.17293233082707</c:v>
                </c:pt>
                <c:pt idx="11">
                  <c:v>1.06849315068493</c:v>
                </c:pt>
                <c:pt idx="12">
                  <c:v>0.981132075471701</c:v>
                </c:pt>
                <c:pt idx="13">
                  <c:v>0.906976744186048</c:v>
                </c:pt>
                <c:pt idx="14">
                  <c:v>0.84324324324324</c:v>
                </c:pt>
                <c:pt idx="15">
                  <c:v>0.787878787878789</c:v>
                </c:pt>
                <c:pt idx="16">
                  <c:v>0.739336492890996</c:v>
                </c:pt>
                <c:pt idx="17">
                  <c:v>0.696428571428573</c:v>
                </c:pt>
                <c:pt idx="18">
                  <c:v>0.658227848101266</c:v>
                </c:pt>
                <c:pt idx="19">
                  <c:v>0.623999999999998</c:v>
                </c:pt>
                <c:pt idx="20">
                  <c:v>0.593155893536123</c:v>
                </c:pt>
                <c:pt idx="21">
                  <c:v>0.565217391304348</c:v>
                </c:pt>
                <c:pt idx="22">
                  <c:v>0.539792387543253</c:v>
                </c:pt>
                <c:pt idx="23">
                  <c:v>0.51655629139073</c:v>
                </c:pt>
                <c:pt idx="24">
                  <c:v>0.495238095238096</c:v>
                </c:pt>
                <c:pt idx="25">
                  <c:v>0.47560975609756</c:v>
                </c:pt>
                <c:pt idx="26">
                  <c:v>0.457478005865105</c:v>
                </c:pt>
                <c:pt idx="27">
                  <c:v>0.440677966101693</c:v>
                </c:pt>
                <c:pt idx="28">
                  <c:v>0.425068119891008</c:v>
                </c:pt>
                <c:pt idx="29">
                  <c:v>0.410526315789476</c:v>
                </c:pt>
                <c:pt idx="30">
                  <c:v>0.396946564885496</c:v>
                </c:pt>
                <c:pt idx="31">
                  <c:v>0.384236453201971</c:v>
                </c:pt>
                <c:pt idx="32">
                  <c:v>0.372315035799521</c:v>
                </c:pt>
                <c:pt idx="33">
                  <c:v>0.361111111111111</c:v>
                </c:pt>
                <c:pt idx="34">
                  <c:v>0.35056179775281</c:v>
                </c:pt>
                <c:pt idx="35">
                  <c:v>0.340611353711791</c:v>
                </c:pt>
                <c:pt idx="36">
                  <c:v>0.331210191082802</c:v>
                </c:pt>
                <c:pt idx="37">
                  <c:v>0.322314049586775</c:v>
                </c:pt>
                <c:pt idx="38">
                  <c:v>0.313883299798791</c:v>
                </c:pt>
                <c:pt idx="39">
                  <c:v>0.305882352941178</c:v>
                </c:pt>
                <c:pt idx="40">
                  <c:v>0.298279158699809</c:v>
                </c:pt>
                <c:pt idx="41">
                  <c:v>0.291044776119403</c:v>
                </c:pt>
                <c:pt idx="42">
                  <c:v>0.28415300546448</c:v>
                </c:pt>
                <c:pt idx="43">
                  <c:v>0.277580071174377</c:v>
                </c:pt>
                <c:pt idx="44">
                  <c:v>0.271304347826089</c:v>
                </c:pt>
                <c:pt idx="45">
                  <c:v>0.265306122448978</c:v>
                </c:pt>
                <c:pt idx="46">
                  <c:v>0.259567387687188</c:v>
                </c:pt>
                <c:pt idx="47">
                  <c:v>0.254071661237785</c:v>
                </c:pt>
                <c:pt idx="48">
                  <c:v>0.248803827751195</c:v>
                </c:pt>
                <c:pt idx="49">
                  <c:v>0</c:v>
                </c:pt>
                <c:pt idx="50">
                  <c:v>0</c:v>
                </c:pt>
                <c:pt idx="51">
                  <c:v>0</c:v>
                </c:pt>
                <c:pt idx="52">
                  <c:v>0</c:v>
                </c:pt>
                <c:pt idx="53">
                  <c:v>0</c:v>
                </c:pt>
                <c:pt idx="54">
                  <c:v>0</c:v>
                </c:pt>
                <c:pt idx="55">
                  <c:v>0</c:v>
                </c:pt>
                <c:pt idx="56">
                  <c:v>0</c:v>
                </c:pt>
                <c:pt idx="57">
                  <c:v>0</c:v>
                </c:pt>
                <c:pt idx="58">
                  <c:v>0</c:v>
                </c:pt>
                <c:pt idx="59">
                  <c:v>0</c:v>
                </c:pt>
                <c:pt idx="60">
                  <c:v>0</c:v>
                </c:pt>
              </c:numCache>
            </c:numRef>
          </c:val>
          <c:smooth val="0"/>
        </c:ser>
        <c:ser>
          <c:idx val="1"/>
          <c:order val="1"/>
          <c:tx>
            <c:strRef>
              <c:f>'Supply (Allocation &amp; Emissions)'!$F$18</c:f>
              <c:strCache>
                <c:ptCount val="1"/>
                <c:pt idx="0">
                  <c:v>Annualized Inflation Rate</c:v>
                </c:pt>
              </c:strCache>
            </c:strRef>
          </c:tx>
          <c:spPr>
            <a:ln w="19050" cap="rnd" cmpd="sng" algn="ctr">
              <a:solidFill>
                <a:srgbClr val="EA4335"/>
              </a:solidFill>
              <a:prstDash val="solid"/>
              <a:round/>
            </a:ln>
          </c:spPr>
          <c:marker>
            <c:symbol val="none"/>
          </c:marker>
          <c:dLbls>
            <c:delete val="1"/>
          </c:dLbls>
          <c:cat>
            <c:numRef>
              <c:f>'Supply (Allocation &amp; Emissions)'!$A$19:$A$79</c:f>
              <c:numCache>
                <c:formatCode>General</c:formatCode>
                <c:ptCount val="6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cat>
          <c:val>
            <c:numRef>
              <c:f>'Supply (Allocation &amp; Emissions)'!$F$19:$F$79</c:f>
              <c:numCache>
                <c:formatCode>0.00%</c:formatCode>
                <c:ptCount val="61"/>
                <c:pt idx="1">
                  <c:v>71.2</c:v>
                </c:pt>
                <c:pt idx="2">
                  <c:v>10.2692307692308</c:v>
                </c:pt>
                <c:pt idx="3">
                  <c:v>3.48186528497409</c:v>
                </c:pt>
                <c:pt idx="4">
                  <c:v>2.69879518072289</c:v>
                </c:pt>
                <c:pt idx="5">
                  <c:v>2.20327868852459</c:v>
                </c:pt>
                <c:pt idx="6">
                  <c:v>2.08124541278228</c:v>
                </c:pt>
                <c:pt idx="7">
                  <c:v>0.0313434892528042</c:v>
                </c:pt>
                <c:pt idx="8">
                  <c:v>0.0316271120196099</c:v>
                </c:pt>
                <c:pt idx="9">
                  <c:v>0.0318994827262173</c:v>
                </c:pt>
                <c:pt idx="10">
                  <c:v>0.0321432601421856</c:v>
                </c:pt>
                <c:pt idx="11">
                  <c:v>0.0323398652061107</c:v>
                </c:pt>
                <c:pt idx="12">
                  <c:v>0.929798362179406</c:v>
                </c:pt>
                <c:pt idx="13">
                  <c:v>0.11974660386362</c:v>
                </c:pt>
                <c:pt idx="14">
                  <c:v>0.124678003071584</c:v>
                </c:pt>
                <c:pt idx="15">
                  <c:v>0.129125583403346</c:v>
                </c:pt>
                <c:pt idx="16">
                  <c:v>0.133014073383245</c:v>
                </c:pt>
                <c:pt idx="17">
                  <c:v>0.136285776469932</c:v>
                </c:pt>
                <c:pt idx="18">
                  <c:v>0.138897665046427</c:v>
                </c:pt>
                <c:pt idx="19">
                  <c:v>0.140817484914916</c:v>
                </c:pt>
                <c:pt idx="20">
                  <c:v>0.142020492093588</c:v>
                </c:pt>
                <c:pt idx="21">
                  <c:v>0.142487951940571</c:v>
                </c:pt>
                <c:pt idx="22">
                  <c:v>0.142207733746178</c:v>
                </c:pt>
                <c:pt idx="23">
                  <c:v>0.141176578638145</c:v>
                </c:pt>
                <c:pt idx="24">
                  <c:v>0.139403148325429</c:v>
                </c:pt>
                <c:pt idx="25">
                  <c:v>0.112862102666698</c:v>
                </c:pt>
                <c:pt idx="26">
                  <c:v>0.11038650739658</c:v>
                </c:pt>
                <c:pt idx="27">
                  <c:v>0.107231317386067</c:v>
                </c:pt>
                <c:pt idx="28">
                  <c:v>0.10346730560116</c:v>
                </c:pt>
                <c:pt idx="29">
                  <c:v>0.0991793480630392</c:v>
                </c:pt>
                <c:pt idx="30">
                  <c:v>0.0944622422716037</c:v>
                </c:pt>
                <c:pt idx="31">
                  <c:v>0.0894160724872473</c:v>
                </c:pt>
                <c:pt idx="32">
                  <c:v>0.0841416054583153</c:v>
                </c:pt>
                <c:pt idx="33">
                  <c:v>0.0787361205751615</c:v>
                </c:pt>
                <c:pt idx="34">
                  <c:v>0.0732899604504942</c:v>
                </c:pt>
                <c:pt idx="35">
                  <c:v>0.067883958937399</c:v>
                </c:pt>
                <c:pt idx="36">
                  <c:v>0.0625877850818615</c:v>
                </c:pt>
                <c:pt idx="37">
                  <c:v>0.0570840905422338</c:v>
                </c:pt>
                <c:pt idx="38">
                  <c:v>0.05223863443506</c:v>
                </c:pt>
                <c:pt idx="39">
                  <c:v>0.0476276605289288</c:v>
                </c:pt>
                <c:pt idx="40">
                  <c:v>0.0432771945787298</c:v>
                </c:pt>
                <c:pt idx="41">
                  <c:v>0.0392035262760189</c:v>
                </c:pt>
                <c:pt idx="42">
                  <c:v>0.0354146255432353</c:v>
                </c:pt>
                <c:pt idx="43">
                  <c:v>0.0319115763362001</c:v>
                </c:pt>
                <c:pt idx="44">
                  <c:v>0.0286899491699266</c:v>
                </c:pt>
                <c:pt idx="45">
                  <c:v>0.0257410598150978</c:v>
                </c:pt>
                <c:pt idx="46">
                  <c:v>0.0230530837320915</c:v>
                </c:pt>
                <c:pt idx="47">
                  <c:v>0.02061201320641</c:v>
                </c:pt>
                <c:pt idx="48">
                  <c:v>0.0184024569281149</c:v>
                </c:pt>
                <c:pt idx="49">
                  <c:v>0</c:v>
                </c:pt>
                <c:pt idx="50">
                  <c:v>0</c:v>
                </c:pt>
                <c:pt idx="51">
                  <c:v>0</c:v>
                </c:pt>
                <c:pt idx="52">
                  <c:v>0</c:v>
                </c:pt>
                <c:pt idx="53">
                  <c:v>0</c:v>
                </c:pt>
                <c:pt idx="54">
                  <c:v>0</c:v>
                </c:pt>
                <c:pt idx="55">
                  <c:v>0</c:v>
                </c:pt>
                <c:pt idx="56">
                  <c:v>0</c:v>
                </c:pt>
                <c:pt idx="57">
                  <c:v>0</c:v>
                </c:pt>
                <c:pt idx="58">
                  <c:v>0</c:v>
                </c:pt>
                <c:pt idx="59">
                  <c:v>0</c:v>
                </c:pt>
                <c:pt idx="60">
                  <c:v>0</c:v>
                </c:pt>
              </c:numCache>
            </c:numRef>
          </c:val>
          <c:smooth val="0"/>
        </c:ser>
        <c:dLbls>
          <c:showLegendKey val="0"/>
          <c:showVal val="0"/>
          <c:showCatName val="0"/>
          <c:showSerName val="0"/>
          <c:showPercent val="0"/>
          <c:showBubbleSize val="0"/>
        </c:dLbls>
        <c:marker val="0"/>
        <c:smooth val="0"/>
        <c:axId val="91304959"/>
        <c:axId val="789672322"/>
      </c:lineChart>
      <c:catAx>
        <c:axId val="91304959"/>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At End of Month...</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789672322"/>
        <c:crosses val="autoZero"/>
        <c:auto val="1"/>
        <c:lblAlgn val="ctr"/>
        <c:lblOffset val="100"/>
        <c:noMultiLvlLbl val="0"/>
      </c:catAx>
      <c:valAx>
        <c:axId val="789672322"/>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91304959"/>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0"/>
    <c:dispBlanksAs val="gap"/>
    <c:showDLblsOverMax val="0"/>
    <c:extLst>
      <c:ext uri="{0b15fc19-7d7d-44ad-8c2d-2c3a37ce22c3}">
        <chartProps xmlns="https://web.wps.cn/et/2018/main" chartId="{89ef7a5a-4669-48da-a956-02f22fbe1d06}"/>
      </c:ext>
    </c:extLst>
  </c:chart>
  <c:txPr>
    <a:bodyPr/>
    <a:lstStyle/>
    <a:p>
      <a:pPr>
        <a:defRPr lang="en-US"/>
      </a:pPr>
    </a:p>
  </c:txPr>
  <c:printSettings>
    <c:headerFooter/>
    <c:pageMargins b="0.75" l="0.7" r="0.7" t="0.75" header="0.3" footer="0.3"/>
    <c:pageSetup/>
  </c:printSettings>
</c:chartSpac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7591425" cy="4667250"/>
    <xdr:graphicFrame>
      <xdr:nvGraphicFramePr>
        <xdr:cNvPr id="2" name="Chart 1" title="Chart"/>
        <xdr:cNvGraphicFramePr/>
      </xdr:nvGraphicFramePr>
      <xdr:xfrm>
        <a:off x="0" y="0"/>
        <a:ext cx="7591425" cy="46672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306705</xdr:colOff>
      <xdr:row>0</xdr:row>
      <xdr:rowOff>7620</xdr:rowOff>
    </xdr:from>
    <xdr:ext cx="11683365" cy="4549140"/>
    <xdr:graphicFrame>
      <xdr:nvGraphicFramePr>
        <xdr:cNvPr id="3" name="Chart 2" title="Chart"/>
        <xdr:cNvGraphicFramePr/>
      </xdr:nvGraphicFramePr>
      <xdr:xfrm>
        <a:off x="8101965" y="7620"/>
        <a:ext cx="11683365" cy="454914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66675</xdr:colOff>
      <xdr:row>24</xdr:row>
      <xdr:rowOff>85725</xdr:rowOff>
    </xdr:from>
    <xdr:ext cx="7591425" cy="4667250"/>
    <xdr:graphicFrame>
      <xdr:nvGraphicFramePr>
        <xdr:cNvPr id="4" name="Chart 3" title="Chart"/>
        <xdr:cNvGraphicFramePr/>
      </xdr:nvGraphicFramePr>
      <xdr:xfrm>
        <a:off x="66675" y="4886325"/>
        <a:ext cx="7591425" cy="466725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47625</xdr:colOff>
      <xdr:row>24</xdr:row>
      <xdr:rowOff>85725</xdr:rowOff>
    </xdr:from>
    <xdr:ext cx="7591425" cy="4667250"/>
    <xdr:graphicFrame>
      <xdr:nvGraphicFramePr>
        <xdr:cNvPr id="5" name="Chart 4" title="Chart"/>
        <xdr:cNvGraphicFramePr/>
      </xdr:nvGraphicFramePr>
      <xdr:xfrm>
        <a:off x="6976745" y="4886325"/>
        <a:ext cx="7591425" cy="466725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66675</xdr:colOff>
      <xdr:row>48</xdr:row>
      <xdr:rowOff>47625</xdr:rowOff>
    </xdr:from>
    <xdr:ext cx="7591425" cy="4667250"/>
    <xdr:graphicFrame>
      <xdr:nvGraphicFramePr>
        <xdr:cNvPr id="6" name="Chart 5" title="Chart"/>
        <xdr:cNvGraphicFramePr/>
      </xdr:nvGraphicFramePr>
      <xdr:xfrm>
        <a:off x="66675" y="9648825"/>
        <a:ext cx="7591425" cy="466725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
  <sheetViews>
    <sheetView tabSelected="1" zoomScale="69" zoomScaleNormal="69" workbookViewId="0">
      <selection activeCell="V33" sqref="V33"/>
    </sheetView>
  </sheetViews>
  <sheetFormatPr defaultColWidth="12.6296296296296" defaultRowHeight="15.75" customHeight="1"/>
  <sheetData/>
  <printOptions horizontalCentered="1" gridLines="1"/>
  <pageMargins left="0.7" right="0.7" top="0.75" bottom="0.75" header="0" footer="0"/>
  <pageSetup paperSize="1" fitToHeight="0" pageOrder="overThenDown" orientation="landscape" cellComments="atEnd"/>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AG1004"/>
  <sheetViews>
    <sheetView workbookViewId="0">
      <selection activeCell="A1" sqref="A1"/>
    </sheetView>
  </sheetViews>
  <sheetFormatPr defaultColWidth="12.6296296296296" defaultRowHeight="15.75" customHeight="1"/>
  <cols>
    <col min="1" max="1" width="19.8796296296296" customWidth="1"/>
    <col min="2" max="2" width="16.1296296296296" hidden="1" customWidth="1"/>
    <col min="3" max="3" width="12.6296296296296" hidden="1"/>
    <col min="4" max="4" width="13.6296296296296" hidden="1" customWidth="1"/>
    <col min="5" max="5" width="26.3796296296296" hidden="1" customWidth="1"/>
    <col min="6" max="6" width="20.8796296296296" hidden="1" customWidth="1"/>
    <col min="8" max="8" width="15.8796296296296" customWidth="1"/>
    <col min="9" max="13" width="17.1296296296296" customWidth="1"/>
    <col min="14" max="14" width="17.6296296296296" customWidth="1"/>
    <col min="15" max="16" width="17.1296296296296" customWidth="1"/>
    <col min="19" max="19" width="14.5" customWidth="1"/>
  </cols>
  <sheetData>
    <row r="1" customHeight="1" spans="2:16">
      <c r="B1" s="7"/>
      <c r="C1" s="7"/>
      <c r="D1" s="7"/>
      <c r="E1" s="7"/>
      <c r="F1" s="7"/>
      <c r="G1" s="7" t="s">
        <v>0</v>
      </c>
      <c r="I1" s="12">
        <v>800000000</v>
      </c>
      <c r="J1" s="13"/>
      <c r="K1" s="13"/>
      <c r="L1" s="13"/>
      <c r="M1" s="13"/>
      <c r="N1" s="13"/>
      <c r="O1" s="13"/>
      <c r="P1" s="13"/>
    </row>
    <row r="2" customHeight="1" spans="2:16">
      <c r="B2" s="7"/>
      <c r="C2" s="7"/>
      <c r="D2" s="7"/>
      <c r="E2" s="7"/>
      <c r="F2" s="7"/>
      <c r="G2" s="7" t="s">
        <v>1</v>
      </c>
      <c r="I2" s="14">
        <f>SUM(I6:AG6)</f>
        <v>1</v>
      </c>
      <c r="J2" s="13"/>
      <c r="K2" s="13"/>
      <c r="L2" s="13"/>
      <c r="M2" s="13"/>
      <c r="N2" s="13"/>
      <c r="O2" s="13"/>
      <c r="P2" s="13"/>
    </row>
    <row r="3" customHeight="1" spans="2:16">
      <c r="B3" s="7"/>
      <c r="C3" s="7"/>
      <c r="D3" s="7"/>
      <c r="E3" s="7"/>
      <c r="F3" s="7"/>
      <c r="G3" s="7" t="s">
        <v>2</v>
      </c>
      <c r="I3" s="13" t="b">
        <f ca="1">MAX(H18:H1004)=I1</f>
        <v>1</v>
      </c>
      <c r="J3" s="13"/>
      <c r="K3" s="13"/>
      <c r="L3" s="13"/>
      <c r="M3" s="13"/>
      <c r="N3" s="13"/>
      <c r="O3" s="13"/>
      <c r="P3" s="13"/>
    </row>
    <row r="4" customHeight="1" spans="9:16">
      <c r="I4" s="13"/>
      <c r="J4" s="13"/>
      <c r="K4" s="13"/>
      <c r="L4" s="13"/>
      <c r="M4" s="15"/>
      <c r="N4" s="13"/>
      <c r="O4" s="13"/>
      <c r="P4" s="13"/>
    </row>
    <row r="5" customHeight="1" spans="2:19">
      <c r="B5" s="2"/>
      <c r="C5" s="2"/>
      <c r="D5" s="2"/>
      <c r="E5" s="2"/>
      <c r="F5" s="2"/>
      <c r="G5" s="2"/>
      <c r="H5" s="7" t="s">
        <v>3</v>
      </c>
      <c r="I5" s="13" t="s">
        <v>4</v>
      </c>
      <c r="J5" s="13" t="s">
        <v>5</v>
      </c>
      <c r="K5" s="13" t="s">
        <v>6</v>
      </c>
      <c r="L5" s="13" t="s">
        <v>7</v>
      </c>
      <c r="M5" s="13" t="s">
        <v>8</v>
      </c>
      <c r="N5" s="13" t="s">
        <v>9</v>
      </c>
      <c r="O5" s="16" t="s">
        <v>10</v>
      </c>
      <c r="P5" s="13" t="s">
        <v>11</v>
      </c>
      <c r="Q5" s="13" t="s">
        <v>12</v>
      </c>
      <c r="R5" s="13" t="s">
        <v>13</v>
      </c>
      <c r="S5" s="13" t="s">
        <v>14</v>
      </c>
    </row>
    <row r="6" customHeight="1" spans="2:19">
      <c r="B6" s="8"/>
      <c r="C6" s="8"/>
      <c r="D6" s="8"/>
      <c r="E6" s="8"/>
      <c r="F6" s="8"/>
      <c r="G6" s="8"/>
      <c r="H6" s="7" t="s">
        <v>15</v>
      </c>
      <c r="I6" s="14">
        <v>0.13</v>
      </c>
      <c r="J6" s="14">
        <v>0.115</v>
      </c>
      <c r="K6" s="14">
        <v>0.04</v>
      </c>
      <c r="L6" s="14">
        <v>0.015</v>
      </c>
      <c r="M6" s="14">
        <v>0.005</v>
      </c>
      <c r="N6" s="14">
        <v>0.07</v>
      </c>
      <c r="O6" s="14">
        <v>0.06</v>
      </c>
      <c r="P6" s="14">
        <v>0.5</v>
      </c>
      <c r="Q6" s="14">
        <v>0.025</v>
      </c>
      <c r="R6" s="14">
        <v>0.036</v>
      </c>
      <c r="S6" s="14">
        <v>0.004</v>
      </c>
    </row>
    <row r="7" customHeight="1" spans="2:19">
      <c r="B7" s="2"/>
      <c r="C7" s="2"/>
      <c r="D7" s="2"/>
      <c r="E7" s="2"/>
      <c r="F7" s="2"/>
      <c r="G7" s="2"/>
      <c r="H7" s="7" t="s">
        <v>16</v>
      </c>
      <c r="I7" s="13">
        <v>48</v>
      </c>
      <c r="J7" s="13">
        <v>48</v>
      </c>
      <c r="K7" s="13">
        <v>24</v>
      </c>
      <c r="L7" s="13">
        <v>36</v>
      </c>
      <c r="M7" s="13">
        <v>24</v>
      </c>
      <c r="N7" s="13">
        <v>2</v>
      </c>
      <c r="O7" s="13">
        <v>2</v>
      </c>
      <c r="P7" s="13">
        <v>6</v>
      </c>
      <c r="Q7" s="13">
        <v>0</v>
      </c>
      <c r="R7" s="13">
        <v>2</v>
      </c>
      <c r="S7" s="13">
        <v>2</v>
      </c>
    </row>
    <row r="8" customHeight="1" spans="2:19">
      <c r="B8" s="2"/>
      <c r="C8" s="2"/>
      <c r="D8" s="2"/>
      <c r="E8" s="2"/>
      <c r="F8" s="2"/>
      <c r="G8" s="2"/>
      <c r="H8" s="7" t="s">
        <v>17</v>
      </c>
      <c r="I8" s="13">
        <v>12</v>
      </c>
      <c r="J8" s="13">
        <v>12</v>
      </c>
      <c r="K8" s="13">
        <v>6</v>
      </c>
      <c r="L8" s="13">
        <v>12</v>
      </c>
      <c r="M8" s="13">
        <v>6</v>
      </c>
      <c r="N8" s="13">
        <v>0</v>
      </c>
      <c r="O8" s="13">
        <v>0</v>
      </c>
      <c r="P8" s="13">
        <v>0</v>
      </c>
      <c r="Q8" s="13">
        <v>0</v>
      </c>
      <c r="R8" s="13">
        <v>0</v>
      </c>
      <c r="S8" s="13">
        <v>0</v>
      </c>
    </row>
    <row r="9" customHeight="1" spans="2:19">
      <c r="B9" s="2"/>
      <c r="C9" s="2"/>
      <c r="D9" s="2"/>
      <c r="E9" s="2"/>
      <c r="F9" s="2"/>
      <c r="G9" s="2"/>
      <c r="H9" s="7" t="s">
        <v>18</v>
      </c>
      <c r="I9" s="13">
        <v>0</v>
      </c>
      <c r="J9" s="13">
        <v>0</v>
      </c>
      <c r="K9" s="13">
        <v>0</v>
      </c>
      <c r="L9" s="13">
        <v>0</v>
      </c>
      <c r="M9" s="13">
        <v>0</v>
      </c>
      <c r="N9" s="13">
        <v>0</v>
      </c>
      <c r="O9" s="13">
        <v>0</v>
      </c>
      <c r="P9" s="13">
        <v>0</v>
      </c>
      <c r="Q9" s="13">
        <v>0</v>
      </c>
      <c r="R9" s="13">
        <v>0</v>
      </c>
      <c r="S9" s="13">
        <v>0</v>
      </c>
    </row>
    <row r="10" customHeight="1" spans="2:19">
      <c r="B10" s="2"/>
      <c r="C10" s="2"/>
      <c r="D10" s="2"/>
      <c r="E10" s="2"/>
      <c r="F10" s="2"/>
      <c r="G10" s="2"/>
      <c r="H10" s="7" t="s">
        <v>19</v>
      </c>
      <c r="I10" s="13">
        <v>0</v>
      </c>
      <c r="J10" s="13">
        <v>0</v>
      </c>
      <c r="K10" s="13">
        <v>0</v>
      </c>
      <c r="L10" s="13">
        <v>0</v>
      </c>
      <c r="M10" s="13">
        <v>0</v>
      </c>
      <c r="N10" s="13">
        <v>0</v>
      </c>
      <c r="O10" s="13">
        <v>0</v>
      </c>
      <c r="P10" s="13">
        <v>0</v>
      </c>
      <c r="Q10" s="13">
        <v>0</v>
      </c>
      <c r="R10" s="13">
        <v>0</v>
      </c>
      <c r="S10" s="13">
        <v>0</v>
      </c>
    </row>
    <row r="11" customHeight="1" spans="2:33">
      <c r="B11" s="2"/>
      <c r="C11" s="2"/>
      <c r="D11" s="2"/>
      <c r="E11" s="2"/>
      <c r="F11" s="2"/>
      <c r="G11" s="2"/>
      <c r="H11" s="7" t="s">
        <v>20</v>
      </c>
      <c r="I11" s="13" t="s">
        <v>21</v>
      </c>
      <c r="J11" s="13" t="s">
        <v>21</v>
      </c>
      <c r="K11" s="13" t="s">
        <v>22</v>
      </c>
      <c r="L11" s="13" t="s">
        <v>21</v>
      </c>
      <c r="M11" s="13" t="s">
        <v>21</v>
      </c>
      <c r="N11" s="13" t="s">
        <v>22</v>
      </c>
      <c r="O11" s="13" t="s">
        <v>22</v>
      </c>
      <c r="P11" s="13" t="s">
        <v>22</v>
      </c>
      <c r="Q11" s="2" t="s">
        <v>22</v>
      </c>
      <c r="R11" s="2" t="s">
        <v>22</v>
      </c>
      <c r="S11" s="2" t="s">
        <v>22</v>
      </c>
      <c r="T11" s="1"/>
      <c r="U11" s="1"/>
      <c r="V11" s="1"/>
      <c r="W11" s="1"/>
      <c r="X11" s="1"/>
      <c r="Y11" s="1"/>
      <c r="Z11" s="1"/>
      <c r="AA11" s="1"/>
      <c r="AB11" s="1"/>
      <c r="AC11" s="1"/>
      <c r="AD11" s="1"/>
      <c r="AE11" s="1"/>
      <c r="AF11" s="1"/>
      <c r="AG11" s="1"/>
    </row>
    <row r="12" customHeight="1" spans="2:33">
      <c r="B12" s="2"/>
      <c r="C12" s="2"/>
      <c r="D12" s="2"/>
      <c r="E12" s="2"/>
      <c r="F12" s="2"/>
      <c r="G12" s="2"/>
      <c r="H12" s="7" t="s">
        <v>23</v>
      </c>
      <c r="I12" s="13">
        <v>20</v>
      </c>
      <c r="J12" s="13">
        <v>20</v>
      </c>
      <c r="K12" s="13">
        <v>12</v>
      </c>
      <c r="L12" s="13">
        <v>15</v>
      </c>
      <c r="M12" s="13">
        <v>15</v>
      </c>
      <c r="N12" s="13">
        <v>20</v>
      </c>
      <c r="O12" s="13">
        <v>20</v>
      </c>
      <c r="P12" s="13">
        <v>20</v>
      </c>
      <c r="Q12" s="2">
        <v>20</v>
      </c>
      <c r="R12" s="2">
        <v>20</v>
      </c>
      <c r="S12" s="2">
        <v>20</v>
      </c>
      <c r="T12" s="2">
        <v>20</v>
      </c>
      <c r="U12" s="2">
        <v>20</v>
      </c>
      <c r="V12" s="2">
        <v>20</v>
      </c>
      <c r="W12" s="2">
        <v>20</v>
      </c>
      <c r="X12" s="2">
        <v>20</v>
      </c>
      <c r="Y12" s="2">
        <v>20</v>
      </c>
      <c r="Z12" s="2">
        <v>20</v>
      </c>
      <c r="AA12" s="2">
        <v>20</v>
      </c>
      <c r="AB12" s="2">
        <v>20</v>
      </c>
      <c r="AC12" s="2">
        <v>20</v>
      </c>
      <c r="AD12" s="2">
        <v>20</v>
      </c>
      <c r="AE12" s="2">
        <v>20</v>
      </c>
      <c r="AF12" s="2">
        <v>20</v>
      </c>
      <c r="AG12" s="2">
        <v>20</v>
      </c>
    </row>
    <row r="13" customHeight="1" spans="2:33">
      <c r="B13" s="2"/>
      <c r="C13" s="2"/>
      <c r="D13" s="2"/>
      <c r="E13" s="2"/>
      <c r="F13" s="2"/>
      <c r="G13" s="2"/>
      <c r="H13" s="7" t="s">
        <v>24</v>
      </c>
      <c r="I13" s="13">
        <v>8</v>
      </c>
      <c r="J13" s="13">
        <v>8</v>
      </c>
      <c r="K13" s="13">
        <v>0</v>
      </c>
      <c r="L13" s="13">
        <v>5</v>
      </c>
      <c r="M13" s="13">
        <v>5</v>
      </c>
      <c r="N13" s="13">
        <v>8</v>
      </c>
      <c r="O13" s="13">
        <v>8</v>
      </c>
      <c r="P13" s="13">
        <v>8</v>
      </c>
      <c r="Q13" s="2">
        <v>8</v>
      </c>
      <c r="R13" s="2">
        <v>8</v>
      </c>
      <c r="S13" s="2">
        <v>8</v>
      </c>
      <c r="T13" s="2">
        <v>8</v>
      </c>
      <c r="U13" s="2">
        <v>8</v>
      </c>
      <c r="V13" s="2">
        <v>8</v>
      </c>
      <c r="W13" s="2">
        <v>8</v>
      </c>
      <c r="X13" s="2">
        <v>8</v>
      </c>
      <c r="Y13" s="2">
        <v>8</v>
      </c>
      <c r="Z13" s="2">
        <v>8</v>
      </c>
      <c r="AA13" s="2">
        <v>8</v>
      </c>
      <c r="AB13" s="2">
        <v>8</v>
      </c>
      <c r="AC13" s="2">
        <v>8</v>
      </c>
      <c r="AD13" s="2">
        <v>8</v>
      </c>
      <c r="AE13" s="2">
        <v>8</v>
      </c>
      <c r="AF13" s="2">
        <v>8</v>
      </c>
      <c r="AG13" s="2">
        <v>8</v>
      </c>
    </row>
    <row r="14" customHeight="1" spans="2:33">
      <c r="B14" s="9"/>
      <c r="C14" s="9"/>
      <c r="D14" s="9"/>
      <c r="E14" s="9"/>
      <c r="F14" s="9"/>
      <c r="G14" s="9" t="s">
        <v>25</v>
      </c>
      <c r="H14" s="7" t="s">
        <v>26</v>
      </c>
      <c r="I14" s="13" t="b">
        <f t="shared" ref="I14:AG14" si="0">I7+I9&lt;=120</f>
        <v>1</v>
      </c>
      <c r="J14" s="13" t="b">
        <f t="shared" si="0"/>
        <v>1</v>
      </c>
      <c r="K14" s="13" t="b">
        <f t="shared" si="0"/>
        <v>1</v>
      </c>
      <c r="L14" s="13" t="b">
        <f t="shared" si="0"/>
        <v>1</v>
      </c>
      <c r="M14" s="13" t="b">
        <f t="shared" si="0"/>
        <v>1</v>
      </c>
      <c r="N14" s="13" t="b">
        <f t="shared" si="0"/>
        <v>1</v>
      </c>
      <c r="O14" s="13" t="b">
        <f t="shared" si="0"/>
        <v>1</v>
      </c>
      <c r="P14" s="13" t="b">
        <f t="shared" si="0"/>
        <v>1</v>
      </c>
      <c r="Q14" s="2" t="b">
        <f t="shared" si="0"/>
        <v>1</v>
      </c>
      <c r="R14" s="2" t="b">
        <f t="shared" si="0"/>
        <v>1</v>
      </c>
      <c r="S14" s="2" t="b">
        <f t="shared" si="0"/>
        <v>1</v>
      </c>
      <c r="T14" s="2" t="b">
        <f t="shared" si="0"/>
        <v>1</v>
      </c>
      <c r="U14" s="2" t="b">
        <f t="shared" si="0"/>
        <v>1</v>
      </c>
      <c r="V14" s="2" t="b">
        <f t="shared" si="0"/>
        <v>1</v>
      </c>
      <c r="W14" s="2" t="b">
        <f t="shared" si="0"/>
        <v>1</v>
      </c>
      <c r="X14" s="2" t="b">
        <f t="shared" si="0"/>
        <v>1</v>
      </c>
      <c r="Y14" s="2" t="b">
        <f t="shared" si="0"/>
        <v>1</v>
      </c>
      <c r="Z14" s="2" t="b">
        <f t="shared" si="0"/>
        <v>1</v>
      </c>
      <c r="AA14" s="2" t="b">
        <f t="shared" si="0"/>
        <v>1</v>
      </c>
      <c r="AB14" s="2" t="b">
        <f t="shared" si="0"/>
        <v>1</v>
      </c>
      <c r="AC14" s="2" t="b">
        <f t="shared" si="0"/>
        <v>1</v>
      </c>
      <c r="AD14" s="2" t="b">
        <f t="shared" si="0"/>
        <v>1</v>
      </c>
      <c r="AE14" s="2" t="b">
        <f t="shared" si="0"/>
        <v>1</v>
      </c>
      <c r="AF14" s="2" t="b">
        <f t="shared" si="0"/>
        <v>1</v>
      </c>
      <c r="AG14" s="2" t="b">
        <f t="shared" si="0"/>
        <v>1</v>
      </c>
    </row>
    <row r="15" customHeight="1" spans="2:33">
      <c r="B15" s="9"/>
      <c r="C15" s="9"/>
      <c r="D15" s="9"/>
      <c r="E15" s="9"/>
      <c r="F15" s="9"/>
      <c r="H15" s="7" t="s">
        <v>27</v>
      </c>
      <c r="I15" s="13" t="b">
        <f t="shared" ref="I15:AG15" si="1">IF(I10=0,TRUE,MOD(I7,I10)=0)</f>
        <v>1</v>
      </c>
      <c r="J15" s="13" t="b">
        <f t="shared" si="1"/>
        <v>1</v>
      </c>
      <c r="K15" s="13" t="b">
        <f t="shared" si="1"/>
        <v>1</v>
      </c>
      <c r="L15" s="13" t="b">
        <f t="shared" si="1"/>
        <v>1</v>
      </c>
      <c r="M15" s="13" t="b">
        <f t="shared" si="1"/>
        <v>1</v>
      </c>
      <c r="N15" s="13" t="b">
        <f t="shared" si="1"/>
        <v>1</v>
      </c>
      <c r="O15" s="13" t="b">
        <f t="shared" si="1"/>
        <v>1</v>
      </c>
      <c r="P15" s="13" t="b">
        <f t="shared" si="1"/>
        <v>1</v>
      </c>
      <c r="Q15" s="2" t="b">
        <f t="shared" si="1"/>
        <v>1</v>
      </c>
      <c r="R15" s="2" t="b">
        <f t="shared" si="1"/>
        <v>1</v>
      </c>
      <c r="S15" s="2" t="b">
        <f t="shared" si="1"/>
        <v>1</v>
      </c>
      <c r="T15" s="2" t="b">
        <f t="shared" si="1"/>
        <v>1</v>
      </c>
      <c r="U15" s="2" t="b">
        <f t="shared" si="1"/>
        <v>1</v>
      </c>
      <c r="V15" s="2" t="b">
        <f t="shared" si="1"/>
        <v>1</v>
      </c>
      <c r="W15" s="2" t="b">
        <f t="shared" si="1"/>
        <v>1</v>
      </c>
      <c r="X15" s="2" t="b">
        <f t="shared" si="1"/>
        <v>1</v>
      </c>
      <c r="Y15" s="2" t="b">
        <f t="shared" si="1"/>
        <v>1</v>
      </c>
      <c r="Z15" s="2" t="b">
        <f t="shared" si="1"/>
        <v>1</v>
      </c>
      <c r="AA15" s="2" t="b">
        <f t="shared" si="1"/>
        <v>1</v>
      </c>
      <c r="AB15" s="2" t="b">
        <f t="shared" si="1"/>
        <v>1</v>
      </c>
      <c r="AC15" s="2" t="b">
        <f t="shared" si="1"/>
        <v>1</v>
      </c>
      <c r="AD15" s="2" t="b">
        <f t="shared" si="1"/>
        <v>1</v>
      </c>
      <c r="AE15" s="2" t="b">
        <f t="shared" si="1"/>
        <v>1</v>
      </c>
      <c r="AF15" s="2" t="b">
        <f t="shared" si="1"/>
        <v>1</v>
      </c>
      <c r="AG15" s="2" t="b">
        <f t="shared" si="1"/>
        <v>1</v>
      </c>
    </row>
    <row r="16" customHeight="1" spans="2:33">
      <c r="B16" s="9"/>
      <c r="C16" s="9"/>
      <c r="D16" s="9"/>
      <c r="E16" s="9"/>
      <c r="F16" s="9"/>
      <c r="H16" s="7" t="s">
        <v>28</v>
      </c>
      <c r="I16" s="13" t="b">
        <f ca="1">MAX(I18:I1004)=I6*TotalSupply</f>
        <v>1</v>
      </c>
      <c r="J16" s="13" t="b">
        <f ca="1">MAX(J18:J1004)=J6*TotalSupply</f>
        <v>1</v>
      </c>
      <c r="K16" s="13" t="b">
        <f ca="1">MAX(K18:K1004)=K6*TotalSupply</f>
        <v>1</v>
      </c>
      <c r="L16" s="13" t="b">
        <f ca="1">MAX(L18:L1004)=L6*TotalSupply</f>
        <v>1</v>
      </c>
      <c r="M16" s="13" t="b">
        <f ca="1">MAX(M18:M1004)=M6*TotalSupply</f>
        <v>1</v>
      </c>
      <c r="N16" s="13" t="b">
        <f ca="1">MAX(N17:N1004)=N6*TotalSupply</f>
        <v>1</v>
      </c>
      <c r="O16" s="13" t="b">
        <f ca="1">MAX(O17:O1004)=O6*TotalSupply</f>
        <v>1</v>
      </c>
      <c r="P16" s="13" t="b">
        <f ca="1">MAX(P17:P1004)=P6*TotalSupply</f>
        <v>1</v>
      </c>
      <c r="Q16" s="2" t="b">
        <f ca="1">MAX(Q18:Q1004)=Q6*TotalSupply</f>
        <v>1</v>
      </c>
      <c r="R16" s="2" t="b">
        <f ca="1">MAX(R18:R1004)=R6*TotalSupply</f>
        <v>1</v>
      </c>
      <c r="S16" s="2" t="b">
        <f ca="1">MAX(S18:S1004)=S6*TotalSupply</f>
        <v>1</v>
      </c>
      <c r="T16" s="2" t="b">
        <f>MAX(T18:T1004)=T6*TotalSupply</f>
        <v>1</v>
      </c>
      <c r="U16" s="2" t="b">
        <f>MAX(U18:U1004)=U6*TotalSupply</f>
        <v>1</v>
      </c>
      <c r="V16" s="2" t="b">
        <f>MAX(V18:V1004)=V6*TotalSupply</f>
        <v>1</v>
      </c>
      <c r="W16" s="2" t="b">
        <f>MAX(W18:W1004)=W6*TotalSupply</f>
        <v>1</v>
      </c>
      <c r="X16" s="2" t="b">
        <f>MAX(X18:X1004)=X6*TotalSupply</f>
        <v>1</v>
      </c>
      <c r="Y16" s="2" t="b">
        <f>MAX(Y18:Y1004)=Y6*TotalSupply</f>
        <v>1</v>
      </c>
      <c r="Z16" s="2" t="b">
        <f>MAX(Z18:Z1004)=Z6*TotalSupply</f>
        <v>1</v>
      </c>
      <c r="AA16" s="2" t="b">
        <f>MAX(AA18:AA1004)=AA6*TotalSupply</f>
        <v>1</v>
      </c>
      <c r="AB16" s="2" t="b">
        <f>MAX(AB18:AB1004)=AB6*TotalSupply</f>
        <v>1</v>
      </c>
      <c r="AC16" s="2" t="b">
        <f>MAX(AC18:AC1004)=AC6*TotalSupply</f>
        <v>1</v>
      </c>
      <c r="AD16" s="2" t="b">
        <f>MAX(AD18:AD1004)=AD6*TotalSupply</f>
        <v>1</v>
      </c>
      <c r="AE16" s="2" t="b">
        <f>MAX(AE18:AE1004)=AE6*TotalSupply</f>
        <v>1</v>
      </c>
      <c r="AF16" s="2" t="b">
        <f>MAX(AF18:AF1004)=AF6*TotalSupply</f>
        <v>1</v>
      </c>
      <c r="AG16" s="2" t="b">
        <f>MAX(AG18:AG1004)=AG6*TotalSupply</f>
        <v>1</v>
      </c>
    </row>
    <row r="17" customHeight="1" spans="9:16">
      <c r="I17" s="13"/>
      <c r="J17" s="13"/>
      <c r="K17" s="13"/>
      <c r="L17" s="13"/>
      <c r="M17" s="5"/>
      <c r="N17" s="17"/>
      <c r="O17" s="13"/>
      <c r="P17" s="13"/>
    </row>
    <row r="18" customHeight="1" spans="1:33">
      <c r="A18" s="7" t="s">
        <v>29</v>
      </c>
      <c r="B18" s="10" t="s">
        <v>30</v>
      </c>
      <c r="C18" s="7" t="s">
        <v>31</v>
      </c>
      <c r="D18" s="7" t="s">
        <v>32</v>
      </c>
      <c r="E18" s="7" t="s">
        <v>33</v>
      </c>
      <c r="F18" s="7" t="s">
        <v>34</v>
      </c>
      <c r="G18" s="10" t="s">
        <v>35</v>
      </c>
      <c r="H18" s="10" t="s">
        <v>36</v>
      </c>
      <c r="I18" s="17" t="str">
        <f t="shared" ref="I18:S18" si="2">I5</f>
        <v>Team</v>
      </c>
      <c r="J18" s="17" t="str">
        <f t="shared" si="2"/>
        <v>Foundation</v>
      </c>
      <c r="K18" s="17" t="str">
        <f t="shared" si="2"/>
        <v>Advisors</v>
      </c>
      <c r="L18" s="17" t="str">
        <f t="shared" si="2"/>
        <v>Private Investors</v>
      </c>
      <c r="M18" s="17" t="str">
        <f t="shared" si="2"/>
        <v>Public rounds</v>
      </c>
      <c r="N18" s="17" t="str">
        <f t="shared" si="2"/>
        <v>Community Rewards</v>
      </c>
      <c r="O18" s="17" t="str">
        <f t="shared" si="2"/>
        <v>Ecosystem growth fund</v>
      </c>
      <c r="P18" s="17" t="str">
        <f t="shared" si="2"/>
        <v>Staking</v>
      </c>
      <c r="Q18" s="17" t="str">
        <f t="shared" si="2"/>
        <v>Air drops</v>
      </c>
      <c r="R18" s="17" t="str">
        <f t="shared" si="2"/>
        <v>Treasury</v>
      </c>
      <c r="S18" s="17" t="str">
        <f t="shared" si="2"/>
        <v>Testnet Incentive</v>
      </c>
      <c r="T18" s="4"/>
      <c r="U18" s="4"/>
      <c r="V18" s="4"/>
      <c r="W18" s="4"/>
      <c r="X18" s="4"/>
      <c r="Y18" s="4"/>
      <c r="Z18" s="4"/>
      <c r="AA18" s="4"/>
      <c r="AB18" s="4"/>
      <c r="AC18" s="4"/>
      <c r="AD18" s="4"/>
      <c r="AE18" s="4"/>
      <c r="AF18" s="4"/>
      <c r="AG18" s="4"/>
    </row>
    <row r="19" customHeight="1" spans="1:33">
      <c r="A19" s="2">
        <v>0</v>
      </c>
      <c r="B19" s="3">
        <f ca="1">G19</f>
        <v>0.025</v>
      </c>
      <c r="C19" s="3"/>
      <c r="D19" s="3"/>
      <c r="E19" s="3"/>
      <c r="F19" s="3"/>
      <c r="G19" s="3">
        <f ca="1">H19/TotalSupply</f>
        <v>0.025</v>
      </c>
      <c r="H19" s="11">
        <f ca="1" t="shared" ref="H19:H79" si="3">SUM(I19:AG19)</f>
        <v>20000000</v>
      </c>
      <c r="I19" s="12">
        <f ca="1">TotalSupply*I$6*MAX(0,MIN(1,IF(I$11="Linear",('Linear Curves'!B13-'Linear Curves'!B$8)/('Linear Curves'!B$10),('Sigmoid Curves'!B13-'Sigmoid Curves'!B$8)/('Sigmoid Curves'!B$10))))</f>
        <v>0</v>
      </c>
      <c r="J19" s="12">
        <f ca="1">TotalSupply*J$6*MAX(0,MIN(1,IF(J$11="Linear",('Linear Curves'!C13-'Linear Curves'!C$8)/('Linear Curves'!C$10),('Sigmoid Curves'!C13-'Sigmoid Curves'!C$8)/('Sigmoid Curves'!C$10))))</f>
        <v>0</v>
      </c>
      <c r="K19" s="12">
        <f ca="1">TotalSupply*K$6*MAX(0,MIN(1,IF(K$11="Linear",('Linear Curves'!D13-'Linear Curves'!D$8)/('Linear Curves'!D$10),('Sigmoid Curves'!D13-'Sigmoid Curves'!D$8)/('Sigmoid Curves'!D$10))))</f>
        <v>0</v>
      </c>
      <c r="L19" s="12">
        <f ca="1">TotalSupply*L$6*MAX(0,MIN(1,IF(L$11="Linear",('Linear Curves'!F13-'Linear Curves'!F$8)/('Linear Curves'!F$10),('Sigmoid Curves'!F13-'Sigmoid Curves'!F$8)/('Sigmoid Curves'!F$10))))</f>
        <v>0</v>
      </c>
      <c r="M19" s="12">
        <f ca="1">TotalSupply*M$6*MAX(0,MIN(1,IF(M$11="Linear",('Linear Curves'!G13-'Linear Curves'!G$8)/('Linear Curves'!G$10),('Sigmoid Curves'!G13-'Sigmoid Curves'!G$8)/('Sigmoid Curves'!G$10))))</f>
        <v>0</v>
      </c>
      <c r="N19" s="12">
        <f ca="1">TotalSupply*N$6*MAX(0,MIN(1,IF(N$11="Linear",('Linear Curves'!H13-'Linear Curves'!H$8)/('Linear Curves'!H$10),('Sigmoid Curves'!H13-'Sigmoid Curves'!H$8)/('Sigmoid Curves'!H$10))))</f>
        <v>0</v>
      </c>
      <c r="O19" s="12">
        <f ca="1">TotalSupply*O$6*MAX(0,MIN(1,IF(O$11="Linear",('Linear Curves'!I13-'Linear Curves'!I$8)/('Linear Curves'!I$10),('Sigmoid Curves'!I13-'Sigmoid Curves'!I$8)/('Sigmoid Curves'!I$10))))</f>
        <v>0</v>
      </c>
      <c r="P19" s="12">
        <f ca="1">TotalSupply*P$6*MAX(0,MIN(1,IF(P$11="Linear",('Linear Curves'!I13-'Linear Curves'!I$8)/('Linear Curves'!I$10),('Sigmoid Curves'!I13-'Sigmoid Curves'!I$8)/('Sigmoid Curves'!I$10))))</f>
        <v>0</v>
      </c>
      <c r="Q19" s="12">
        <f ca="1">TotalSupply*Q$6*MAX(0,MIN(1,IF(Q$11="Linear",('Linear Curves'!J13-'Linear Curves'!J$8)/('Linear Curves'!J$10),('Sigmoid Curves'!J13-'Sigmoid Curves'!J$8)/('Sigmoid Curves'!J$10))))</f>
        <v>20000000</v>
      </c>
      <c r="R19" s="12">
        <f ca="1">TotalSupply*R$6*MAX(0,MIN(1,IF(R$11="Linear",('Linear Curves'!K13-'Linear Curves'!K$8)/('Linear Curves'!K$10),('Sigmoid Curves'!K13-'Sigmoid Curves'!K$8)/('Sigmoid Curves'!K$10))))</f>
        <v>0</v>
      </c>
      <c r="S19" s="12">
        <f ca="1">TotalSupply*S$6*MAX(0,MIN(1,IF(S$11="Linear",('Linear Curves'!L13-'Linear Curves'!L$8)/('Linear Curves'!L$10),('Sigmoid Curves'!L13-'Sigmoid Curves'!L$8)/('Sigmoid Curves'!L$10))))</f>
        <v>0</v>
      </c>
      <c r="T19" s="11"/>
      <c r="U19" s="11"/>
      <c r="V19" s="11"/>
      <c r="W19" s="11"/>
      <c r="X19" s="11"/>
      <c r="Y19" s="11"/>
      <c r="Z19" s="11"/>
      <c r="AA19" s="11"/>
      <c r="AB19" s="11"/>
      <c r="AC19" s="11"/>
      <c r="AD19" s="11"/>
      <c r="AE19" s="11"/>
      <c r="AF19" s="11"/>
      <c r="AG19" s="11"/>
    </row>
    <row r="20" customHeight="1" spans="1:33">
      <c r="A20" s="2">
        <v>1</v>
      </c>
      <c r="B20" s="3">
        <f ca="1">MIN(1,((1-G$19)/(MATCH(100%,G$19:G1004,0)-1)*A20)+G$19)</f>
        <v>0.0453125</v>
      </c>
      <c r="C20" s="3">
        <f ca="1" t="shared" ref="C20:C79" si="4">B20-B19</f>
        <v>0.0203125</v>
      </c>
      <c r="D20" s="3">
        <f ca="1" t="shared" ref="D20:D79" si="5">G20-G19</f>
        <v>0.148333333333333</v>
      </c>
      <c r="E20" s="3">
        <f ca="1" t="shared" ref="E20:E79" si="6">((B20/B19)-1)*12</f>
        <v>9.75</v>
      </c>
      <c r="F20" s="3">
        <f ca="1" t="shared" ref="F20:F79" si="7">((H20/H19)-1)*12</f>
        <v>71.2</v>
      </c>
      <c r="G20" s="3">
        <f ca="1">H20/TotalSupply</f>
        <v>0.173333333333333</v>
      </c>
      <c r="H20" s="11">
        <f ca="1" t="shared" si="3"/>
        <v>138666666.666667</v>
      </c>
      <c r="I20" s="12">
        <f ca="1">TotalSupply*I$6*MAX(0,MIN(1,IF(I$11="Linear",('Linear Curves'!B14-'Linear Curves'!B$8)/('Linear Curves'!B$10),('Sigmoid Curves'!B14-'Sigmoid Curves'!B$8)/('Sigmoid Curves'!B$10))))</f>
        <v>0</v>
      </c>
      <c r="J20" s="12">
        <f ca="1">TotalSupply*J$6*MAX(0,MIN(1,IF(J$11="Linear",('Linear Curves'!C14-'Linear Curves'!C$8)/('Linear Curves'!C$10),('Sigmoid Curves'!C14-'Sigmoid Curves'!C$8)/('Sigmoid Curves'!C$10))))</f>
        <v>0</v>
      </c>
      <c r="K20" s="12">
        <f ca="1">TotalSupply*K$6*MAX(0,MIN(1,IF(K$11="Linear",('Linear Curves'!D14-'Linear Curves'!D$8)/('Linear Curves'!D$10),('Sigmoid Curves'!D14-'Sigmoid Curves'!D$8)/('Sigmoid Curves'!D$10))))</f>
        <v>0</v>
      </c>
      <c r="L20" s="12">
        <f ca="1">TotalSupply*L$6*MAX(0,MIN(1,IF(L$11="Linear",('Linear Curves'!F14-'Linear Curves'!F$8)/('Linear Curves'!F$10),('Sigmoid Curves'!F14-'Sigmoid Curves'!F$8)/('Sigmoid Curves'!F$10))))</f>
        <v>0</v>
      </c>
      <c r="M20" s="12">
        <f ca="1">TotalSupply*M$6*MAX(0,MIN(1,IF(M$11="Linear",('Linear Curves'!G14-'Linear Curves'!G$8)/('Linear Curves'!G$10),('Sigmoid Curves'!G14-'Sigmoid Curves'!G$8)/('Sigmoid Curves'!G$10))))</f>
        <v>0</v>
      </c>
      <c r="N20" s="12">
        <f ca="1">TotalSupply*N$6*MAX(0,MIN(1,IF(N$11="Linear",('Linear Curves'!H14-'Linear Curves'!H$8)/('Linear Curves'!H$10),('Sigmoid Curves'!H14-'Sigmoid Curves'!H$8)/('Sigmoid Curves'!H$10))))</f>
        <v>28000000</v>
      </c>
      <c r="O20" s="12">
        <f ca="1">TotalSupply*O$6*MAX(0,MIN(1,IF(O$11="Linear",('Linear Curves'!I14-'Linear Curves'!I$8)/('Linear Curves'!I$10),('Sigmoid Curves'!I14-'Sigmoid Curves'!I$8)/('Sigmoid Curves'!I$10))))</f>
        <v>8000000</v>
      </c>
      <c r="P20" s="12">
        <f ca="1">TotalSupply*P$6*MAX(0,MIN(1,IF(P$11="Linear",('Linear Curves'!I14-'Linear Curves'!I$8)/('Linear Curves'!I$10),('Sigmoid Curves'!I14-'Sigmoid Curves'!I$8)/('Sigmoid Curves'!I$10))))</f>
        <v>66666666.6666667</v>
      </c>
      <c r="Q20" s="12">
        <f ca="1">TotalSupply*Q$6*MAX(0,MIN(1,IF(Q$11="Linear",('Linear Curves'!J14-'Linear Curves'!J$8)/('Linear Curves'!J$10),('Sigmoid Curves'!J14-'Sigmoid Curves'!J$8)/('Sigmoid Curves'!J$10))))</f>
        <v>20000000</v>
      </c>
      <c r="R20" s="12">
        <f ca="1">TotalSupply*R$6*MAX(0,MIN(1,IF(R$11="Linear",('Linear Curves'!K14-'Linear Curves'!K$8)/('Linear Curves'!K$10),('Sigmoid Curves'!K14-'Sigmoid Curves'!K$8)/('Sigmoid Curves'!K$10))))</f>
        <v>14400000</v>
      </c>
      <c r="S20" s="12">
        <f ca="1">TotalSupply*S$6*MAX(0,MIN(1,IF(S$11="Linear",('Linear Curves'!L14-'Linear Curves'!L$8)/('Linear Curves'!L$10),('Sigmoid Curves'!L14-'Sigmoid Curves'!L$8)/('Sigmoid Curves'!L$10))))</f>
        <v>1600000</v>
      </c>
      <c r="T20" s="11"/>
      <c r="U20" s="11"/>
      <c r="V20" s="11"/>
      <c r="W20" s="11"/>
      <c r="X20" s="11"/>
      <c r="Y20" s="11"/>
      <c r="Z20" s="11"/>
      <c r="AA20" s="11"/>
      <c r="AB20" s="11"/>
      <c r="AC20" s="11"/>
      <c r="AD20" s="11"/>
      <c r="AE20" s="11"/>
      <c r="AF20" s="11"/>
      <c r="AG20" s="11"/>
    </row>
    <row r="21" customHeight="1" spans="1:33">
      <c r="A21" s="2">
        <v>2</v>
      </c>
      <c r="B21" s="3">
        <f ca="1">MIN(1,((1-G$19)/(MATCH(100%,G$19:G1005,0)-1)*A21)+G$19)</f>
        <v>0.065625</v>
      </c>
      <c r="C21" s="3">
        <f ca="1" t="shared" si="4"/>
        <v>0.0203125</v>
      </c>
      <c r="D21" s="3">
        <f ca="1" t="shared" si="5"/>
        <v>0.148333333333333</v>
      </c>
      <c r="E21" s="3">
        <f ca="1" t="shared" si="6"/>
        <v>5.37931034482758</v>
      </c>
      <c r="F21" s="3">
        <f ca="1" t="shared" si="7"/>
        <v>10.2692307692308</v>
      </c>
      <c r="G21" s="3">
        <f ca="1">H21/TotalSupply</f>
        <v>0.321666666666667</v>
      </c>
      <c r="H21" s="11">
        <f ca="1" t="shared" si="3"/>
        <v>257333333.333333</v>
      </c>
      <c r="I21" s="12">
        <f ca="1">TotalSupply*I$6*MAX(0,MIN(1,IF(I$11="Linear",('Linear Curves'!B15-'Linear Curves'!B$8)/('Linear Curves'!B$10),('Sigmoid Curves'!B15-'Sigmoid Curves'!B$8)/('Sigmoid Curves'!B$10))))</f>
        <v>0</v>
      </c>
      <c r="J21" s="12">
        <f ca="1">TotalSupply*J$6*MAX(0,MIN(1,IF(J$11="Linear",('Linear Curves'!C15-'Linear Curves'!C$8)/('Linear Curves'!C$10),('Sigmoid Curves'!C15-'Sigmoid Curves'!C$8)/('Sigmoid Curves'!C$10))))</f>
        <v>0</v>
      </c>
      <c r="K21" s="12">
        <f ca="1">TotalSupply*K$6*MAX(0,MIN(1,IF(K$11="Linear",('Linear Curves'!D15-'Linear Curves'!D$8)/('Linear Curves'!D$10),('Sigmoid Curves'!D15-'Sigmoid Curves'!D$8)/('Sigmoid Curves'!D$10))))</f>
        <v>0</v>
      </c>
      <c r="L21" s="12">
        <f ca="1">TotalSupply*L$6*MAX(0,MIN(1,IF(L$11="Linear",('Linear Curves'!F15-'Linear Curves'!F$8)/('Linear Curves'!F$10),('Sigmoid Curves'!F15-'Sigmoid Curves'!F$8)/('Sigmoid Curves'!F$10))))</f>
        <v>0</v>
      </c>
      <c r="M21" s="12">
        <f ca="1">TotalSupply*M$6*MAX(0,MIN(1,IF(M$11="Linear",('Linear Curves'!G15-'Linear Curves'!G$8)/('Linear Curves'!G$10),('Sigmoid Curves'!G15-'Sigmoid Curves'!G$8)/('Sigmoid Curves'!G$10))))</f>
        <v>0</v>
      </c>
      <c r="N21" s="12">
        <f ca="1">TotalSupply*N$6*MAX(0,MIN(1,IF(N$11="Linear",('Linear Curves'!H15-'Linear Curves'!H$8)/('Linear Curves'!H$10),('Sigmoid Curves'!H15-'Sigmoid Curves'!H$8)/('Sigmoid Curves'!H$10))))</f>
        <v>56000000</v>
      </c>
      <c r="O21" s="12">
        <f ca="1">TotalSupply*O$6*MAX(0,MIN(1,IF(O$11="Linear",('Linear Curves'!I15-'Linear Curves'!I$8)/('Linear Curves'!I$10),('Sigmoid Curves'!I15-'Sigmoid Curves'!I$8)/('Sigmoid Curves'!I$10))))</f>
        <v>16000000</v>
      </c>
      <c r="P21" s="12">
        <f ca="1">TotalSupply*P$6*MAX(0,MIN(1,IF(P$11="Linear",('Linear Curves'!I15-'Linear Curves'!I$8)/('Linear Curves'!I$10),('Sigmoid Curves'!I15-'Sigmoid Curves'!I$8)/('Sigmoid Curves'!I$10))))</f>
        <v>133333333.333333</v>
      </c>
      <c r="Q21" s="12">
        <f ca="1">TotalSupply*Q$6*MAX(0,MIN(1,IF(Q$11="Linear",('Linear Curves'!J15-'Linear Curves'!J$8)/('Linear Curves'!J$10),('Sigmoid Curves'!J15-'Sigmoid Curves'!J$8)/('Sigmoid Curves'!J$10))))</f>
        <v>20000000</v>
      </c>
      <c r="R21" s="12">
        <f ca="1">TotalSupply*R$6*MAX(0,MIN(1,IF(R$11="Linear",('Linear Curves'!K15-'Linear Curves'!K$8)/('Linear Curves'!K$10),('Sigmoid Curves'!K15-'Sigmoid Curves'!K$8)/('Sigmoid Curves'!K$10))))</f>
        <v>28800000</v>
      </c>
      <c r="S21" s="12">
        <f ca="1">TotalSupply*S$6*MAX(0,MIN(1,IF(S$11="Linear",('Linear Curves'!L15-'Linear Curves'!L$8)/('Linear Curves'!L$10),('Sigmoid Curves'!L15-'Sigmoid Curves'!L$8)/('Sigmoid Curves'!L$10))))</f>
        <v>3200000</v>
      </c>
      <c r="T21" s="11"/>
      <c r="U21" s="11"/>
      <c r="V21" s="11"/>
      <c r="W21" s="11"/>
      <c r="X21" s="11"/>
      <c r="Y21" s="11"/>
      <c r="Z21" s="11"/>
      <c r="AA21" s="11"/>
      <c r="AB21" s="11"/>
      <c r="AC21" s="11"/>
      <c r="AD21" s="11"/>
      <c r="AE21" s="11"/>
      <c r="AF21" s="11"/>
      <c r="AG21" s="11"/>
    </row>
    <row r="22" customHeight="1" spans="1:33">
      <c r="A22" s="2">
        <v>3</v>
      </c>
      <c r="B22" s="3">
        <f ca="1">MIN(1,((1-G$19)/(MATCH(100%,G$19:G1006,0)-1)*A22)+G$19)</f>
        <v>0.0859375</v>
      </c>
      <c r="C22" s="3">
        <f ca="1" t="shared" si="4"/>
        <v>0.0203125</v>
      </c>
      <c r="D22" s="3">
        <f ca="1" t="shared" si="5"/>
        <v>0.0933333333333333</v>
      </c>
      <c r="E22" s="3">
        <f ca="1" t="shared" si="6"/>
        <v>3.71428571428571</v>
      </c>
      <c r="F22" s="3">
        <f ca="1" t="shared" si="7"/>
        <v>3.48186528497409</v>
      </c>
      <c r="G22" s="3">
        <f ca="1">H22/TotalSupply</f>
        <v>0.415</v>
      </c>
      <c r="H22" s="11">
        <f ca="1" t="shared" si="3"/>
        <v>332000000</v>
      </c>
      <c r="I22" s="12">
        <f ca="1">TotalSupply*I$6*MAX(0,MIN(1,IF(I$11="Linear",('Linear Curves'!B16-'Linear Curves'!B$8)/('Linear Curves'!B$10),('Sigmoid Curves'!B16-'Sigmoid Curves'!B$8)/('Sigmoid Curves'!B$10))))</f>
        <v>0</v>
      </c>
      <c r="J22" s="12">
        <f ca="1">TotalSupply*J$6*MAX(0,MIN(1,IF(J$11="Linear",('Linear Curves'!C16-'Linear Curves'!C$8)/('Linear Curves'!C$10),('Sigmoid Curves'!C16-'Sigmoid Curves'!C$8)/('Sigmoid Curves'!C$10))))</f>
        <v>0</v>
      </c>
      <c r="K22" s="12">
        <f ca="1">TotalSupply*K$6*MAX(0,MIN(1,IF(K$11="Linear",('Linear Curves'!D16-'Linear Curves'!D$8)/('Linear Curves'!D$10),('Sigmoid Curves'!D16-'Sigmoid Curves'!D$8)/('Sigmoid Curves'!D$10))))</f>
        <v>0</v>
      </c>
      <c r="L22" s="12">
        <f ca="1">TotalSupply*L$6*MAX(0,MIN(1,IF(L$11="Linear",('Linear Curves'!F16-'Linear Curves'!F$8)/('Linear Curves'!F$10),('Sigmoid Curves'!F16-'Sigmoid Curves'!F$8)/('Sigmoid Curves'!F$10))))</f>
        <v>0</v>
      </c>
      <c r="M22" s="12">
        <f ca="1">TotalSupply*M$6*MAX(0,MIN(1,IF(M$11="Linear",('Linear Curves'!G16-'Linear Curves'!G$8)/('Linear Curves'!G$10),('Sigmoid Curves'!G16-'Sigmoid Curves'!G$8)/('Sigmoid Curves'!G$10))))</f>
        <v>0</v>
      </c>
      <c r="N22" s="12">
        <f ca="1">TotalSupply*N$6*MAX(0,MIN(1,IF(N$11="Linear",('Linear Curves'!H16-'Linear Curves'!H$8)/('Linear Curves'!H$10),('Sigmoid Curves'!H16-'Sigmoid Curves'!H$8)/('Sigmoid Curves'!H$10))))</f>
        <v>56000000</v>
      </c>
      <c r="O22" s="12">
        <f ca="1">TotalSupply*O$6*MAX(0,MIN(1,IF(O$11="Linear",('Linear Curves'!I16-'Linear Curves'!I$8)/('Linear Curves'!I$10),('Sigmoid Curves'!I16-'Sigmoid Curves'!I$8)/('Sigmoid Curves'!I$10))))</f>
        <v>24000000</v>
      </c>
      <c r="P22" s="12">
        <f ca="1">TotalSupply*P$6*MAX(0,MIN(1,IF(P$11="Linear",('Linear Curves'!I16-'Linear Curves'!I$8)/('Linear Curves'!I$10),('Sigmoid Curves'!I16-'Sigmoid Curves'!I$8)/('Sigmoid Curves'!I$10))))</f>
        <v>200000000</v>
      </c>
      <c r="Q22" s="12">
        <f ca="1">TotalSupply*Q$6*MAX(0,MIN(1,IF(Q$11="Linear",('Linear Curves'!J16-'Linear Curves'!J$8)/('Linear Curves'!J$10),('Sigmoid Curves'!J16-'Sigmoid Curves'!J$8)/('Sigmoid Curves'!J$10))))</f>
        <v>20000000</v>
      </c>
      <c r="R22" s="12">
        <f ca="1">TotalSupply*R$6*MAX(0,MIN(1,IF(R$11="Linear",('Linear Curves'!K16-'Linear Curves'!K$8)/('Linear Curves'!K$10),('Sigmoid Curves'!K16-'Sigmoid Curves'!K$8)/('Sigmoid Curves'!K$10))))</f>
        <v>28800000</v>
      </c>
      <c r="S22" s="12">
        <f ca="1">TotalSupply*S$6*MAX(0,MIN(1,IF(S$11="Linear",('Linear Curves'!L16-'Linear Curves'!L$8)/('Linear Curves'!L$10),('Sigmoid Curves'!L16-'Sigmoid Curves'!L$8)/('Sigmoid Curves'!L$10))))</f>
        <v>3200000</v>
      </c>
      <c r="T22" s="11"/>
      <c r="U22" s="11"/>
      <c r="V22" s="11"/>
      <c r="W22" s="11"/>
      <c r="X22" s="11"/>
      <c r="Y22" s="11"/>
      <c r="Z22" s="11"/>
      <c r="AA22" s="11"/>
      <c r="AB22" s="11"/>
      <c r="AC22" s="11"/>
      <c r="AD22" s="11"/>
      <c r="AE22" s="11"/>
      <c r="AF22" s="11"/>
      <c r="AG22" s="11"/>
    </row>
    <row r="23" customHeight="1" spans="1:33">
      <c r="A23" s="2">
        <v>4</v>
      </c>
      <c r="B23" s="3">
        <f ca="1">MIN(1,((1-G$19)/(MATCH(100%,G$19:G1007,0)-1)*A23)+G$19)</f>
        <v>0.10625</v>
      </c>
      <c r="C23" s="3">
        <f ca="1" t="shared" si="4"/>
        <v>0.0203125</v>
      </c>
      <c r="D23" s="3">
        <f ca="1" t="shared" si="5"/>
        <v>0.0933333333333333</v>
      </c>
      <c r="E23" s="3">
        <f ca="1" t="shared" si="6"/>
        <v>2.83636363636364</v>
      </c>
      <c r="F23" s="3">
        <f ca="1" t="shared" si="7"/>
        <v>2.69879518072289</v>
      </c>
      <c r="G23" s="3">
        <f ca="1">H23/TotalSupply</f>
        <v>0.508333333333333</v>
      </c>
      <c r="H23" s="11">
        <f ca="1" t="shared" si="3"/>
        <v>406666666.666667</v>
      </c>
      <c r="I23" s="12">
        <f ca="1">TotalSupply*I$6*MAX(0,MIN(1,IF(I$11="Linear",('Linear Curves'!B17-'Linear Curves'!B$8)/('Linear Curves'!B$10),('Sigmoid Curves'!B17-'Sigmoid Curves'!B$8)/('Sigmoid Curves'!B$10))))</f>
        <v>0</v>
      </c>
      <c r="J23" s="12">
        <f ca="1">TotalSupply*J$6*MAX(0,MIN(1,IF(J$11="Linear",('Linear Curves'!C17-'Linear Curves'!C$8)/('Linear Curves'!C$10),('Sigmoid Curves'!C17-'Sigmoid Curves'!C$8)/('Sigmoid Curves'!C$10))))</f>
        <v>0</v>
      </c>
      <c r="K23" s="12">
        <f ca="1">TotalSupply*K$6*MAX(0,MIN(1,IF(K$11="Linear",('Linear Curves'!D17-'Linear Curves'!D$8)/('Linear Curves'!D$10),('Sigmoid Curves'!D17-'Sigmoid Curves'!D$8)/('Sigmoid Curves'!D$10))))</f>
        <v>0</v>
      </c>
      <c r="L23" s="12">
        <f ca="1">TotalSupply*L$6*MAX(0,MIN(1,IF(L$11="Linear",('Linear Curves'!F17-'Linear Curves'!F$8)/('Linear Curves'!F$10),('Sigmoid Curves'!F17-'Sigmoid Curves'!F$8)/('Sigmoid Curves'!F$10))))</f>
        <v>0</v>
      </c>
      <c r="M23" s="12">
        <f ca="1">TotalSupply*M$6*MAX(0,MIN(1,IF(M$11="Linear",('Linear Curves'!G17-'Linear Curves'!G$8)/('Linear Curves'!G$10),('Sigmoid Curves'!G17-'Sigmoid Curves'!G$8)/('Sigmoid Curves'!G$10))))</f>
        <v>0</v>
      </c>
      <c r="N23" s="12">
        <f ca="1">TotalSupply*N$6*MAX(0,MIN(1,IF(N$11="Linear",('Linear Curves'!H17-'Linear Curves'!H$8)/('Linear Curves'!H$10),('Sigmoid Curves'!H17-'Sigmoid Curves'!H$8)/('Sigmoid Curves'!H$10))))</f>
        <v>56000000</v>
      </c>
      <c r="O23" s="12">
        <f ca="1">TotalSupply*O$6*MAX(0,MIN(1,IF(O$11="Linear",('Linear Curves'!I17-'Linear Curves'!I$8)/('Linear Curves'!I$10),('Sigmoid Curves'!I17-'Sigmoid Curves'!I$8)/('Sigmoid Curves'!I$10))))</f>
        <v>32000000</v>
      </c>
      <c r="P23" s="12">
        <f ca="1">TotalSupply*P$6*MAX(0,MIN(1,IF(P$11="Linear",('Linear Curves'!I17-'Linear Curves'!I$8)/('Linear Curves'!I$10),('Sigmoid Curves'!I17-'Sigmoid Curves'!I$8)/('Sigmoid Curves'!I$10))))</f>
        <v>266666666.666667</v>
      </c>
      <c r="Q23" s="12">
        <f ca="1">TotalSupply*Q$6*MAX(0,MIN(1,IF(Q$11="Linear",('Linear Curves'!J17-'Linear Curves'!J$8)/('Linear Curves'!J$10),('Sigmoid Curves'!J17-'Sigmoid Curves'!J$8)/('Sigmoid Curves'!J$10))))</f>
        <v>20000000</v>
      </c>
      <c r="R23" s="12">
        <f ca="1">TotalSupply*R$6*MAX(0,MIN(1,IF(R$11="Linear",('Linear Curves'!K17-'Linear Curves'!K$8)/('Linear Curves'!K$10),('Sigmoid Curves'!K17-'Sigmoid Curves'!K$8)/('Sigmoid Curves'!K$10))))</f>
        <v>28800000</v>
      </c>
      <c r="S23" s="12">
        <f ca="1">TotalSupply*S$6*MAX(0,MIN(1,IF(S$11="Linear",('Linear Curves'!L17-'Linear Curves'!L$8)/('Linear Curves'!L$10),('Sigmoid Curves'!L17-'Sigmoid Curves'!L$8)/('Sigmoid Curves'!L$10))))</f>
        <v>3200000</v>
      </c>
      <c r="T23" s="11"/>
      <c r="U23" s="11"/>
      <c r="V23" s="11"/>
      <c r="W23" s="11"/>
      <c r="X23" s="11"/>
      <c r="Y23" s="11"/>
      <c r="Z23" s="11"/>
      <c r="AA23" s="11"/>
      <c r="AB23" s="11"/>
      <c r="AC23" s="11"/>
      <c r="AD23" s="11"/>
      <c r="AE23" s="11"/>
      <c r="AF23" s="11"/>
      <c r="AG23" s="11"/>
    </row>
    <row r="24" customHeight="1" spans="1:33">
      <c r="A24" s="2">
        <v>5</v>
      </c>
      <c r="B24" s="3">
        <f ca="1">MIN(1,((1-G$19)/(MATCH(100%,G$19:G1008,0)-1)*A24)+G$19)</f>
        <v>0.1265625</v>
      </c>
      <c r="C24" s="3">
        <f ca="1" t="shared" si="4"/>
        <v>0.0203125</v>
      </c>
      <c r="D24" s="3">
        <f ca="1" t="shared" si="5"/>
        <v>0.0933333333333334</v>
      </c>
      <c r="E24" s="3">
        <f ca="1" t="shared" si="6"/>
        <v>2.29411764705882</v>
      </c>
      <c r="F24" s="3">
        <f ca="1" t="shared" si="7"/>
        <v>2.20327868852459</v>
      </c>
      <c r="G24" s="3">
        <f ca="1">H24/TotalSupply</f>
        <v>0.601666666666667</v>
      </c>
      <c r="H24" s="11">
        <f ca="1" t="shared" si="3"/>
        <v>481333333.333333</v>
      </c>
      <c r="I24" s="12">
        <f ca="1">TotalSupply*I$6*MAX(0,MIN(1,IF(I$11="Linear",('Linear Curves'!B18-'Linear Curves'!B$8)/('Linear Curves'!B$10),('Sigmoid Curves'!B18-'Sigmoid Curves'!B$8)/('Sigmoid Curves'!B$10))))</f>
        <v>0</v>
      </c>
      <c r="J24" s="12">
        <f ca="1">TotalSupply*J$6*MAX(0,MIN(1,IF(J$11="Linear",('Linear Curves'!C18-'Linear Curves'!C$8)/('Linear Curves'!C$10),('Sigmoid Curves'!C18-'Sigmoid Curves'!C$8)/('Sigmoid Curves'!C$10))))</f>
        <v>0</v>
      </c>
      <c r="K24" s="12">
        <f ca="1">TotalSupply*K$6*MAX(0,MIN(1,IF(K$11="Linear",('Linear Curves'!D18-'Linear Curves'!D$8)/('Linear Curves'!D$10),('Sigmoid Curves'!D18-'Sigmoid Curves'!D$8)/('Sigmoid Curves'!D$10))))</f>
        <v>0</v>
      </c>
      <c r="L24" s="12">
        <f ca="1">TotalSupply*L$6*MAX(0,MIN(1,IF(L$11="Linear",('Linear Curves'!F18-'Linear Curves'!F$8)/('Linear Curves'!F$10),('Sigmoid Curves'!F18-'Sigmoid Curves'!F$8)/('Sigmoid Curves'!F$10))))</f>
        <v>0</v>
      </c>
      <c r="M24" s="12">
        <f ca="1">TotalSupply*M$6*MAX(0,MIN(1,IF(M$11="Linear",('Linear Curves'!G18-'Linear Curves'!G$8)/('Linear Curves'!G$10),('Sigmoid Curves'!G18-'Sigmoid Curves'!G$8)/('Sigmoid Curves'!G$10))))</f>
        <v>0</v>
      </c>
      <c r="N24" s="12">
        <f ca="1">TotalSupply*N$6*MAX(0,MIN(1,IF(N$11="Linear",('Linear Curves'!H18-'Linear Curves'!H$8)/('Linear Curves'!H$10),('Sigmoid Curves'!H18-'Sigmoid Curves'!H$8)/('Sigmoid Curves'!H$10))))</f>
        <v>56000000</v>
      </c>
      <c r="O24" s="12">
        <f ca="1">TotalSupply*O$6*MAX(0,MIN(1,IF(O$11="Linear",('Linear Curves'!I18-'Linear Curves'!I$8)/('Linear Curves'!I$10),('Sigmoid Curves'!I18-'Sigmoid Curves'!I$8)/('Sigmoid Curves'!I$10))))</f>
        <v>40000000</v>
      </c>
      <c r="P24" s="12">
        <f ca="1">TotalSupply*P$6*MAX(0,MIN(1,IF(P$11="Linear",('Linear Curves'!I18-'Linear Curves'!I$8)/('Linear Curves'!I$10),('Sigmoid Curves'!I18-'Sigmoid Curves'!I$8)/('Sigmoid Curves'!I$10))))</f>
        <v>333333333.333333</v>
      </c>
      <c r="Q24" s="12">
        <f ca="1">TotalSupply*Q$6*MAX(0,MIN(1,IF(Q$11="Linear",('Linear Curves'!J18-'Linear Curves'!J$8)/('Linear Curves'!J$10),('Sigmoid Curves'!J18-'Sigmoid Curves'!J$8)/('Sigmoid Curves'!J$10))))</f>
        <v>20000000</v>
      </c>
      <c r="R24" s="12">
        <f ca="1">TotalSupply*R$6*MAX(0,MIN(1,IF(R$11="Linear",('Linear Curves'!K18-'Linear Curves'!K$8)/('Linear Curves'!K$10),('Sigmoid Curves'!K18-'Sigmoid Curves'!K$8)/('Sigmoid Curves'!K$10))))</f>
        <v>28800000</v>
      </c>
      <c r="S24" s="12">
        <f ca="1">TotalSupply*S$6*MAX(0,MIN(1,IF(S$11="Linear",('Linear Curves'!L18-'Linear Curves'!L$8)/('Linear Curves'!L$10),('Sigmoid Curves'!L18-'Sigmoid Curves'!L$8)/('Sigmoid Curves'!L$10))))</f>
        <v>3200000</v>
      </c>
      <c r="T24" s="11"/>
      <c r="U24" s="11"/>
      <c r="V24" s="11"/>
      <c r="W24" s="11"/>
      <c r="X24" s="11"/>
      <c r="Y24" s="11"/>
      <c r="Z24" s="11"/>
      <c r="AA24" s="11"/>
      <c r="AB24" s="11"/>
      <c r="AC24" s="11"/>
      <c r="AD24" s="11"/>
      <c r="AE24" s="11"/>
      <c r="AF24" s="11"/>
      <c r="AG24" s="11"/>
    </row>
    <row r="25" customHeight="1" spans="1:33">
      <c r="A25" s="2">
        <v>6</v>
      </c>
      <c r="B25" s="3">
        <f ca="1">MIN(1,((1-G$19)/(MATCH(100%,G$19:G1009,0)-1)*A25)+G$19)</f>
        <v>0.146875</v>
      </c>
      <c r="C25" s="3">
        <f ca="1" t="shared" si="4"/>
        <v>0.0203125</v>
      </c>
      <c r="D25" s="3">
        <f ca="1" t="shared" si="5"/>
        <v>0.104351332502</v>
      </c>
      <c r="E25" s="3">
        <f ca="1" t="shared" si="6"/>
        <v>1.92592592592593</v>
      </c>
      <c r="F25" s="3">
        <f ca="1" t="shared" si="7"/>
        <v>2.08124541278228</v>
      </c>
      <c r="G25" s="3">
        <f ca="1">H25/TotalSupply</f>
        <v>0.706017999168667</v>
      </c>
      <c r="H25" s="11">
        <f ca="1" t="shared" si="3"/>
        <v>564814399.334934</v>
      </c>
      <c r="I25" s="12">
        <f ca="1">TotalSupply*I$6*MAX(0,MIN(1,IF(I$11="Linear",('Linear Curves'!B19-'Linear Curves'!B$8)/('Linear Curves'!B$10),('Sigmoid Curves'!B19-'Sigmoid Curves'!B$8)/('Sigmoid Curves'!B$10))))</f>
        <v>0</v>
      </c>
      <c r="J25" s="12">
        <f ca="1">TotalSupply*J$6*MAX(0,MIN(1,IF(J$11="Linear",('Linear Curves'!C19-'Linear Curves'!C$8)/('Linear Curves'!C$10),('Sigmoid Curves'!C19-'Sigmoid Curves'!C$8)/('Sigmoid Curves'!C$10))))</f>
        <v>0</v>
      </c>
      <c r="K25" s="12">
        <f ca="1">TotalSupply*K$6*MAX(0,MIN(1,IF(K$11="Linear",('Linear Curves'!D19-'Linear Curves'!D$8)/('Linear Curves'!D$10),('Sigmoid Curves'!D19-'Sigmoid Curves'!D$8)/('Sigmoid Curves'!D$10))))</f>
        <v>8000000</v>
      </c>
      <c r="L25" s="12">
        <f ca="1">TotalSupply*L$6*MAX(0,MIN(1,IF(L$11="Linear",('Linear Curves'!F19-'Linear Curves'!F$8)/('Linear Curves'!F$10),('Sigmoid Curves'!F19-'Sigmoid Curves'!F$8)/('Sigmoid Curves'!F$10))))</f>
        <v>0</v>
      </c>
      <c r="M25" s="12">
        <f ca="1">TotalSupply*M$6*MAX(0,MIN(1,IF(M$11="Linear",('Linear Curves'!G19-'Linear Curves'!G$8)/('Linear Curves'!G$10),('Sigmoid Curves'!G19-'Sigmoid Curves'!G$8)/('Sigmoid Curves'!G$10))))</f>
        <v>814399.334933671</v>
      </c>
      <c r="N25" s="12">
        <f ca="1">TotalSupply*N$6*MAX(0,MIN(1,IF(N$11="Linear",('Linear Curves'!H19-'Linear Curves'!H$8)/('Linear Curves'!H$10),('Sigmoid Curves'!H19-'Sigmoid Curves'!H$8)/('Sigmoid Curves'!H$10))))</f>
        <v>56000000</v>
      </c>
      <c r="O25" s="12">
        <f ca="1">TotalSupply*O$6*MAX(0,MIN(1,IF(O$11="Linear",('Linear Curves'!I19-'Linear Curves'!I$8)/('Linear Curves'!I$10),('Sigmoid Curves'!I19-'Sigmoid Curves'!I$8)/('Sigmoid Curves'!I$10))))</f>
        <v>48000000</v>
      </c>
      <c r="P25" s="12">
        <f ca="1">TotalSupply*P$6*MAX(0,MIN(1,IF(P$11="Linear",('Linear Curves'!I19-'Linear Curves'!I$8)/('Linear Curves'!I$10),('Sigmoid Curves'!I19-'Sigmoid Curves'!I$8)/('Sigmoid Curves'!I$10))))</f>
        <v>400000000</v>
      </c>
      <c r="Q25" s="12">
        <f ca="1">TotalSupply*Q$6*MAX(0,MIN(1,IF(Q$11="Linear",('Linear Curves'!J19-'Linear Curves'!J$8)/('Linear Curves'!J$10),('Sigmoid Curves'!J19-'Sigmoid Curves'!J$8)/('Sigmoid Curves'!J$10))))</f>
        <v>20000000</v>
      </c>
      <c r="R25" s="12">
        <f ca="1">TotalSupply*R$6*MAX(0,MIN(1,IF(R$11="Linear",('Linear Curves'!K19-'Linear Curves'!K$8)/('Linear Curves'!K$10),('Sigmoid Curves'!K19-'Sigmoid Curves'!K$8)/('Sigmoid Curves'!K$10))))</f>
        <v>28800000</v>
      </c>
      <c r="S25" s="12">
        <f ca="1">TotalSupply*S$6*MAX(0,MIN(1,IF(S$11="Linear",('Linear Curves'!L19-'Linear Curves'!L$8)/('Linear Curves'!L$10),('Sigmoid Curves'!L19-'Sigmoid Curves'!L$8)/('Sigmoid Curves'!L$10))))</f>
        <v>3200000</v>
      </c>
      <c r="T25" s="11"/>
      <c r="U25" s="11"/>
      <c r="V25" s="11"/>
      <c r="W25" s="11"/>
      <c r="X25" s="11"/>
      <c r="Y25" s="11"/>
      <c r="Z25" s="11"/>
      <c r="AA25" s="11"/>
      <c r="AB25" s="11"/>
      <c r="AC25" s="11"/>
      <c r="AD25" s="11"/>
      <c r="AE25" s="11"/>
      <c r="AF25" s="11"/>
      <c r="AG25" s="11"/>
    </row>
    <row r="26" customHeight="1" spans="1:33">
      <c r="A26" s="2">
        <v>7</v>
      </c>
      <c r="B26" s="3">
        <f ca="1">MIN(1,((1-G$19)/(MATCH(100%,G$19:G1010,0)-1)*A26)+G$19)</f>
        <v>0.1671875</v>
      </c>
      <c r="C26" s="3">
        <f ca="1" t="shared" si="4"/>
        <v>0.0203125</v>
      </c>
      <c r="D26" s="3">
        <f ca="1" t="shared" si="5"/>
        <v>0.00184408896410249</v>
      </c>
      <c r="E26" s="3">
        <f ca="1" t="shared" si="6"/>
        <v>1.6595744680851</v>
      </c>
      <c r="F26" s="3">
        <f ca="1" t="shared" si="7"/>
        <v>0.0313434892528042</v>
      </c>
      <c r="G26" s="3">
        <f ca="1">H26/TotalSupply</f>
        <v>0.70786208813277</v>
      </c>
      <c r="H26" s="11">
        <f ca="1" t="shared" si="3"/>
        <v>566289670.506216</v>
      </c>
      <c r="I26" s="12">
        <f ca="1">TotalSupply*I$6*MAX(0,MIN(1,IF(I$11="Linear",('Linear Curves'!B20-'Linear Curves'!B$8)/('Linear Curves'!B$10),('Sigmoid Curves'!B20-'Sigmoid Curves'!B$8)/('Sigmoid Curves'!B$10))))</f>
        <v>0</v>
      </c>
      <c r="J26" s="12">
        <f ca="1">TotalSupply*J$6*MAX(0,MIN(1,IF(J$11="Linear",('Linear Curves'!C20-'Linear Curves'!C$8)/('Linear Curves'!C$10),('Sigmoid Curves'!C20-'Sigmoid Curves'!C$8)/('Sigmoid Curves'!C$10))))</f>
        <v>0</v>
      </c>
      <c r="K26" s="12">
        <f ca="1">TotalSupply*K$6*MAX(0,MIN(1,IF(K$11="Linear",('Linear Curves'!D20-'Linear Curves'!D$8)/('Linear Curves'!D$10),('Sigmoid Curves'!D20-'Sigmoid Curves'!D$8)/('Sigmoid Curves'!D$10))))</f>
        <v>9333333.33333333</v>
      </c>
      <c r="L26" s="12">
        <f ca="1">TotalSupply*L$6*MAX(0,MIN(1,IF(L$11="Linear",('Linear Curves'!F20-'Linear Curves'!F$8)/('Linear Curves'!F$10),('Sigmoid Curves'!F20-'Sigmoid Curves'!F$8)/('Sigmoid Curves'!F$10))))</f>
        <v>0</v>
      </c>
      <c r="M26" s="12">
        <f ca="1">TotalSupply*M$6*MAX(0,MIN(1,IF(M$11="Linear",('Linear Curves'!G20-'Linear Curves'!G$8)/('Linear Curves'!G$10),('Sigmoid Curves'!G20-'Sigmoid Curves'!G$8)/('Sigmoid Curves'!G$10))))</f>
        <v>956337.172882254</v>
      </c>
      <c r="N26" s="12">
        <f ca="1">TotalSupply*N$6*MAX(0,MIN(1,IF(N$11="Linear",('Linear Curves'!H20-'Linear Curves'!H$8)/('Linear Curves'!H$10),('Sigmoid Curves'!H20-'Sigmoid Curves'!H$8)/('Sigmoid Curves'!H$10))))</f>
        <v>56000000</v>
      </c>
      <c r="O26" s="12">
        <f ca="1">TotalSupply*O$6*MAX(0,MIN(1,IF(O$11="Linear",('Linear Curves'!I20-'Linear Curves'!I$8)/('Linear Curves'!I$10),('Sigmoid Curves'!I20-'Sigmoid Curves'!I$8)/('Sigmoid Curves'!I$10))))</f>
        <v>48000000</v>
      </c>
      <c r="P26" s="12">
        <f ca="1">TotalSupply*P$6*MAX(0,MIN(1,IF(P$11="Linear",('Linear Curves'!I20-'Linear Curves'!I$8)/('Linear Curves'!I$10),('Sigmoid Curves'!I20-'Sigmoid Curves'!I$8)/('Sigmoid Curves'!I$10))))</f>
        <v>400000000</v>
      </c>
      <c r="Q26" s="12">
        <f ca="1">TotalSupply*Q$6*MAX(0,MIN(1,IF(Q$11="Linear",('Linear Curves'!J20-'Linear Curves'!J$8)/('Linear Curves'!J$10),('Sigmoid Curves'!J20-'Sigmoid Curves'!J$8)/('Sigmoid Curves'!J$10))))</f>
        <v>20000000</v>
      </c>
      <c r="R26" s="12">
        <f ca="1">TotalSupply*R$6*MAX(0,MIN(1,IF(R$11="Linear",('Linear Curves'!K20-'Linear Curves'!K$8)/('Linear Curves'!K$10),('Sigmoid Curves'!K20-'Sigmoid Curves'!K$8)/('Sigmoid Curves'!K$10))))</f>
        <v>28800000</v>
      </c>
      <c r="S26" s="12">
        <f ca="1">TotalSupply*S$6*MAX(0,MIN(1,IF(S$11="Linear",('Linear Curves'!L20-'Linear Curves'!L$8)/('Linear Curves'!L$10),('Sigmoid Curves'!L20-'Sigmoid Curves'!L$8)/('Sigmoid Curves'!L$10))))</f>
        <v>3200000</v>
      </c>
      <c r="T26" s="11"/>
      <c r="U26" s="11"/>
      <c r="V26" s="11"/>
      <c r="W26" s="11"/>
      <c r="X26" s="11"/>
      <c r="Y26" s="11"/>
      <c r="Z26" s="11"/>
      <c r="AA26" s="11"/>
      <c r="AB26" s="11"/>
      <c r="AC26" s="11"/>
      <c r="AD26" s="11"/>
      <c r="AE26" s="11"/>
      <c r="AF26" s="11"/>
      <c r="AG26" s="11"/>
    </row>
    <row r="27" customHeight="1" spans="1:33">
      <c r="A27" s="2">
        <v>8</v>
      </c>
      <c r="B27" s="3">
        <f ca="1">MIN(1,((1-G$19)/(MATCH(100%,G$19:G1011,0)-1)*A27)+G$19)</f>
        <v>0.1875</v>
      </c>
      <c r="C27" s="3">
        <f ca="1" t="shared" si="4"/>
        <v>0.0203125</v>
      </c>
      <c r="D27" s="3">
        <f ca="1" t="shared" si="5"/>
        <v>0.00186563612965074</v>
      </c>
      <c r="E27" s="3">
        <f ca="1" t="shared" si="6"/>
        <v>1.45794392523365</v>
      </c>
      <c r="F27" s="3">
        <f ca="1" t="shared" si="7"/>
        <v>0.0316271120196099</v>
      </c>
      <c r="G27" s="3">
        <f ca="1">H27/TotalSupply</f>
        <v>0.70972772426242</v>
      </c>
      <c r="H27" s="11">
        <f ca="1" t="shared" si="3"/>
        <v>567782179.409936</v>
      </c>
      <c r="I27" s="12">
        <f ca="1">TotalSupply*I$6*MAX(0,MIN(1,IF(I$11="Linear",('Linear Curves'!B21-'Linear Curves'!B$8)/('Linear Curves'!B$10),('Sigmoid Curves'!B21-'Sigmoid Curves'!B$8)/('Sigmoid Curves'!B$10))))</f>
        <v>0</v>
      </c>
      <c r="J27" s="12">
        <f ca="1">TotalSupply*J$6*MAX(0,MIN(1,IF(J$11="Linear",('Linear Curves'!C21-'Linear Curves'!C$8)/('Linear Curves'!C$10),('Sigmoid Curves'!C21-'Sigmoid Curves'!C$8)/('Sigmoid Curves'!C$10))))</f>
        <v>0</v>
      </c>
      <c r="K27" s="12">
        <f ca="1">TotalSupply*K$6*MAX(0,MIN(1,IF(K$11="Linear",('Linear Curves'!D21-'Linear Curves'!D$8)/('Linear Curves'!D$10),('Sigmoid Curves'!D21-'Sigmoid Curves'!D$8)/('Sigmoid Curves'!D$10))))</f>
        <v>10666666.6666667</v>
      </c>
      <c r="L27" s="12">
        <f ca="1">TotalSupply*L$6*MAX(0,MIN(1,IF(L$11="Linear",('Linear Curves'!F21-'Linear Curves'!F$8)/('Linear Curves'!F$10),('Sigmoid Curves'!F21-'Sigmoid Curves'!F$8)/('Sigmoid Curves'!F$10))))</f>
        <v>0</v>
      </c>
      <c r="M27" s="12">
        <f ca="1">TotalSupply*M$6*MAX(0,MIN(1,IF(M$11="Linear",('Linear Curves'!G21-'Linear Curves'!G$8)/('Linear Curves'!G$10),('Sigmoid Curves'!G21-'Sigmoid Curves'!G$8)/('Sigmoid Curves'!G$10))))</f>
        <v>1115512.74326951</v>
      </c>
      <c r="N27" s="12">
        <f ca="1">TotalSupply*N$6*MAX(0,MIN(1,IF(N$11="Linear",('Linear Curves'!H21-'Linear Curves'!H$8)/('Linear Curves'!H$10),('Sigmoid Curves'!H21-'Sigmoid Curves'!H$8)/('Sigmoid Curves'!H$10))))</f>
        <v>56000000</v>
      </c>
      <c r="O27" s="12">
        <f ca="1">TotalSupply*O$6*MAX(0,MIN(1,IF(O$11="Linear",('Linear Curves'!I21-'Linear Curves'!I$8)/('Linear Curves'!I$10),('Sigmoid Curves'!I21-'Sigmoid Curves'!I$8)/('Sigmoid Curves'!I$10))))</f>
        <v>48000000</v>
      </c>
      <c r="P27" s="12">
        <f ca="1">TotalSupply*P$6*MAX(0,MIN(1,IF(P$11="Linear",('Linear Curves'!I21-'Linear Curves'!I$8)/('Linear Curves'!I$10),('Sigmoid Curves'!I21-'Sigmoid Curves'!I$8)/('Sigmoid Curves'!I$10))))</f>
        <v>400000000</v>
      </c>
      <c r="Q27" s="12">
        <f ca="1">TotalSupply*Q$6*MAX(0,MIN(1,IF(Q$11="Linear",('Linear Curves'!J21-'Linear Curves'!J$8)/('Linear Curves'!J$10),('Sigmoid Curves'!J21-'Sigmoid Curves'!J$8)/('Sigmoid Curves'!J$10))))</f>
        <v>20000000</v>
      </c>
      <c r="R27" s="12">
        <f ca="1">TotalSupply*R$6*MAX(0,MIN(1,IF(R$11="Linear",('Linear Curves'!K21-'Linear Curves'!K$8)/('Linear Curves'!K$10),('Sigmoid Curves'!K21-'Sigmoid Curves'!K$8)/('Sigmoid Curves'!K$10))))</f>
        <v>28800000</v>
      </c>
      <c r="S27" s="12">
        <f ca="1">TotalSupply*S$6*MAX(0,MIN(1,IF(S$11="Linear",('Linear Curves'!L21-'Linear Curves'!L$8)/('Linear Curves'!L$10),('Sigmoid Curves'!L21-'Sigmoid Curves'!L$8)/('Sigmoid Curves'!L$10))))</f>
        <v>3200000</v>
      </c>
      <c r="T27" s="11"/>
      <c r="U27" s="11"/>
      <c r="V27" s="11"/>
      <c r="W27" s="11"/>
      <c r="X27" s="11"/>
      <c r="Y27" s="11"/>
      <c r="Z27" s="11"/>
      <c r="AA27" s="11"/>
      <c r="AB27" s="11"/>
      <c r="AC27" s="11"/>
      <c r="AD27" s="11"/>
      <c r="AE27" s="11"/>
      <c r="AF27" s="11"/>
      <c r="AG27" s="11"/>
    </row>
    <row r="28" customHeight="1" spans="1:33">
      <c r="A28" s="2">
        <v>9</v>
      </c>
      <c r="B28" s="3">
        <f ca="1">MIN(1,((1-G$19)/(MATCH(100%,G$19:G1012,0)-1)*A28)+G$19)</f>
        <v>0.2078125</v>
      </c>
      <c r="C28" s="3">
        <f ca="1" t="shared" si="4"/>
        <v>0.0203125</v>
      </c>
      <c r="D28" s="3">
        <f ca="1" t="shared" si="5"/>
        <v>0.00188666227336887</v>
      </c>
      <c r="E28" s="3">
        <f ca="1" t="shared" si="6"/>
        <v>1.3</v>
      </c>
      <c r="F28" s="3">
        <f ca="1" t="shared" si="7"/>
        <v>0.0318994827262173</v>
      </c>
      <c r="G28" s="3">
        <f ca="1">H28/TotalSupply</f>
        <v>0.711614386535789</v>
      </c>
      <c r="H28" s="11">
        <f ca="1" t="shared" si="3"/>
        <v>569291509.228631</v>
      </c>
      <c r="I28" s="12">
        <f ca="1">TotalSupply*I$6*MAX(0,MIN(1,IF(I$11="Linear",('Linear Curves'!B22-'Linear Curves'!B$8)/('Linear Curves'!B$10),('Sigmoid Curves'!B22-'Sigmoid Curves'!B$8)/('Sigmoid Curves'!B$10))))</f>
        <v>0</v>
      </c>
      <c r="J28" s="12">
        <f ca="1">TotalSupply*J$6*MAX(0,MIN(1,IF(J$11="Linear",('Linear Curves'!C22-'Linear Curves'!C$8)/('Linear Curves'!C$10),('Sigmoid Curves'!C22-'Sigmoid Curves'!C$8)/('Sigmoid Curves'!C$10))))</f>
        <v>0</v>
      </c>
      <c r="K28" s="12">
        <f ca="1">TotalSupply*K$6*MAX(0,MIN(1,IF(K$11="Linear",('Linear Curves'!D22-'Linear Curves'!D$8)/('Linear Curves'!D$10),('Sigmoid Curves'!D22-'Sigmoid Curves'!D$8)/('Sigmoid Curves'!D$10))))</f>
        <v>12000000</v>
      </c>
      <c r="L28" s="12">
        <f ca="1">TotalSupply*L$6*MAX(0,MIN(1,IF(L$11="Linear",('Linear Curves'!F22-'Linear Curves'!F$8)/('Linear Curves'!F$10),('Sigmoid Curves'!F22-'Sigmoid Curves'!F$8)/('Sigmoid Curves'!F$10))))</f>
        <v>0</v>
      </c>
      <c r="M28" s="12">
        <f ca="1">TotalSupply*M$6*MAX(0,MIN(1,IF(M$11="Linear",('Linear Curves'!G22-'Linear Curves'!G$8)/('Linear Curves'!G$10),('Sigmoid Curves'!G22-'Sigmoid Curves'!G$8)/('Sigmoid Curves'!G$10))))</f>
        <v>1291509.22863125</v>
      </c>
      <c r="N28" s="12">
        <f ca="1">TotalSupply*N$6*MAX(0,MIN(1,IF(N$11="Linear",('Linear Curves'!H22-'Linear Curves'!H$8)/('Linear Curves'!H$10),('Sigmoid Curves'!H22-'Sigmoid Curves'!H$8)/('Sigmoid Curves'!H$10))))</f>
        <v>56000000</v>
      </c>
      <c r="O28" s="12">
        <f ca="1">TotalSupply*O$6*MAX(0,MIN(1,IF(O$11="Linear",('Linear Curves'!I22-'Linear Curves'!I$8)/('Linear Curves'!I$10),('Sigmoid Curves'!I22-'Sigmoid Curves'!I$8)/('Sigmoid Curves'!I$10))))</f>
        <v>48000000</v>
      </c>
      <c r="P28" s="12">
        <f ca="1">TotalSupply*P$6*MAX(0,MIN(1,IF(P$11="Linear",('Linear Curves'!I22-'Linear Curves'!I$8)/('Linear Curves'!I$10),('Sigmoid Curves'!I22-'Sigmoid Curves'!I$8)/('Sigmoid Curves'!I$10))))</f>
        <v>400000000</v>
      </c>
      <c r="Q28" s="12">
        <f ca="1">TotalSupply*Q$6*MAX(0,MIN(1,IF(Q$11="Linear",('Linear Curves'!J22-'Linear Curves'!J$8)/('Linear Curves'!J$10),('Sigmoid Curves'!J22-'Sigmoid Curves'!J$8)/('Sigmoid Curves'!J$10))))</f>
        <v>20000000</v>
      </c>
      <c r="R28" s="12">
        <f ca="1">TotalSupply*R$6*MAX(0,MIN(1,IF(R$11="Linear",('Linear Curves'!K22-'Linear Curves'!K$8)/('Linear Curves'!K$10),('Sigmoid Curves'!K22-'Sigmoid Curves'!K$8)/('Sigmoid Curves'!K$10))))</f>
        <v>28800000</v>
      </c>
      <c r="S28" s="12">
        <f ca="1">TotalSupply*S$6*MAX(0,MIN(1,IF(S$11="Linear",('Linear Curves'!L22-'Linear Curves'!L$8)/('Linear Curves'!L$10),('Sigmoid Curves'!L22-'Sigmoid Curves'!L$8)/('Sigmoid Curves'!L$10))))</f>
        <v>3200000</v>
      </c>
      <c r="T28" s="11"/>
      <c r="U28" s="11"/>
      <c r="V28" s="11"/>
      <c r="W28" s="11"/>
      <c r="X28" s="11"/>
      <c r="Y28" s="11"/>
      <c r="Z28" s="11"/>
      <c r="AA28" s="11"/>
      <c r="AB28" s="11"/>
      <c r="AC28" s="11"/>
      <c r="AD28" s="11"/>
      <c r="AE28" s="11"/>
      <c r="AF28" s="11"/>
      <c r="AG28" s="11"/>
    </row>
    <row r="29" customHeight="1" spans="1:33">
      <c r="A29" s="2">
        <v>10</v>
      </c>
      <c r="B29" s="3">
        <f ca="1">MIN(1,((1-G$19)/(MATCH(100%,G$19:G1013,0)-1)*A29)+G$19)</f>
        <v>0.228125</v>
      </c>
      <c r="C29" s="3">
        <f ca="1" t="shared" si="4"/>
        <v>0.0203125</v>
      </c>
      <c r="D29" s="3">
        <f ca="1" t="shared" si="5"/>
        <v>0.00190613386227845</v>
      </c>
      <c r="E29" s="3">
        <f ca="1" t="shared" si="6"/>
        <v>1.17293233082707</v>
      </c>
      <c r="F29" s="3">
        <f ca="1" t="shared" si="7"/>
        <v>0.0321432601421856</v>
      </c>
      <c r="G29" s="3">
        <f ca="1">H29/TotalSupply</f>
        <v>0.713520520398068</v>
      </c>
      <c r="H29" s="11">
        <f ca="1" t="shared" si="3"/>
        <v>570816416.318454</v>
      </c>
      <c r="I29" s="12">
        <f ca="1">TotalSupply*I$6*MAX(0,MIN(1,IF(I$11="Linear",('Linear Curves'!B23-'Linear Curves'!B$8)/('Linear Curves'!B$10),('Sigmoid Curves'!B23-'Sigmoid Curves'!B$8)/('Sigmoid Curves'!B$10))))</f>
        <v>0</v>
      </c>
      <c r="J29" s="12">
        <f ca="1">TotalSupply*J$6*MAX(0,MIN(1,IF(J$11="Linear",('Linear Curves'!C23-'Linear Curves'!C$8)/('Linear Curves'!C$10),('Sigmoid Curves'!C23-'Sigmoid Curves'!C$8)/('Sigmoid Curves'!C$10))))</f>
        <v>0</v>
      </c>
      <c r="K29" s="12">
        <f ca="1">TotalSupply*K$6*MAX(0,MIN(1,IF(K$11="Linear",('Linear Curves'!D23-'Linear Curves'!D$8)/('Linear Curves'!D$10),('Sigmoid Curves'!D23-'Sigmoid Curves'!D$8)/('Sigmoid Curves'!D$10))))</f>
        <v>13333333.3333333</v>
      </c>
      <c r="L29" s="12">
        <f ca="1">TotalSupply*L$6*MAX(0,MIN(1,IF(L$11="Linear",('Linear Curves'!F23-'Linear Curves'!F$8)/('Linear Curves'!F$10),('Sigmoid Curves'!F23-'Sigmoid Curves'!F$8)/('Sigmoid Curves'!F$10))))</f>
        <v>0</v>
      </c>
      <c r="M29" s="12">
        <f ca="1">TotalSupply*M$6*MAX(0,MIN(1,IF(M$11="Linear",('Linear Curves'!G23-'Linear Curves'!G$8)/('Linear Curves'!G$10),('Sigmoid Curves'!G23-'Sigmoid Curves'!G$8)/('Sigmoid Curves'!G$10))))</f>
        <v>1483082.98512065</v>
      </c>
      <c r="N29" s="12">
        <f ca="1">TotalSupply*N$6*MAX(0,MIN(1,IF(N$11="Linear",('Linear Curves'!H23-'Linear Curves'!H$8)/('Linear Curves'!H$10),('Sigmoid Curves'!H23-'Sigmoid Curves'!H$8)/('Sigmoid Curves'!H$10))))</f>
        <v>56000000</v>
      </c>
      <c r="O29" s="12">
        <f ca="1">TotalSupply*O$6*MAX(0,MIN(1,IF(O$11="Linear",('Linear Curves'!I23-'Linear Curves'!I$8)/('Linear Curves'!I$10),('Sigmoid Curves'!I23-'Sigmoid Curves'!I$8)/('Sigmoid Curves'!I$10))))</f>
        <v>48000000</v>
      </c>
      <c r="P29" s="12">
        <f ca="1">TotalSupply*P$6*MAX(0,MIN(1,IF(P$11="Linear",('Linear Curves'!I23-'Linear Curves'!I$8)/('Linear Curves'!I$10),('Sigmoid Curves'!I23-'Sigmoid Curves'!I$8)/('Sigmoid Curves'!I$10))))</f>
        <v>400000000</v>
      </c>
      <c r="Q29" s="12">
        <f ca="1">TotalSupply*Q$6*MAX(0,MIN(1,IF(Q$11="Linear",('Linear Curves'!J23-'Linear Curves'!J$8)/('Linear Curves'!J$10),('Sigmoid Curves'!J23-'Sigmoid Curves'!J$8)/('Sigmoid Curves'!J$10))))</f>
        <v>20000000</v>
      </c>
      <c r="R29" s="12">
        <f ca="1">TotalSupply*R$6*MAX(0,MIN(1,IF(R$11="Linear",('Linear Curves'!K23-'Linear Curves'!K$8)/('Linear Curves'!K$10),('Sigmoid Curves'!K23-'Sigmoid Curves'!K$8)/('Sigmoid Curves'!K$10))))</f>
        <v>28800000</v>
      </c>
      <c r="S29" s="12">
        <f ca="1">TotalSupply*S$6*MAX(0,MIN(1,IF(S$11="Linear",('Linear Curves'!L23-'Linear Curves'!L$8)/('Linear Curves'!L$10),('Sigmoid Curves'!L23-'Sigmoid Curves'!L$8)/('Sigmoid Curves'!L$10))))</f>
        <v>3200000</v>
      </c>
      <c r="T29" s="11"/>
      <c r="U29" s="11"/>
      <c r="V29" s="11"/>
      <c r="W29" s="11"/>
      <c r="X29" s="11"/>
      <c r="Y29" s="11"/>
      <c r="Z29" s="11"/>
      <c r="AA29" s="11"/>
      <c r="AB29" s="11"/>
      <c r="AC29" s="11"/>
      <c r="AD29" s="11"/>
      <c r="AE29" s="11"/>
      <c r="AF29" s="11"/>
      <c r="AG29" s="11"/>
    </row>
    <row r="30" customHeight="1" spans="1:33">
      <c r="A30" s="2">
        <v>11</v>
      </c>
      <c r="B30" s="3">
        <f ca="1">MIN(1,((1-G$19)/(MATCH(100%,G$19:G1014,0)-1)*A30)+G$19)</f>
        <v>0.2484375</v>
      </c>
      <c r="C30" s="3">
        <f ca="1" t="shared" si="4"/>
        <v>0.0203125</v>
      </c>
      <c r="D30" s="3">
        <f ca="1" t="shared" si="5"/>
        <v>0.00192292978762221</v>
      </c>
      <c r="E30" s="3">
        <f ca="1" t="shared" si="6"/>
        <v>1.06849315068493</v>
      </c>
      <c r="F30" s="3">
        <f ca="1" t="shared" si="7"/>
        <v>0.0323398652061107</v>
      </c>
      <c r="G30" s="3">
        <f ca="1">H30/TotalSupply</f>
        <v>0.71544345018569</v>
      </c>
      <c r="H30" s="11">
        <f ca="1" t="shared" si="3"/>
        <v>572354760.148552</v>
      </c>
      <c r="I30" s="12">
        <f ca="1">TotalSupply*I$6*MAX(0,MIN(1,IF(I$11="Linear",('Linear Curves'!B24-'Linear Curves'!B$8)/('Linear Curves'!B$10),('Sigmoid Curves'!B24-'Sigmoid Curves'!B$8)/('Sigmoid Curves'!B$10))))</f>
        <v>0</v>
      </c>
      <c r="J30" s="12">
        <f ca="1">TotalSupply*J$6*MAX(0,MIN(1,IF(J$11="Linear",('Linear Curves'!C24-'Linear Curves'!C$8)/('Linear Curves'!C$10),('Sigmoid Curves'!C24-'Sigmoid Curves'!C$8)/('Sigmoid Curves'!C$10))))</f>
        <v>0</v>
      </c>
      <c r="K30" s="12">
        <f ca="1">TotalSupply*K$6*MAX(0,MIN(1,IF(K$11="Linear",('Linear Curves'!D24-'Linear Curves'!D$8)/('Linear Curves'!D$10),('Sigmoid Curves'!D24-'Sigmoid Curves'!D$8)/('Sigmoid Curves'!D$10))))</f>
        <v>14666666.6666667</v>
      </c>
      <c r="L30" s="12">
        <f ca="1">TotalSupply*L$6*MAX(0,MIN(1,IF(L$11="Linear",('Linear Curves'!F24-'Linear Curves'!F$8)/('Linear Curves'!F$10),('Sigmoid Curves'!F24-'Sigmoid Curves'!F$8)/('Sigmoid Curves'!F$10))))</f>
        <v>0</v>
      </c>
      <c r="M30" s="12">
        <f ca="1">TotalSupply*M$6*MAX(0,MIN(1,IF(M$11="Linear",('Linear Curves'!G24-'Linear Curves'!G$8)/('Linear Curves'!G$10),('Sigmoid Curves'!G24-'Sigmoid Curves'!G$8)/('Sigmoid Curves'!G$10))))</f>
        <v>1688093.48188511</v>
      </c>
      <c r="N30" s="12">
        <f ca="1">TotalSupply*N$6*MAX(0,MIN(1,IF(N$11="Linear",('Linear Curves'!H24-'Linear Curves'!H$8)/('Linear Curves'!H$10),('Sigmoid Curves'!H24-'Sigmoid Curves'!H$8)/('Sigmoid Curves'!H$10))))</f>
        <v>56000000</v>
      </c>
      <c r="O30" s="12">
        <f ca="1">TotalSupply*O$6*MAX(0,MIN(1,IF(O$11="Linear",('Linear Curves'!I24-'Linear Curves'!I$8)/('Linear Curves'!I$10),('Sigmoid Curves'!I24-'Sigmoid Curves'!I$8)/('Sigmoid Curves'!I$10))))</f>
        <v>48000000</v>
      </c>
      <c r="P30" s="12">
        <f ca="1">TotalSupply*P$6*MAX(0,MIN(1,IF(P$11="Linear",('Linear Curves'!I24-'Linear Curves'!I$8)/('Linear Curves'!I$10),('Sigmoid Curves'!I24-'Sigmoid Curves'!I$8)/('Sigmoid Curves'!I$10))))</f>
        <v>400000000</v>
      </c>
      <c r="Q30" s="12">
        <f ca="1">TotalSupply*Q$6*MAX(0,MIN(1,IF(Q$11="Linear",('Linear Curves'!J24-'Linear Curves'!J$8)/('Linear Curves'!J$10),('Sigmoid Curves'!J24-'Sigmoid Curves'!J$8)/('Sigmoid Curves'!J$10))))</f>
        <v>20000000</v>
      </c>
      <c r="R30" s="12">
        <f ca="1">TotalSupply*R$6*MAX(0,MIN(1,IF(R$11="Linear",('Linear Curves'!K24-'Linear Curves'!K$8)/('Linear Curves'!K$10),('Sigmoid Curves'!K24-'Sigmoid Curves'!K$8)/('Sigmoid Curves'!K$10))))</f>
        <v>28800000</v>
      </c>
      <c r="S30" s="12">
        <f ca="1">TotalSupply*S$6*MAX(0,MIN(1,IF(S$11="Linear",('Linear Curves'!L24-'Linear Curves'!L$8)/('Linear Curves'!L$10),('Sigmoid Curves'!L24-'Sigmoid Curves'!L$8)/('Sigmoid Curves'!L$10))))</f>
        <v>3200000</v>
      </c>
      <c r="T30" s="11"/>
      <c r="U30" s="11"/>
      <c r="V30" s="11"/>
      <c r="W30" s="11"/>
      <c r="X30" s="11"/>
      <c r="Y30" s="11"/>
      <c r="Z30" s="11"/>
      <c r="AA30" s="11"/>
      <c r="AB30" s="11"/>
      <c r="AC30" s="11"/>
      <c r="AD30" s="11"/>
      <c r="AE30" s="11"/>
      <c r="AF30" s="11"/>
      <c r="AG30" s="11"/>
    </row>
    <row r="31" customHeight="1" spans="1:33">
      <c r="A31" s="2">
        <v>12</v>
      </c>
      <c r="B31" s="3">
        <f ca="1">MIN(1,((1-G$19)/(MATCH(100%,G$19:G1015,0)-1)*A31)+G$19)</f>
        <v>0.26875</v>
      </c>
      <c r="C31" s="3">
        <f ca="1" t="shared" si="4"/>
        <v>0.0203125</v>
      </c>
      <c r="D31" s="3">
        <f ca="1" t="shared" si="5"/>
        <v>0.0554348456845533</v>
      </c>
      <c r="E31" s="3">
        <f ca="1" t="shared" si="6"/>
        <v>0.981132075471701</v>
      </c>
      <c r="F31" s="3">
        <f ca="1" t="shared" si="7"/>
        <v>0.929798362179406</v>
      </c>
      <c r="G31" s="3">
        <f ca="1">H31/TotalSupply</f>
        <v>0.770878295870243</v>
      </c>
      <c r="H31" s="11">
        <f ca="1" t="shared" si="3"/>
        <v>616702636.696194</v>
      </c>
      <c r="I31" s="12">
        <f ca="1">TotalSupply*I$6*MAX(0,MIN(1,IF(I$11="Linear",('Linear Curves'!B25-'Linear Curves'!B$8)/('Linear Curves'!B$10),('Sigmoid Curves'!B25-'Sigmoid Curves'!B$8)/('Sigmoid Curves'!B$10))))</f>
        <v>19982378.4506527</v>
      </c>
      <c r="J31" s="12">
        <f ca="1">TotalSupply*J$6*MAX(0,MIN(1,IF(J$11="Linear",('Linear Curves'!C25-'Linear Curves'!C$8)/('Linear Curves'!C$10),('Sigmoid Curves'!C25-'Sigmoid Curves'!C$8)/('Sigmoid Curves'!C$10))))</f>
        <v>17676719.3986543</v>
      </c>
      <c r="K31" s="12">
        <f ca="1">TotalSupply*K$6*MAX(0,MIN(1,IF(K$11="Linear",('Linear Curves'!D25-'Linear Curves'!D$8)/('Linear Curves'!D$10),('Sigmoid Curves'!D25-'Sigmoid Curves'!D$8)/('Sigmoid Curves'!D$10))))</f>
        <v>16000000</v>
      </c>
      <c r="L31" s="12">
        <f ca="1">TotalSupply*L$6*MAX(0,MIN(1,IF(L$11="Linear",('Linear Curves'!F25-'Linear Curves'!F$8)/('Linear Curves'!F$10),('Sigmoid Curves'!F25-'Sigmoid Curves'!F$8)/('Sigmoid Curves'!F$10))))</f>
        <v>5140013.2358948</v>
      </c>
      <c r="M31" s="12">
        <f ca="1">TotalSupply*M$6*MAX(0,MIN(1,IF(M$11="Linear",('Linear Curves'!G25-'Linear Curves'!G$8)/('Linear Curves'!G$10),('Sigmoid Curves'!G25-'Sigmoid Curves'!G$8)/('Sigmoid Curves'!G$10))))</f>
        <v>1903525.61099268</v>
      </c>
      <c r="N31" s="12">
        <f ca="1">TotalSupply*N$6*MAX(0,MIN(1,IF(N$11="Linear",('Linear Curves'!H25-'Linear Curves'!H$8)/('Linear Curves'!H$10),('Sigmoid Curves'!H25-'Sigmoid Curves'!H$8)/('Sigmoid Curves'!H$10))))</f>
        <v>56000000</v>
      </c>
      <c r="O31" s="12">
        <f ca="1">TotalSupply*O$6*MAX(0,MIN(1,IF(O$11="Linear",('Linear Curves'!I25-'Linear Curves'!I$8)/('Linear Curves'!I$10),('Sigmoid Curves'!I25-'Sigmoid Curves'!I$8)/('Sigmoid Curves'!I$10))))</f>
        <v>48000000</v>
      </c>
      <c r="P31" s="12">
        <f ca="1">TotalSupply*P$6*MAX(0,MIN(1,IF(P$11="Linear",('Linear Curves'!I25-'Linear Curves'!I$8)/('Linear Curves'!I$10),('Sigmoid Curves'!I25-'Sigmoid Curves'!I$8)/('Sigmoid Curves'!I$10))))</f>
        <v>400000000</v>
      </c>
      <c r="Q31" s="12">
        <f ca="1">TotalSupply*Q$6*MAX(0,MIN(1,IF(Q$11="Linear",('Linear Curves'!J25-'Linear Curves'!J$8)/('Linear Curves'!J$10),('Sigmoid Curves'!J25-'Sigmoid Curves'!J$8)/('Sigmoid Curves'!J$10))))</f>
        <v>20000000</v>
      </c>
      <c r="R31" s="12">
        <f ca="1">TotalSupply*R$6*MAX(0,MIN(1,IF(R$11="Linear",('Linear Curves'!K25-'Linear Curves'!K$8)/('Linear Curves'!K$10),('Sigmoid Curves'!K25-'Sigmoid Curves'!K$8)/('Sigmoid Curves'!K$10))))</f>
        <v>28800000</v>
      </c>
      <c r="S31" s="12">
        <f ca="1">TotalSupply*S$6*MAX(0,MIN(1,IF(S$11="Linear",('Linear Curves'!L25-'Linear Curves'!L$8)/('Linear Curves'!L$10),('Sigmoid Curves'!L25-'Sigmoid Curves'!L$8)/('Sigmoid Curves'!L$10))))</f>
        <v>3200000</v>
      </c>
      <c r="T31" s="11"/>
      <c r="U31" s="11"/>
      <c r="V31" s="11"/>
      <c r="W31" s="11"/>
      <c r="X31" s="11"/>
      <c r="Y31" s="11"/>
      <c r="Z31" s="11"/>
      <c r="AA31" s="11"/>
      <c r="AB31" s="11"/>
      <c r="AC31" s="11"/>
      <c r="AD31" s="11"/>
      <c r="AE31" s="11"/>
      <c r="AF31" s="11"/>
      <c r="AG31" s="11"/>
    </row>
    <row r="32" customHeight="1" spans="1:33">
      <c r="A32" s="2">
        <v>13</v>
      </c>
      <c r="B32" s="3">
        <f ca="1">MIN(1,((1-G$19)/(MATCH(100%,G$19:G1016,0)-1)*A32)+G$19)</f>
        <v>0.2890625</v>
      </c>
      <c r="C32" s="3">
        <f ca="1" t="shared" si="4"/>
        <v>0.0203125</v>
      </c>
      <c r="D32" s="3">
        <f ca="1" t="shared" si="5"/>
        <v>0.00769250482688633</v>
      </c>
      <c r="E32" s="3">
        <f ca="1" t="shared" si="6"/>
        <v>0.906976744186048</v>
      </c>
      <c r="F32" s="3">
        <f ca="1" t="shared" si="7"/>
        <v>0.11974660386362</v>
      </c>
      <c r="G32" s="3">
        <f ca="1">H32/TotalSupply</f>
        <v>0.778570800697129</v>
      </c>
      <c r="H32" s="11">
        <f ca="1" t="shared" si="3"/>
        <v>622856640.557703</v>
      </c>
      <c r="I32" s="12">
        <f ca="1">TotalSupply*I$6*MAX(0,MIN(1,IF(I$11="Linear",('Linear Curves'!B26-'Linear Curves'!B$8)/('Linear Curves'!B$10),('Sigmoid Curves'!B26-'Sigmoid Curves'!B$8)/('Sigmoid Curves'!B$10))))</f>
        <v>22104220.960227</v>
      </c>
      <c r="J32" s="12">
        <f ca="1">TotalSupply*J$6*MAX(0,MIN(1,IF(J$11="Linear",('Linear Curves'!C26-'Linear Curves'!C$8)/('Linear Curves'!C$10),('Sigmoid Curves'!C26-'Sigmoid Curves'!C$8)/('Sigmoid Curves'!C$10))))</f>
        <v>19553733.9263546</v>
      </c>
      <c r="K32" s="12">
        <f ca="1">TotalSupply*K$6*MAX(0,MIN(1,IF(K$11="Linear",('Linear Curves'!D26-'Linear Curves'!D$8)/('Linear Curves'!D$10),('Sigmoid Curves'!D26-'Sigmoid Curves'!D$8)/('Sigmoid Curves'!D$10))))</f>
        <v>17333333.3333333</v>
      </c>
      <c r="L32" s="12">
        <f ca="1">TotalSupply*L$6*MAX(0,MIN(1,IF(L$11="Linear",('Linear Curves'!F26-'Linear Curves'!F$8)/('Linear Curves'!F$10),('Sigmoid Curves'!F26-'Sigmoid Curves'!F$8)/('Sigmoid Curves'!F$10))))</f>
        <v>5739730.5530691</v>
      </c>
      <c r="M32" s="12">
        <f ca="1">TotalSupply*M$6*MAX(0,MIN(1,IF(M$11="Linear",('Linear Curves'!G26-'Linear Curves'!G$8)/('Linear Curves'!G$10),('Sigmoid Curves'!G26-'Sigmoid Curves'!G$8)/('Sigmoid Curves'!G$10))))</f>
        <v>2125621.78471944</v>
      </c>
      <c r="N32" s="12">
        <f ca="1">TotalSupply*N$6*MAX(0,MIN(1,IF(N$11="Linear",('Linear Curves'!H26-'Linear Curves'!H$8)/('Linear Curves'!H$10),('Sigmoid Curves'!H26-'Sigmoid Curves'!H$8)/('Sigmoid Curves'!H$10))))</f>
        <v>56000000</v>
      </c>
      <c r="O32" s="12">
        <f ca="1">TotalSupply*O$6*MAX(0,MIN(1,IF(O$11="Linear",('Linear Curves'!I26-'Linear Curves'!I$8)/('Linear Curves'!I$10),('Sigmoid Curves'!I26-'Sigmoid Curves'!I$8)/('Sigmoid Curves'!I$10))))</f>
        <v>48000000</v>
      </c>
      <c r="P32" s="12">
        <f ca="1">TotalSupply*P$6*MAX(0,MIN(1,IF(P$11="Linear",('Linear Curves'!I26-'Linear Curves'!I$8)/('Linear Curves'!I$10),('Sigmoid Curves'!I26-'Sigmoid Curves'!I$8)/('Sigmoid Curves'!I$10))))</f>
        <v>400000000</v>
      </c>
      <c r="Q32" s="12">
        <f ca="1">TotalSupply*Q$6*MAX(0,MIN(1,IF(Q$11="Linear",('Linear Curves'!J26-'Linear Curves'!J$8)/('Linear Curves'!J$10),('Sigmoid Curves'!J26-'Sigmoid Curves'!J$8)/('Sigmoid Curves'!J$10))))</f>
        <v>20000000</v>
      </c>
      <c r="R32" s="12">
        <f ca="1">TotalSupply*R$6*MAX(0,MIN(1,IF(R$11="Linear",('Linear Curves'!K26-'Linear Curves'!K$8)/('Linear Curves'!K$10),('Sigmoid Curves'!K26-'Sigmoid Curves'!K$8)/('Sigmoid Curves'!K$10))))</f>
        <v>28800000</v>
      </c>
      <c r="S32" s="12">
        <f ca="1">TotalSupply*S$6*MAX(0,MIN(1,IF(S$11="Linear",('Linear Curves'!L26-'Linear Curves'!L$8)/('Linear Curves'!L$10),('Sigmoid Curves'!L26-'Sigmoid Curves'!L$8)/('Sigmoid Curves'!L$10))))</f>
        <v>3200000</v>
      </c>
      <c r="T32" s="11"/>
      <c r="U32" s="11"/>
      <c r="V32" s="11"/>
      <c r="W32" s="11"/>
      <c r="X32" s="11"/>
      <c r="Y32" s="11"/>
      <c r="Z32" s="11"/>
      <c r="AA32" s="11"/>
      <c r="AB32" s="11"/>
      <c r="AC32" s="11"/>
      <c r="AD32" s="11"/>
      <c r="AE32" s="11"/>
      <c r="AF32" s="11"/>
      <c r="AG32" s="11"/>
    </row>
    <row r="33" customHeight="1" spans="1:33">
      <c r="A33" s="2">
        <v>14</v>
      </c>
      <c r="B33" s="3">
        <f ca="1">MIN(1,((1-G$19)/(MATCH(100%,G$19:G1017,0)-1)*A33)+G$19)</f>
        <v>0.309375</v>
      </c>
      <c r="C33" s="3">
        <f ca="1" t="shared" si="4"/>
        <v>0.0203125</v>
      </c>
      <c r="D33" s="3">
        <f ca="1" t="shared" si="5"/>
        <v>0.00808922105673016</v>
      </c>
      <c r="E33" s="3">
        <f ca="1" t="shared" si="6"/>
        <v>0.84324324324324</v>
      </c>
      <c r="F33" s="3">
        <f ca="1" t="shared" si="7"/>
        <v>0.124678003071584</v>
      </c>
      <c r="G33" s="3">
        <f ca="1">H33/TotalSupply</f>
        <v>0.78666002175386</v>
      </c>
      <c r="H33" s="11">
        <f ca="1" t="shared" si="3"/>
        <v>629328017.403088</v>
      </c>
      <c r="I33" s="12">
        <f ca="1">TotalSupply*I$6*MAX(0,MIN(1,IF(I$11="Linear",('Linear Curves'!B27-'Linear Curves'!B$8)/('Linear Curves'!B$10),('Sigmoid Curves'!B27-'Sigmoid Curves'!B$8)/('Sigmoid Curves'!B$10))))</f>
        <v>24389748.610664</v>
      </c>
      <c r="J33" s="12">
        <f ca="1">TotalSupply*J$6*MAX(0,MIN(1,IF(J$11="Linear",('Linear Curves'!C27-'Linear Curves'!C$8)/('Linear Curves'!C$10),('Sigmoid Curves'!C27-'Sigmoid Curves'!C$8)/('Sigmoid Curves'!C$10))))</f>
        <v>21575546.8478951</v>
      </c>
      <c r="K33" s="12">
        <f ca="1">TotalSupply*K$6*MAX(0,MIN(1,IF(K$11="Linear",('Linear Curves'!D27-'Linear Curves'!D$8)/('Linear Curves'!D$10),('Sigmoid Curves'!D27-'Sigmoid Curves'!D$8)/('Sigmoid Curves'!D$10))))</f>
        <v>18666666.6666667</v>
      </c>
      <c r="L33" s="12">
        <f ca="1">TotalSupply*L$6*MAX(0,MIN(1,IF(L$11="Linear",('Linear Curves'!F27-'Linear Curves'!F$8)/('Linear Curves'!F$10),('Sigmoid Curves'!F27-'Sigmoid Curves'!F$8)/('Sigmoid Curves'!F$10))))</f>
        <v>6345934.93411836</v>
      </c>
      <c r="M33" s="12">
        <f ca="1">TotalSupply*M$6*MAX(0,MIN(1,IF(M$11="Linear",('Linear Curves'!G27-'Linear Curves'!G$8)/('Linear Curves'!G$10),('Sigmoid Curves'!G27-'Sigmoid Curves'!G$8)/('Sigmoid Curves'!G$10))))</f>
        <v>2350120.34374355</v>
      </c>
      <c r="N33" s="12">
        <f ca="1">TotalSupply*N$6*MAX(0,MIN(1,IF(N$11="Linear",('Linear Curves'!H27-'Linear Curves'!H$8)/('Linear Curves'!H$10),('Sigmoid Curves'!H27-'Sigmoid Curves'!H$8)/('Sigmoid Curves'!H$10))))</f>
        <v>56000000</v>
      </c>
      <c r="O33" s="12">
        <f ca="1">TotalSupply*O$6*MAX(0,MIN(1,IF(O$11="Linear",('Linear Curves'!I27-'Linear Curves'!I$8)/('Linear Curves'!I$10),('Sigmoid Curves'!I27-'Sigmoid Curves'!I$8)/('Sigmoid Curves'!I$10))))</f>
        <v>48000000</v>
      </c>
      <c r="P33" s="12">
        <f ca="1">TotalSupply*P$6*MAX(0,MIN(1,IF(P$11="Linear",('Linear Curves'!I27-'Linear Curves'!I$8)/('Linear Curves'!I$10),('Sigmoid Curves'!I27-'Sigmoid Curves'!I$8)/('Sigmoid Curves'!I$10))))</f>
        <v>400000000</v>
      </c>
      <c r="Q33" s="12">
        <f ca="1">TotalSupply*Q$6*MAX(0,MIN(1,IF(Q$11="Linear",('Linear Curves'!J27-'Linear Curves'!J$8)/('Linear Curves'!J$10),('Sigmoid Curves'!J27-'Sigmoid Curves'!J$8)/('Sigmoid Curves'!J$10))))</f>
        <v>20000000</v>
      </c>
      <c r="R33" s="12">
        <f ca="1">TotalSupply*R$6*MAX(0,MIN(1,IF(R$11="Linear",('Linear Curves'!K27-'Linear Curves'!K$8)/('Linear Curves'!K$10),('Sigmoid Curves'!K27-'Sigmoid Curves'!K$8)/('Sigmoid Curves'!K$10))))</f>
        <v>28800000</v>
      </c>
      <c r="S33" s="12">
        <f ca="1">TotalSupply*S$6*MAX(0,MIN(1,IF(S$11="Linear",('Linear Curves'!L27-'Linear Curves'!L$8)/('Linear Curves'!L$10),('Sigmoid Curves'!L27-'Sigmoid Curves'!L$8)/('Sigmoid Curves'!L$10))))</f>
        <v>3200000</v>
      </c>
      <c r="T33" s="11"/>
      <c r="U33" s="11"/>
      <c r="V33" s="11"/>
      <c r="W33" s="11"/>
      <c r="X33" s="11"/>
      <c r="Y33" s="11"/>
      <c r="Z33" s="11"/>
      <c r="AA33" s="11"/>
      <c r="AB33" s="11"/>
      <c r="AC33" s="11"/>
      <c r="AD33" s="11"/>
      <c r="AE33" s="11"/>
      <c r="AF33" s="11"/>
      <c r="AG33" s="11"/>
    </row>
    <row r="34" customHeight="1" spans="1:33">
      <c r="A34" s="2">
        <v>15</v>
      </c>
      <c r="B34" s="3">
        <f ca="1">MIN(1,((1-G$19)/(MATCH(100%,G$19:G1018,0)-1)*A34)+G$19)</f>
        <v>0.3296875</v>
      </c>
      <c r="C34" s="3">
        <f ca="1" t="shared" si="4"/>
        <v>0.0203125</v>
      </c>
      <c r="D34" s="3">
        <f ca="1" t="shared" si="5"/>
        <v>0.00846482785408798</v>
      </c>
      <c r="E34" s="3">
        <f ca="1" t="shared" si="6"/>
        <v>0.787878787878789</v>
      </c>
      <c r="F34" s="3">
        <f ca="1" t="shared" si="7"/>
        <v>0.129125583403346</v>
      </c>
      <c r="G34" s="3">
        <f ca="1">H34/TotalSupply</f>
        <v>0.795124849607947</v>
      </c>
      <c r="H34" s="11">
        <f ca="1" t="shared" si="3"/>
        <v>636099879.686358</v>
      </c>
      <c r="I34" s="12">
        <f ca="1">TotalSupply*I$6*MAX(0,MIN(1,IF(I$11="Linear",('Linear Curves'!B28-'Linear Curves'!B$8)/('Linear Curves'!B$10),('Sigmoid Curves'!B28-'Sigmoid Curves'!B$8)/('Sigmoid Curves'!B$10))))</f>
        <v>26838735.7882201</v>
      </c>
      <c r="J34" s="12">
        <f ca="1">TotalSupply*J$6*MAX(0,MIN(1,IF(J$11="Linear",('Linear Curves'!C28-'Linear Curves'!C$8)/('Linear Curves'!C$10),('Sigmoid Curves'!C28-'Sigmoid Curves'!C$8)/('Sigmoid Curves'!C$10))))</f>
        <v>23741958.581887</v>
      </c>
      <c r="K34" s="12">
        <f ca="1">TotalSupply*K$6*MAX(0,MIN(1,IF(K$11="Linear",('Linear Curves'!D28-'Linear Curves'!D$8)/('Linear Curves'!D$10),('Sigmoid Curves'!D28-'Sigmoid Curves'!D$8)/('Sigmoid Curves'!D$10))))</f>
        <v>20000000</v>
      </c>
      <c r="L34" s="12">
        <f ca="1">TotalSupply*L$6*MAX(0,MIN(1,IF(L$11="Linear",('Linear Curves'!F28-'Linear Curves'!F$8)/('Linear Curves'!F$10),('Sigmoid Curves'!F28-'Sigmoid Curves'!F$8)/('Sigmoid Curves'!F$10))))</f>
        <v>6946613.00009527</v>
      </c>
      <c r="M34" s="12">
        <f ca="1">TotalSupply*M$6*MAX(0,MIN(1,IF(M$11="Linear",('Linear Curves'!G28-'Linear Curves'!G$8)/('Linear Curves'!G$10),('Sigmoid Curves'!G28-'Sigmoid Curves'!G$8)/('Sigmoid Curves'!G$10))))</f>
        <v>2572572.31615555</v>
      </c>
      <c r="N34" s="12">
        <f ca="1">TotalSupply*N$6*MAX(0,MIN(1,IF(N$11="Linear",('Linear Curves'!H28-'Linear Curves'!H$8)/('Linear Curves'!H$10),('Sigmoid Curves'!H28-'Sigmoid Curves'!H$8)/('Sigmoid Curves'!H$10))))</f>
        <v>56000000</v>
      </c>
      <c r="O34" s="12">
        <f ca="1">TotalSupply*O$6*MAX(0,MIN(1,IF(O$11="Linear",('Linear Curves'!I28-'Linear Curves'!I$8)/('Linear Curves'!I$10),('Sigmoid Curves'!I28-'Sigmoid Curves'!I$8)/('Sigmoid Curves'!I$10))))</f>
        <v>48000000</v>
      </c>
      <c r="P34" s="12">
        <f ca="1">TotalSupply*P$6*MAX(0,MIN(1,IF(P$11="Linear",('Linear Curves'!I28-'Linear Curves'!I$8)/('Linear Curves'!I$10),('Sigmoid Curves'!I28-'Sigmoid Curves'!I$8)/('Sigmoid Curves'!I$10))))</f>
        <v>400000000</v>
      </c>
      <c r="Q34" s="12">
        <f ca="1">TotalSupply*Q$6*MAX(0,MIN(1,IF(Q$11="Linear",('Linear Curves'!J28-'Linear Curves'!J$8)/('Linear Curves'!J$10),('Sigmoid Curves'!J28-'Sigmoid Curves'!J$8)/('Sigmoid Curves'!J$10))))</f>
        <v>20000000</v>
      </c>
      <c r="R34" s="12">
        <f ca="1">TotalSupply*R$6*MAX(0,MIN(1,IF(R$11="Linear",('Linear Curves'!K28-'Linear Curves'!K$8)/('Linear Curves'!K$10),('Sigmoid Curves'!K28-'Sigmoid Curves'!K$8)/('Sigmoid Curves'!K$10))))</f>
        <v>28800000</v>
      </c>
      <c r="S34" s="12">
        <f ca="1">TotalSupply*S$6*MAX(0,MIN(1,IF(S$11="Linear",('Linear Curves'!L28-'Linear Curves'!L$8)/('Linear Curves'!L$10),('Sigmoid Curves'!L28-'Sigmoid Curves'!L$8)/('Sigmoid Curves'!L$10))))</f>
        <v>3200000</v>
      </c>
      <c r="T34" s="11"/>
      <c r="U34" s="11"/>
      <c r="V34" s="11"/>
      <c r="W34" s="11"/>
      <c r="X34" s="11"/>
      <c r="Y34" s="11"/>
      <c r="Z34" s="11"/>
      <c r="AA34" s="11"/>
      <c r="AB34" s="11"/>
      <c r="AC34" s="11"/>
      <c r="AD34" s="11"/>
      <c r="AE34" s="11"/>
      <c r="AF34" s="11"/>
      <c r="AG34" s="11"/>
    </row>
    <row r="35" customHeight="1" spans="1:33">
      <c r="A35" s="2">
        <v>16</v>
      </c>
      <c r="B35" s="3">
        <f ca="1">MIN(1,((1-G$19)/(MATCH(100%,G$19:G1019,0)-1)*A35)+G$19)</f>
        <v>0.35</v>
      </c>
      <c r="C35" s="3">
        <f ca="1" t="shared" si="4"/>
        <v>0.0203125</v>
      </c>
      <c r="D35" s="3">
        <f ca="1" t="shared" si="5"/>
        <v>0.00881356625788265</v>
      </c>
      <c r="E35" s="3">
        <f ca="1" t="shared" si="6"/>
        <v>0.739336492890996</v>
      </c>
      <c r="F35" s="3">
        <f ca="1" t="shared" si="7"/>
        <v>0.133014073383245</v>
      </c>
      <c r="G35" s="3">
        <f ca="1">H35/TotalSupply</f>
        <v>0.80393841586583</v>
      </c>
      <c r="H35" s="11">
        <f ca="1" t="shared" si="3"/>
        <v>643150732.692664</v>
      </c>
      <c r="I35" s="12">
        <f ca="1">TotalSupply*I$6*MAX(0,MIN(1,IF(I$11="Linear",('Linear Curves'!B29-'Linear Curves'!B$8)/('Linear Curves'!B$10),('Sigmoid Curves'!B29-'Sigmoid Curves'!B$8)/('Sigmoid Curves'!B$10))))</f>
        <v>29448198.5893937</v>
      </c>
      <c r="J35" s="12">
        <f ca="1">TotalSupply*J$6*MAX(0,MIN(1,IF(J$11="Linear",('Linear Curves'!C29-'Linear Curves'!C$8)/('Linear Curves'!C$10),('Sigmoid Curves'!C29-'Sigmoid Curves'!C$8)/('Sigmoid Curves'!C$10))))</f>
        <v>26050329.5213867</v>
      </c>
      <c r="K35" s="12">
        <f ca="1">TotalSupply*K$6*MAX(0,MIN(1,IF(K$11="Linear",('Linear Curves'!D29-'Linear Curves'!D$8)/('Linear Curves'!D$10),('Sigmoid Curves'!D29-'Sigmoid Curves'!D$8)/('Sigmoid Curves'!D$10))))</f>
        <v>21333333.3333333</v>
      </c>
      <c r="L35" s="12">
        <f ca="1">TotalSupply*L$6*MAX(0,MIN(1,IF(L$11="Linear",('Linear Curves'!F29-'Linear Curves'!F$8)/('Linear Curves'!F$10),('Sigmoid Curves'!F29-'Sigmoid Curves'!F$8)/('Sigmoid Curves'!F$10))))</f>
        <v>7530182.76040048</v>
      </c>
      <c r="M35" s="12">
        <f ca="1">TotalSupply*M$6*MAX(0,MIN(1,IF(M$11="Linear",('Linear Curves'!G29-'Linear Curves'!G$8)/('Linear Curves'!G$10),('Sigmoid Curves'!G29-'Sigmoid Curves'!G$8)/('Sigmoid Curves'!G$10))))</f>
        <v>2788688.48814989</v>
      </c>
      <c r="N35" s="12">
        <f ca="1">TotalSupply*N$6*MAX(0,MIN(1,IF(N$11="Linear",('Linear Curves'!H29-'Linear Curves'!H$8)/('Linear Curves'!H$10),('Sigmoid Curves'!H29-'Sigmoid Curves'!H$8)/('Sigmoid Curves'!H$10))))</f>
        <v>56000000</v>
      </c>
      <c r="O35" s="12">
        <f ca="1">TotalSupply*O$6*MAX(0,MIN(1,IF(O$11="Linear",('Linear Curves'!I29-'Linear Curves'!I$8)/('Linear Curves'!I$10),('Sigmoid Curves'!I29-'Sigmoid Curves'!I$8)/('Sigmoid Curves'!I$10))))</f>
        <v>48000000</v>
      </c>
      <c r="P35" s="12">
        <f ca="1">TotalSupply*P$6*MAX(0,MIN(1,IF(P$11="Linear",('Linear Curves'!I29-'Linear Curves'!I$8)/('Linear Curves'!I$10),('Sigmoid Curves'!I29-'Sigmoid Curves'!I$8)/('Sigmoid Curves'!I$10))))</f>
        <v>400000000</v>
      </c>
      <c r="Q35" s="12">
        <f ca="1">TotalSupply*Q$6*MAX(0,MIN(1,IF(Q$11="Linear",('Linear Curves'!J29-'Linear Curves'!J$8)/('Linear Curves'!J$10),('Sigmoid Curves'!J29-'Sigmoid Curves'!J$8)/('Sigmoid Curves'!J$10))))</f>
        <v>20000000</v>
      </c>
      <c r="R35" s="12">
        <f ca="1">TotalSupply*R$6*MAX(0,MIN(1,IF(R$11="Linear",('Linear Curves'!K29-'Linear Curves'!K$8)/('Linear Curves'!K$10),('Sigmoid Curves'!K29-'Sigmoid Curves'!K$8)/('Sigmoid Curves'!K$10))))</f>
        <v>28800000</v>
      </c>
      <c r="S35" s="12">
        <f ca="1">TotalSupply*S$6*MAX(0,MIN(1,IF(S$11="Linear",('Linear Curves'!L29-'Linear Curves'!L$8)/('Linear Curves'!L$10),('Sigmoid Curves'!L29-'Sigmoid Curves'!L$8)/('Sigmoid Curves'!L$10))))</f>
        <v>3200000</v>
      </c>
      <c r="T35" s="11"/>
      <c r="U35" s="11"/>
      <c r="V35" s="11"/>
      <c r="W35" s="11"/>
      <c r="X35" s="11"/>
      <c r="Y35" s="11"/>
      <c r="Z35" s="11"/>
      <c r="AA35" s="11"/>
      <c r="AB35" s="11"/>
      <c r="AC35" s="11"/>
      <c r="AD35" s="11"/>
      <c r="AE35" s="11"/>
      <c r="AF35" s="11"/>
      <c r="AG35" s="11"/>
    </row>
    <row r="36" customHeight="1" spans="1:33">
      <c r="A36" s="2">
        <v>17</v>
      </c>
      <c r="B36" s="3">
        <f ca="1">MIN(1,((1-G$19)/(MATCH(100%,G$19:G1020,0)-1)*A36)+G$19)</f>
        <v>0.3703125</v>
      </c>
      <c r="C36" s="3">
        <f ca="1" t="shared" si="4"/>
        <v>0.0203125</v>
      </c>
      <c r="D36" s="3">
        <f ca="1" t="shared" si="5"/>
        <v>0.00913044760335691</v>
      </c>
      <c r="E36" s="3">
        <f ca="1" t="shared" si="6"/>
        <v>0.696428571428573</v>
      </c>
      <c r="F36" s="3">
        <f ca="1" t="shared" si="7"/>
        <v>0.136285776469932</v>
      </c>
      <c r="G36" s="3">
        <f ca="1">H36/TotalSupply</f>
        <v>0.813068863469187</v>
      </c>
      <c r="H36" s="11">
        <f ca="1" t="shared" si="3"/>
        <v>650455090.77535</v>
      </c>
      <c r="I36" s="12">
        <f ca="1">TotalSupply*I$6*MAX(0,MIN(1,IF(I$11="Linear",('Linear Curves'!B30-'Linear Curves'!B$8)/('Linear Curves'!B$10),('Sigmoid Curves'!B30-'Sigmoid Curves'!B$8)/('Sigmoid Curves'!B$10))))</f>
        <v>32212091.2016468</v>
      </c>
      <c r="J36" s="12">
        <f ca="1">TotalSupply*J$6*MAX(0,MIN(1,IF(J$11="Linear",('Linear Curves'!C30-'Linear Curves'!C$8)/('Linear Curves'!C$10),('Sigmoid Curves'!C30-'Sigmoid Curves'!C$8)/('Sigmoid Curves'!C$10))))</f>
        <v>28495311.4476106</v>
      </c>
      <c r="K36" s="12">
        <f ca="1">TotalSupply*K$6*MAX(0,MIN(1,IF(K$11="Linear",('Linear Curves'!D30-'Linear Curves'!D$8)/('Linear Curves'!D$10),('Sigmoid Curves'!D30-'Sigmoid Curves'!D$8)/('Sigmoid Curves'!D$10))))</f>
        <v>22666666.6666667</v>
      </c>
      <c r="L36" s="12">
        <f ca="1">TotalSupply*L$6*MAX(0,MIN(1,IF(L$11="Linear",('Linear Curves'!F30-'Linear Curves'!F$8)/('Linear Curves'!F$10),('Sigmoid Curves'!F30-'Sigmoid Curves'!F$8)/('Sigmoid Curves'!F$10))))</f>
        <v>8086360.87722438</v>
      </c>
      <c r="M36" s="12">
        <f ca="1">TotalSupply*M$6*MAX(0,MIN(1,IF(M$11="Linear",('Linear Curves'!G30-'Linear Curves'!G$8)/('Linear Curves'!G$10),('Sigmoid Curves'!G30-'Sigmoid Curves'!G$8)/('Sigmoid Curves'!G$10))))</f>
        <v>2994660.58220106</v>
      </c>
      <c r="N36" s="12">
        <f ca="1">TotalSupply*N$6*MAX(0,MIN(1,IF(N$11="Linear",('Linear Curves'!H30-'Linear Curves'!H$8)/('Linear Curves'!H$10),('Sigmoid Curves'!H30-'Sigmoid Curves'!H$8)/('Sigmoid Curves'!H$10))))</f>
        <v>56000000</v>
      </c>
      <c r="O36" s="12">
        <f ca="1">TotalSupply*O$6*MAX(0,MIN(1,IF(O$11="Linear",('Linear Curves'!I30-'Linear Curves'!I$8)/('Linear Curves'!I$10),('Sigmoid Curves'!I30-'Sigmoid Curves'!I$8)/('Sigmoid Curves'!I$10))))</f>
        <v>48000000</v>
      </c>
      <c r="P36" s="12">
        <f ca="1">TotalSupply*P$6*MAX(0,MIN(1,IF(P$11="Linear",('Linear Curves'!I30-'Linear Curves'!I$8)/('Linear Curves'!I$10),('Sigmoid Curves'!I30-'Sigmoid Curves'!I$8)/('Sigmoid Curves'!I$10))))</f>
        <v>400000000</v>
      </c>
      <c r="Q36" s="12">
        <f ca="1">TotalSupply*Q$6*MAX(0,MIN(1,IF(Q$11="Linear",('Linear Curves'!J30-'Linear Curves'!J$8)/('Linear Curves'!J$10),('Sigmoid Curves'!J30-'Sigmoid Curves'!J$8)/('Sigmoid Curves'!J$10))))</f>
        <v>20000000</v>
      </c>
      <c r="R36" s="12">
        <f ca="1">TotalSupply*R$6*MAX(0,MIN(1,IF(R$11="Linear",('Linear Curves'!K30-'Linear Curves'!K$8)/('Linear Curves'!K$10),('Sigmoid Curves'!K30-'Sigmoid Curves'!K$8)/('Sigmoid Curves'!K$10))))</f>
        <v>28800000</v>
      </c>
      <c r="S36" s="12">
        <f ca="1">TotalSupply*S$6*MAX(0,MIN(1,IF(S$11="Linear",('Linear Curves'!L30-'Linear Curves'!L$8)/('Linear Curves'!L$10),('Sigmoid Curves'!L30-'Sigmoid Curves'!L$8)/('Sigmoid Curves'!L$10))))</f>
        <v>3200000</v>
      </c>
      <c r="T36" s="11"/>
      <c r="U36" s="11"/>
      <c r="V36" s="11"/>
      <c r="W36" s="11"/>
      <c r="X36" s="11"/>
      <c r="Y36" s="11"/>
      <c r="Z36" s="11"/>
      <c r="AA36" s="11"/>
      <c r="AB36" s="11"/>
      <c r="AC36" s="11"/>
      <c r="AD36" s="11"/>
      <c r="AE36" s="11"/>
      <c r="AF36" s="11"/>
      <c r="AG36" s="11"/>
    </row>
    <row r="37" customHeight="1" spans="1:33">
      <c r="A37" s="2">
        <v>18</v>
      </c>
      <c r="B37" s="3">
        <f ca="1">MIN(1,((1-G$19)/(MATCH(100%,G$19:G1021,0)-1)*A37)+G$19)</f>
        <v>0.390625</v>
      </c>
      <c r="C37" s="3">
        <f ca="1" t="shared" si="4"/>
        <v>0.0203125</v>
      </c>
      <c r="D37" s="3">
        <f ca="1" t="shared" si="5"/>
        <v>0.00941111388815175</v>
      </c>
      <c r="E37" s="3">
        <f ca="1" t="shared" si="6"/>
        <v>0.658227848101266</v>
      </c>
      <c r="F37" s="3">
        <f ca="1" t="shared" si="7"/>
        <v>0.138897665046427</v>
      </c>
      <c r="G37" s="3">
        <f ca="1">H37/TotalSupply</f>
        <v>0.822479977357339</v>
      </c>
      <c r="H37" s="11">
        <f ca="1" t="shared" si="3"/>
        <v>657983981.885871</v>
      </c>
      <c r="I37" s="12">
        <f ca="1">TotalSupply*I$6*MAX(0,MIN(1,IF(I$11="Linear",('Linear Curves'!B31-'Linear Curves'!B$8)/('Linear Curves'!B$10),('Sigmoid Curves'!B31-'Sigmoid Curves'!B$8)/('Sigmoid Curves'!B$10))))</f>
        <v>35121090.4800915</v>
      </c>
      <c r="J37" s="12">
        <f ca="1">TotalSupply*J$6*MAX(0,MIN(1,IF(J$11="Linear",('Linear Curves'!C31-'Linear Curves'!C$8)/('Linear Curves'!C$10),('Sigmoid Curves'!C31-'Sigmoid Curves'!C$8)/('Sigmoid Curves'!C$10))))</f>
        <v>31068656.9631579</v>
      </c>
      <c r="K37" s="12">
        <f ca="1">TotalSupply*K$6*MAX(0,MIN(1,IF(K$11="Linear",('Linear Curves'!D31-'Linear Curves'!D$8)/('Linear Curves'!D$10),('Sigmoid Curves'!D31-'Sigmoid Curves'!D$8)/('Sigmoid Curves'!D$10))))</f>
        <v>24000000</v>
      </c>
      <c r="L37" s="12">
        <f ca="1">TotalSupply*L$6*MAX(0,MIN(1,IF(L$11="Linear",('Linear Curves'!F31-'Linear Curves'!F$8)/('Linear Curves'!F$10),('Sigmoid Curves'!F31-'Sigmoid Curves'!F$8)/('Sigmoid Curves'!F$10))))</f>
        <v>8606827.11633094</v>
      </c>
      <c r="M37" s="12">
        <f ca="1">TotalSupply*M$6*MAX(0,MIN(1,IF(M$11="Linear",('Linear Curves'!G31-'Linear Curves'!G$8)/('Linear Curves'!G$10),('Sigmoid Curves'!G31-'Sigmoid Curves'!G$8)/('Sigmoid Curves'!G$10))))</f>
        <v>3187407.32629069</v>
      </c>
      <c r="N37" s="12">
        <f ca="1">TotalSupply*N$6*MAX(0,MIN(1,IF(N$11="Linear",('Linear Curves'!H31-'Linear Curves'!H$8)/('Linear Curves'!H$10),('Sigmoid Curves'!H31-'Sigmoid Curves'!H$8)/('Sigmoid Curves'!H$10))))</f>
        <v>56000000</v>
      </c>
      <c r="O37" s="12">
        <f ca="1">TotalSupply*O$6*MAX(0,MIN(1,IF(O$11="Linear",('Linear Curves'!I31-'Linear Curves'!I$8)/('Linear Curves'!I$10),('Sigmoid Curves'!I31-'Sigmoid Curves'!I$8)/('Sigmoid Curves'!I$10))))</f>
        <v>48000000</v>
      </c>
      <c r="P37" s="12">
        <f ca="1">TotalSupply*P$6*MAX(0,MIN(1,IF(P$11="Linear",('Linear Curves'!I31-'Linear Curves'!I$8)/('Linear Curves'!I$10),('Sigmoid Curves'!I31-'Sigmoid Curves'!I$8)/('Sigmoid Curves'!I$10))))</f>
        <v>400000000</v>
      </c>
      <c r="Q37" s="12">
        <f ca="1">TotalSupply*Q$6*MAX(0,MIN(1,IF(Q$11="Linear",('Linear Curves'!J31-'Linear Curves'!J$8)/('Linear Curves'!J$10),('Sigmoid Curves'!J31-'Sigmoid Curves'!J$8)/('Sigmoid Curves'!J$10))))</f>
        <v>20000000</v>
      </c>
      <c r="R37" s="12">
        <f ca="1">TotalSupply*R$6*MAX(0,MIN(1,IF(R$11="Linear",('Linear Curves'!K31-'Linear Curves'!K$8)/('Linear Curves'!K$10),('Sigmoid Curves'!K31-'Sigmoid Curves'!K$8)/('Sigmoid Curves'!K$10))))</f>
        <v>28800000</v>
      </c>
      <c r="S37" s="12">
        <f ca="1">TotalSupply*S$6*MAX(0,MIN(1,IF(S$11="Linear",('Linear Curves'!L31-'Linear Curves'!L$8)/('Linear Curves'!L$10),('Sigmoid Curves'!L31-'Sigmoid Curves'!L$8)/('Sigmoid Curves'!L$10))))</f>
        <v>3200000</v>
      </c>
      <c r="T37" s="11"/>
      <c r="U37" s="11"/>
      <c r="V37" s="11"/>
      <c r="W37" s="11"/>
      <c r="X37" s="11"/>
      <c r="Y37" s="11"/>
      <c r="Z37" s="11"/>
      <c r="AA37" s="11"/>
      <c r="AB37" s="11"/>
      <c r="AC37" s="11"/>
      <c r="AD37" s="11"/>
      <c r="AE37" s="11"/>
      <c r="AF37" s="11"/>
      <c r="AG37" s="11"/>
    </row>
    <row r="38" customHeight="1" spans="1:33">
      <c r="A38" s="2">
        <v>19</v>
      </c>
      <c r="B38" s="3">
        <f ca="1">MIN(1,((1-G$19)/(MATCH(100%,G$19:G1022,0)-1)*A38)+G$19)</f>
        <v>0.4109375</v>
      </c>
      <c r="C38" s="3">
        <f ca="1" t="shared" si="4"/>
        <v>0.0203125</v>
      </c>
      <c r="D38" s="3">
        <f ca="1" t="shared" si="5"/>
        <v>0.00965163015036152</v>
      </c>
      <c r="E38" s="3">
        <f ca="1" t="shared" si="6"/>
        <v>0.623999999999998</v>
      </c>
      <c r="F38" s="3">
        <f ca="1" t="shared" si="7"/>
        <v>0.140817484914916</v>
      </c>
      <c r="G38" s="3">
        <f ca="1">H38/TotalSupply</f>
        <v>0.8321316075077</v>
      </c>
      <c r="H38" s="11">
        <f ca="1" t="shared" si="3"/>
        <v>665705286.00616</v>
      </c>
      <c r="I38" s="12">
        <f ca="1">TotalSupply*I$6*MAX(0,MIN(1,IF(I$11="Linear",('Linear Curves'!B32-'Linear Curves'!B$8)/('Linear Curves'!B$10),('Sigmoid Curves'!B32-'Sigmoid Curves'!B$8)/('Sigmoid Curves'!B$10))))</f>
        <v>38162498.4747794</v>
      </c>
      <c r="J38" s="12">
        <f ca="1">TotalSupply*J$6*MAX(0,MIN(1,IF(J$11="Linear",('Linear Curves'!C32-'Linear Curves'!C$8)/('Linear Curves'!C$10),('Sigmoid Curves'!C32-'Sigmoid Curves'!C$8)/('Sigmoid Curves'!C$10))))</f>
        <v>33759133.266151</v>
      </c>
      <c r="K38" s="12">
        <f ca="1">TotalSupply*K$6*MAX(0,MIN(1,IF(K$11="Linear",('Linear Curves'!D32-'Linear Curves'!D$8)/('Linear Curves'!D$10),('Sigmoid Curves'!D32-'Sigmoid Curves'!D$8)/('Sigmoid Curves'!D$10))))</f>
        <v>25333333.3333333</v>
      </c>
      <c r="L38" s="12">
        <f ca="1">TotalSupply*L$6*MAX(0,MIN(1,IF(L$11="Linear",('Linear Curves'!F32-'Linear Curves'!F$8)/('Linear Curves'!F$10),('Sigmoid Curves'!F32-'Sigmoid Curves'!F$8)/('Sigmoid Curves'!F$10))))</f>
        <v>9085605.37141997</v>
      </c>
      <c r="M38" s="12">
        <f ca="1">TotalSupply*M$6*MAX(0,MIN(1,IF(M$11="Linear",('Linear Curves'!G32-'Linear Curves'!G$8)/('Linear Curves'!G$10),('Sigmoid Curves'!G32-'Sigmoid Curves'!G$8)/('Sigmoid Curves'!G$10))))</f>
        <v>3364715.56047654</v>
      </c>
      <c r="N38" s="12">
        <f ca="1">TotalSupply*N$6*MAX(0,MIN(1,IF(N$11="Linear",('Linear Curves'!H32-'Linear Curves'!H$8)/('Linear Curves'!H$10),('Sigmoid Curves'!H32-'Sigmoid Curves'!H$8)/('Sigmoid Curves'!H$10))))</f>
        <v>56000000</v>
      </c>
      <c r="O38" s="12">
        <f ca="1">TotalSupply*O$6*MAX(0,MIN(1,IF(O$11="Linear",('Linear Curves'!I32-'Linear Curves'!I$8)/('Linear Curves'!I$10),('Sigmoid Curves'!I32-'Sigmoid Curves'!I$8)/('Sigmoid Curves'!I$10))))</f>
        <v>48000000</v>
      </c>
      <c r="P38" s="12">
        <f ca="1">TotalSupply*P$6*MAX(0,MIN(1,IF(P$11="Linear",('Linear Curves'!I32-'Linear Curves'!I$8)/('Linear Curves'!I$10),('Sigmoid Curves'!I32-'Sigmoid Curves'!I$8)/('Sigmoid Curves'!I$10))))</f>
        <v>400000000</v>
      </c>
      <c r="Q38" s="12">
        <f ca="1">TotalSupply*Q$6*MAX(0,MIN(1,IF(Q$11="Linear",('Linear Curves'!J32-'Linear Curves'!J$8)/('Linear Curves'!J$10),('Sigmoid Curves'!J32-'Sigmoid Curves'!J$8)/('Sigmoid Curves'!J$10))))</f>
        <v>20000000</v>
      </c>
      <c r="R38" s="12">
        <f ca="1">TotalSupply*R$6*MAX(0,MIN(1,IF(R$11="Linear",('Linear Curves'!K32-'Linear Curves'!K$8)/('Linear Curves'!K$10),('Sigmoid Curves'!K32-'Sigmoid Curves'!K$8)/('Sigmoid Curves'!K$10))))</f>
        <v>28800000</v>
      </c>
      <c r="S38" s="12">
        <f ca="1">TotalSupply*S$6*MAX(0,MIN(1,IF(S$11="Linear",('Linear Curves'!L32-'Linear Curves'!L$8)/('Linear Curves'!L$10),('Sigmoid Curves'!L32-'Sigmoid Curves'!L$8)/('Sigmoid Curves'!L$10))))</f>
        <v>3200000</v>
      </c>
      <c r="T38" s="11"/>
      <c r="U38" s="11"/>
      <c r="V38" s="11"/>
      <c r="W38" s="11"/>
      <c r="X38" s="11"/>
      <c r="Y38" s="11"/>
      <c r="Z38" s="11"/>
      <c r="AA38" s="11"/>
      <c r="AB38" s="11"/>
      <c r="AC38" s="11"/>
      <c r="AD38" s="11"/>
      <c r="AE38" s="11"/>
      <c r="AF38" s="11"/>
      <c r="AG38" s="11"/>
    </row>
    <row r="39" customHeight="1" spans="1:33">
      <c r="A39" s="2">
        <v>20</v>
      </c>
      <c r="B39" s="3">
        <f ca="1">MIN(1,((1-G$19)/(MATCH(100%,G$19:G1023,0)-1)*A39)+G$19)</f>
        <v>0.43125</v>
      </c>
      <c r="C39" s="3">
        <f ca="1" t="shared" si="4"/>
        <v>0.0203125</v>
      </c>
      <c r="D39" s="3">
        <f ca="1" t="shared" si="5"/>
        <v>0.00984831169873934</v>
      </c>
      <c r="E39" s="3">
        <f ca="1" t="shared" si="6"/>
        <v>0.593155893536123</v>
      </c>
      <c r="F39" s="3">
        <f ca="1" t="shared" si="7"/>
        <v>0.142020492093588</v>
      </c>
      <c r="G39" s="3">
        <f ca="1">H39/TotalSupply</f>
        <v>0.84197991920644</v>
      </c>
      <c r="H39" s="11">
        <f ca="1" t="shared" si="3"/>
        <v>673583935.365152</v>
      </c>
      <c r="I39" s="12">
        <f ca="1">TotalSupply*I$6*MAX(0,MIN(1,IF(I$11="Linear",('Linear Curves'!B33-'Linear Curves'!B$8)/('Linear Curves'!B$10),('Sigmoid Curves'!B33-'Sigmoid Curves'!B$8)/('Sigmoid Curves'!B$10))))</f>
        <v>41320288.323687</v>
      </c>
      <c r="J39" s="12">
        <f ca="1">TotalSupply*J$6*MAX(0,MIN(1,IF(J$11="Linear",('Linear Curves'!C33-'Linear Curves'!C$8)/('Linear Curves'!C$10),('Sigmoid Curves'!C33-'Sigmoid Curves'!C$8)/('Sigmoid Curves'!C$10))))</f>
        <v>36552562.747877</v>
      </c>
      <c r="K39" s="12">
        <f ca="1">TotalSupply*K$6*MAX(0,MIN(1,IF(K$11="Linear",('Linear Curves'!D33-'Linear Curves'!D$8)/('Linear Curves'!D$10),('Sigmoid Curves'!D33-'Sigmoid Curves'!D$8)/('Sigmoid Curves'!D$10))))</f>
        <v>26666666.6666667</v>
      </c>
      <c r="L39" s="12">
        <f ca="1">TotalSupply*L$6*MAX(0,MIN(1,IF(L$11="Linear",('Linear Curves'!F33-'Linear Curves'!F$8)/('Linear Curves'!F$10),('Sigmoid Curves'!F33-'Sigmoid Curves'!F$8)/('Sigmoid Curves'!F$10))))</f>
        <v>9519146.65545466</v>
      </c>
      <c r="M39" s="12">
        <f ca="1">TotalSupply*M$6*MAX(0,MIN(1,IF(M$11="Linear",('Linear Curves'!G33-'Linear Curves'!G$8)/('Linear Curves'!G$10),('Sigmoid Curves'!G33-'Sigmoid Curves'!G$8)/('Sigmoid Curves'!G$10))))</f>
        <v>3525270.97146645</v>
      </c>
      <c r="N39" s="12">
        <f ca="1">TotalSupply*N$6*MAX(0,MIN(1,IF(N$11="Linear",('Linear Curves'!H33-'Linear Curves'!H$8)/('Linear Curves'!H$10),('Sigmoid Curves'!H33-'Sigmoid Curves'!H$8)/('Sigmoid Curves'!H$10))))</f>
        <v>56000000</v>
      </c>
      <c r="O39" s="12">
        <f ca="1">TotalSupply*O$6*MAX(0,MIN(1,IF(O$11="Linear",('Linear Curves'!I33-'Linear Curves'!I$8)/('Linear Curves'!I$10),('Sigmoid Curves'!I33-'Sigmoid Curves'!I$8)/('Sigmoid Curves'!I$10))))</f>
        <v>48000000</v>
      </c>
      <c r="P39" s="12">
        <f ca="1">TotalSupply*P$6*MAX(0,MIN(1,IF(P$11="Linear",('Linear Curves'!I33-'Linear Curves'!I$8)/('Linear Curves'!I$10),('Sigmoid Curves'!I33-'Sigmoid Curves'!I$8)/('Sigmoid Curves'!I$10))))</f>
        <v>400000000</v>
      </c>
      <c r="Q39" s="12">
        <f ca="1">TotalSupply*Q$6*MAX(0,MIN(1,IF(Q$11="Linear",('Linear Curves'!J33-'Linear Curves'!J$8)/('Linear Curves'!J$10),('Sigmoid Curves'!J33-'Sigmoid Curves'!J$8)/('Sigmoid Curves'!J$10))))</f>
        <v>20000000</v>
      </c>
      <c r="R39" s="12">
        <f ca="1">TotalSupply*R$6*MAX(0,MIN(1,IF(R$11="Linear",('Linear Curves'!K33-'Linear Curves'!K$8)/('Linear Curves'!K$10),('Sigmoid Curves'!K33-'Sigmoid Curves'!K$8)/('Sigmoid Curves'!K$10))))</f>
        <v>28800000</v>
      </c>
      <c r="S39" s="12">
        <f ca="1">TotalSupply*S$6*MAX(0,MIN(1,IF(S$11="Linear",('Linear Curves'!L33-'Linear Curves'!L$8)/('Linear Curves'!L$10),('Sigmoid Curves'!L33-'Sigmoid Curves'!L$8)/('Sigmoid Curves'!L$10))))</f>
        <v>3200000</v>
      </c>
      <c r="T39" s="11"/>
      <c r="U39" s="11"/>
      <c r="V39" s="11"/>
      <c r="W39" s="11"/>
      <c r="X39" s="11"/>
      <c r="Y39" s="11"/>
      <c r="Z39" s="11"/>
      <c r="AA39" s="11"/>
      <c r="AB39" s="11"/>
      <c r="AC39" s="11"/>
      <c r="AD39" s="11"/>
      <c r="AE39" s="11"/>
      <c r="AF39" s="11"/>
      <c r="AG39" s="11"/>
    </row>
    <row r="40" customHeight="1" spans="1:33">
      <c r="A40" s="2">
        <v>21</v>
      </c>
      <c r="B40" s="3">
        <f ca="1">MIN(1,((1-G$19)/(MATCH(100%,G$19:G1024,0)-1)*A40)+G$19)</f>
        <v>0.4515625</v>
      </c>
      <c r="C40" s="3">
        <f ca="1" t="shared" si="4"/>
        <v>0.0203125</v>
      </c>
      <c r="D40" s="3">
        <f ca="1" t="shared" si="5"/>
        <v>0.00999766618856779</v>
      </c>
      <c r="E40" s="3">
        <f ca="1" t="shared" si="6"/>
        <v>0.565217391304348</v>
      </c>
      <c r="F40" s="3">
        <f ca="1" t="shared" si="7"/>
        <v>0.142487951940571</v>
      </c>
      <c r="G40" s="3">
        <f ca="1">H40/TotalSupply</f>
        <v>0.851977585395007</v>
      </c>
      <c r="H40" s="11">
        <f ca="1" t="shared" si="3"/>
        <v>681582068.316006</v>
      </c>
      <c r="I40" s="12">
        <f ca="1">TotalSupply*I$6*MAX(0,MIN(1,IF(I$11="Linear",('Linear Curves'!B34-'Linear Curves'!B$8)/('Linear Curves'!B$10),('Sigmoid Curves'!B34-'Sigmoid Curves'!B$8)/('Sigmoid Curves'!B$10))))</f>
        <v>44575310.8187444</v>
      </c>
      <c r="J40" s="12">
        <f ca="1">TotalSupply*J$6*MAX(0,MIN(1,IF(J$11="Linear",('Linear Curves'!C34-'Linear Curves'!C$8)/('Linear Curves'!C$10),('Sigmoid Curves'!C34-'Sigmoid Curves'!C$8)/('Sigmoid Curves'!C$10))))</f>
        <v>39432005.7242739</v>
      </c>
      <c r="K40" s="12">
        <f ca="1">TotalSupply*K$6*MAX(0,MIN(1,IF(K$11="Linear",('Linear Curves'!D34-'Linear Curves'!D$8)/('Linear Curves'!D$10),('Sigmoid Curves'!D34-'Sigmoid Curves'!D$8)/('Sigmoid Curves'!D$10))))</f>
        <v>28000000</v>
      </c>
      <c r="L40" s="12">
        <f ca="1">TotalSupply*L$6*MAX(0,MIN(1,IF(L$11="Linear",('Linear Curves'!F34-'Linear Curves'!F$8)/('Linear Curves'!F$10),('Sigmoid Curves'!F34-'Sigmoid Curves'!F$8)/('Sigmoid Curves'!F$10))))</f>
        <v>9906157.30301201</v>
      </c>
      <c r="M40" s="12">
        <f ca="1">TotalSupply*M$6*MAX(0,MIN(1,IF(M$11="Linear",('Linear Curves'!G34-'Linear Curves'!G$8)/('Linear Curves'!G$10),('Sigmoid Curves'!G34-'Sigmoid Curves'!G$8)/('Sigmoid Curves'!G$10))))</f>
        <v>3668594.4699757</v>
      </c>
      <c r="N40" s="12">
        <f ca="1">TotalSupply*N$6*MAX(0,MIN(1,IF(N$11="Linear",('Linear Curves'!H34-'Linear Curves'!H$8)/('Linear Curves'!H$10),('Sigmoid Curves'!H34-'Sigmoid Curves'!H$8)/('Sigmoid Curves'!H$10))))</f>
        <v>56000000</v>
      </c>
      <c r="O40" s="12">
        <f ca="1">TotalSupply*O$6*MAX(0,MIN(1,IF(O$11="Linear",('Linear Curves'!I34-'Linear Curves'!I$8)/('Linear Curves'!I$10),('Sigmoid Curves'!I34-'Sigmoid Curves'!I$8)/('Sigmoid Curves'!I$10))))</f>
        <v>48000000</v>
      </c>
      <c r="P40" s="12">
        <f ca="1">TotalSupply*P$6*MAX(0,MIN(1,IF(P$11="Linear",('Linear Curves'!I34-'Linear Curves'!I$8)/('Linear Curves'!I$10),('Sigmoid Curves'!I34-'Sigmoid Curves'!I$8)/('Sigmoid Curves'!I$10))))</f>
        <v>400000000</v>
      </c>
      <c r="Q40" s="12">
        <f ca="1">TotalSupply*Q$6*MAX(0,MIN(1,IF(Q$11="Linear",('Linear Curves'!J34-'Linear Curves'!J$8)/('Linear Curves'!J$10),('Sigmoid Curves'!J34-'Sigmoid Curves'!J$8)/('Sigmoid Curves'!J$10))))</f>
        <v>20000000</v>
      </c>
      <c r="R40" s="12">
        <f ca="1">TotalSupply*R$6*MAX(0,MIN(1,IF(R$11="Linear",('Linear Curves'!K34-'Linear Curves'!K$8)/('Linear Curves'!K$10),('Sigmoid Curves'!K34-'Sigmoid Curves'!K$8)/('Sigmoid Curves'!K$10))))</f>
        <v>28800000</v>
      </c>
      <c r="S40" s="12">
        <f ca="1">TotalSupply*S$6*MAX(0,MIN(1,IF(S$11="Linear",('Linear Curves'!L34-'Linear Curves'!L$8)/('Linear Curves'!L$10),('Sigmoid Curves'!L34-'Sigmoid Curves'!L$8)/('Sigmoid Curves'!L$10))))</f>
        <v>3200000</v>
      </c>
      <c r="T40" s="11"/>
      <c r="U40" s="11"/>
      <c r="V40" s="11"/>
      <c r="W40" s="11"/>
      <c r="X40" s="11"/>
      <c r="Y40" s="11"/>
      <c r="Z40" s="11"/>
      <c r="AA40" s="11"/>
      <c r="AB40" s="11"/>
      <c r="AC40" s="11"/>
      <c r="AD40" s="11"/>
      <c r="AE40" s="11"/>
      <c r="AF40" s="11"/>
      <c r="AG40" s="11"/>
    </row>
    <row r="41" customHeight="1" spans="1:33">
      <c r="A41" s="2">
        <v>22</v>
      </c>
      <c r="B41" s="3">
        <f ca="1">MIN(1,((1-G$19)/(MATCH(100%,G$19:G1025,0)-1)*A41)+G$19)</f>
        <v>0.471875</v>
      </c>
      <c r="C41" s="3">
        <f ca="1" t="shared" si="4"/>
        <v>0.0203125</v>
      </c>
      <c r="D41" s="3">
        <f ca="1" t="shared" si="5"/>
        <v>0.0100964834684637</v>
      </c>
      <c r="E41" s="3">
        <f ca="1" t="shared" si="6"/>
        <v>0.539792387543253</v>
      </c>
      <c r="F41" s="3">
        <f ca="1" t="shared" si="7"/>
        <v>0.142207733746178</v>
      </c>
      <c r="G41" s="3">
        <f ca="1">H41/TotalSupply</f>
        <v>0.862074068863471</v>
      </c>
      <c r="H41" s="11">
        <f ca="1" t="shared" si="3"/>
        <v>689659255.090777</v>
      </c>
      <c r="I41" s="12">
        <f ca="1">TotalSupply*I$6*MAX(0,MIN(1,IF(I$11="Linear",('Linear Curves'!B35-'Linear Curves'!B$8)/('Linear Curves'!B$10),('Sigmoid Curves'!B35-'Sigmoid Curves'!B$8)/('Sigmoid Curves'!B$10))))</f>
        <v>47905667.3983446</v>
      </c>
      <c r="J41" s="12">
        <f ca="1">TotalSupply*J$6*MAX(0,MIN(1,IF(J$11="Linear",('Linear Curves'!C35-'Linear Curves'!C$8)/('Linear Curves'!C$10),('Sigmoid Curves'!C35-'Sigmoid Curves'!C$8)/('Sigmoid Curves'!C$10))))</f>
        <v>42378090.3908433</v>
      </c>
      <c r="K41" s="12">
        <f ca="1">TotalSupply*K$6*MAX(0,MIN(1,IF(K$11="Linear",('Linear Curves'!D35-'Linear Curves'!D$8)/('Linear Curves'!D$10),('Sigmoid Curves'!D35-'Sigmoid Curves'!D$8)/('Sigmoid Curves'!D$10))))</f>
        <v>29333333.3333333</v>
      </c>
      <c r="L41" s="12">
        <f ca="1">TotalSupply*L$6*MAX(0,MIN(1,IF(L$11="Linear",('Linear Curves'!F35-'Linear Curves'!F$8)/('Linear Curves'!F$10),('Sigmoid Curves'!F35-'Sigmoid Curves'!F$8)/('Sigmoid Curves'!F$10))))</f>
        <v>10247250.7394963</v>
      </c>
      <c r="M41" s="12">
        <f ca="1">TotalSupply*M$6*MAX(0,MIN(1,IF(M$11="Linear",('Linear Curves'!G35-'Linear Curves'!G$8)/('Linear Curves'!G$10),('Sigmoid Curves'!G35-'Sigmoid Curves'!G$8)/('Sigmoid Curves'!G$10))))</f>
        <v>3794913.22875927</v>
      </c>
      <c r="N41" s="12">
        <f ca="1">TotalSupply*N$6*MAX(0,MIN(1,IF(N$11="Linear",('Linear Curves'!H35-'Linear Curves'!H$8)/('Linear Curves'!H$10),('Sigmoid Curves'!H35-'Sigmoid Curves'!H$8)/('Sigmoid Curves'!H$10))))</f>
        <v>56000000</v>
      </c>
      <c r="O41" s="12">
        <f ca="1">TotalSupply*O$6*MAX(0,MIN(1,IF(O$11="Linear",('Linear Curves'!I35-'Linear Curves'!I$8)/('Linear Curves'!I$10),('Sigmoid Curves'!I35-'Sigmoid Curves'!I$8)/('Sigmoid Curves'!I$10))))</f>
        <v>48000000</v>
      </c>
      <c r="P41" s="12">
        <f ca="1">TotalSupply*P$6*MAX(0,MIN(1,IF(P$11="Linear",('Linear Curves'!I35-'Linear Curves'!I$8)/('Linear Curves'!I$10),('Sigmoid Curves'!I35-'Sigmoid Curves'!I$8)/('Sigmoid Curves'!I$10))))</f>
        <v>400000000</v>
      </c>
      <c r="Q41" s="12">
        <f ca="1">TotalSupply*Q$6*MAX(0,MIN(1,IF(Q$11="Linear",('Linear Curves'!J35-'Linear Curves'!J$8)/('Linear Curves'!J$10),('Sigmoid Curves'!J35-'Sigmoid Curves'!J$8)/('Sigmoid Curves'!J$10))))</f>
        <v>20000000</v>
      </c>
      <c r="R41" s="12">
        <f ca="1">TotalSupply*R$6*MAX(0,MIN(1,IF(R$11="Linear",('Linear Curves'!K35-'Linear Curves'!K$8)/('Linear Curves'!K$10),('Sigmoid Curves'!K35-'Sigmoid Curves'!K$8)/('Sigmoid Curves'!K$10))))</f>
        <v>28800000</v>
      </c>
      <c r="S41" s="12">
        <f ca="1">TotalSupply*S$6*MAX(0,MIN(1,IF(S$11="Linear",('Linear Curves'!L35-'Linear Curves'!L$8)/('Linear Curves'!L$10),('Sigmoid Curves'!L35-'Sigmoid Curves'!L$8)/('Sigmoid Curves'!L$10))))</f>
        <v>3200000</v>
      </c>
      <c r="T41" s="11"/>
      <c r="U41" s="11"/>
      <c r="V41" s="11"/>
      <c r="W41" s="11"/>
      <c r="X41" s="11"/>
      <c r="Y41" s="11"/>
      <c r="Z41" s="11"/>
      <c r="AA41" s="11"/>
      <c r="AB41" s="11"/>
      <c r="AC41" s="11"/>
      <c r="AD41" s="11"/>
      <c r="AE41" s="11"/>
      <c r="AF41" s="11"/>
      <c r="AG41" s="11"/>
    </row>
    <row r="42" customHeight="1" spans="1:33">
      <c r="A42" s="2">
        <v>23</v>
      </c>
      <c r="B42" s="3">
        <f ca="1">MIN(1,((1-G$19)/(MATCH(100%,G$19:G1026,0)-1)*A42)+G$19)</f>
        <v>0.4921875</v>
      </c>
      <c r="C42" s="3">
        <f ca="1" t="shared" si="4"/>
        <v>0.0203125</v>
      </c>
      <c r="D42" s="3">
        <f ca="1" t="shared" si="5"/>
        <v>0.010142055631234</v>
      </c>
      <c r="E42" s="3">
        <f ca="1" t="shared" si="6"/>
        <v>0.51655629139073</v>
      </c>
      <c r="F42" s="3">
        <f ca="1" t="shared" si="7"/>
        <v>0.141176578638145</v>
      </c>
      <c r="G42" s="3">
        <f ca="1">H42/TotalSupply</f>
        <v>0.872216124494705</v>
      </c>
      <c r="H42" s="11">
        <f ca="1" t="shared" si="3"/>
        <v>697772899.595764</v>
      </c>
      <c r="I42" s="12">
        <f ca="1">TotalSupply*I$6*MAX(0,MIN(1,IF(I$11="Linear",('Linear Curves'!B36-'Linear Curves'!B$8)/('Linear Curves'!B$10),('Sigmoid Curves'!B36-'Sigmoid Curves'!B$8)/('Sigmoid Curves'!B$10))))</f>
        <v>51287241.3134247</v>
      </c>
      <c r="J42" s="12">
        <f ca="1">TotalSupply*J$6*MAX(0,MIN(1,IF(J$11="Linear",('Linear Curves'!C36-'Linear Curves'!C$8)/('Linear Curves'!C$10),('Sigmoid Curves'!C36-'Sigmoid Curves'!C$8)/('Sigmoid Curves'!C$10))))</f>
        <v>45369482.7003373</v>
      </c>
      <c r="K42" s="12">
        <f ca="1">TotalSupply*K$6*MAX(0,MIN(1,IF(K$11="Linear",('Linear Curves'!D36-'Linear Curves'!D$8)/('Linear Curves'!D$10),('Sigmoid Curves'!D36-'Sigmoid Curves'!D$8)/('Sigmoid Curves'!D$10))))</f>
        <v>30666666.6666667</v>
      </c>
      <c r="L42" s="12">
        <f ca="1">TotalSupply*L$6*MAX(0,MIN(1,IF(L$11="Linear",('Linear Curves'!F36-'Linear Curves'!F$8)/('Linear Curves'!F$10),('Sigmoid Curves'!F36-'Sigmoid Curves'!F$8)/('Sigmoid Curves'!F$10))))</f>
        <v>10544510.1803938</v>
      </c>
      <c r="M42" s="12">
        <f ca="1">TotalSupply*M$6*MAX(0,MIN(1,IF(M$11="Linear",('Linear Curves'!G36-'Linear Curves'!G$8)/('Linear Curves'!G$10),('Sigmoid Curves'!G36-'Sigmoid Curves'!G$8)/('Sigmoid Curves'!G$10))))</f>
        <v>3904998.73494167</v>
      </c>
      <c r="N42" s="12">
        <f ca="1">TotalSupply*N$6*MAX(0,MIN(1,IF(N$11="Linear",('Linear Curves'!H36-'Linear Curves'!H$8)/('Linear Curves'!H$10),('Sigmoid Curves'!H36-'Sigmoid Curves'!H$8)/('Sigmoid Curves'!H$10))))</f>
        <v>56000000</v>
      </c>
      <c r="O42" s="12">
        <f ca="1">TotalSupply*O$6*MAX(0,MIN(1,IF(O$11="Linear",('Linear Curves'!I36-'Linear Curves'!I$8)/('Linear Curves'!I$10),('Sigmoid Curves'!I36-'Sigmoid Curves'!I$8)/('Sigmoid Curves'!I$10))))</f>
        <v>48000000</v>
      </c>
      <c r="P42" s="12">
        <f ca="1">TotalSupply*P$6*MAX(0,MIN(1,IF(P$11="Linear",('Linear Curves'!I36-'Linear Curves'!I$8)/('Linear Curves'!I$10),('Sigmoid Curves'!I36-'Sigmoid Curves'!I$8)/('Sigmoid Curves'!I$10))))</f>
        <v>400000000</v>
      </c>
      <c r="Q42" s="12">
        <f ca="1">TotalSupply*Q$6*MAX(0,MIN(1,IF(Q$11="Linear",('Linear Curves'!J36-'Linear Curves'!J$8)/('Linear Curves'!J$10),('Sigmoid Curves'!J36-'Sigmoid Curves'!J$8)/('Sigmoid Curves'!J$10))))</f>
        <v>20000000</v>
      </c>
      <c r="R42" s="12">
        <f ca="1">TotalSupply*R$6*MAX(0,MIN(1,IF(R$11="Linear",('Linear Curves'!K36-'Linear Curves'!K$8)/('Linear Curves'!K$10),('Sigmoid Curves'!K36-'Sigmoid Curves'!K$8)/('Sigmoid Curves'!K$10))))</f>
        <v>28800000</v>
      </c>
      <c r="S42" s="12">
        <f ca="1">TotalSupply*S$6*MAX(0,MIN(1,IF(S$11="Linear",('Linear Curves'!L36-'Linear Curves'!L$8)/('Linear Curves'!L$10),('Sigmoid Curves'!L36-'Sigmoid Curves'!L$8)/('Sigmoid Curves'!L$10))))</f>
        <v>3200000</v>
      </c>
      <c r="T42" s="11"/>
      <c r="U42" s="11"/>
      <c r="V42" s="11"/>
      <c r="W42" s="11"/>
      <c r="X42" s="11"/>
      <c r="Y42" s="11"/>
      <c r="Z42" s="11"/>
      <c r="AA42" s="11"/>
      <c r="AB42" s="11"/>
      <c r="AC42" s="11"/>
      <c r="AD42" s="11"/>
      <c r="AE42" s="11"/>
      <c r="AF42" s="11"/>
      <c r="AG42" s="11"/>
    </row>
    <row r="43" customHeight="1" spans="1:33">
      <c r="A43" s="2">
        <v>24</v>
      </c>
      <c r="B43" s="3">
        <f ca="1">MIN(1,((1-G$19)/(MATCH(100%,G$19:G1027,0)-1)*A43)+G$19)</f>
        <v>0.5125</v>
      </c>
      <c r="C43" s="3">
        <f ca="1" t="shared" si="4"/>
        <v>0.0203125</v>
      </c>
      <c r="D43" s="3">
        <f ca="1" t="shared" si="5"/>
        <v>0.0101324728145638</v>
      </c>
      <c r="E43" s="3">
        <f ca="1" t="shared" si="6"/>
        <v>0.495238095238096</v>
      </c>
      <c r="F43" s="3">
        <f ca="1" t="shared" si="7"/>
        <v>0.139403148325429</v>
      </c>
      <c r="G43" s="3">
        <f ca="1">H43/TotalSupply</f>
        <v>0.882348597309269</v>
      </c>
      <c r="H43" s="11">
        <f ca="1" t="shared" si="3"/>
        <v>705878877.847415</v>
      </c>
      <c r="I43" s="12">
        <f ca="1">TotalSupply*I$6*MAX(0,MIN(1,IF(I$11="Linear",('Linear Curves'!B37-'Linear Curves'!B$8)/('Linear Curves'!B$10),('Sigmoid Curves'!B37-'Sigmoid Curves'!B$8)/('Sigmoid Curves'!B$10))))</f>
        <v>54694363.865398</v>
      </c>
      <c r="J43" s="12">
        <f ca="1">TotalSupply*J$6*MAX(0,MIN(1,IF(J$11="Linear",('Linear Curves'!C37-'Linear Curves'!C$8)/('Linear Curves'!C$10),('Sigmoid Curves'!C37-'Sigmoid Curves'!C$8)/('Sigmoid Curves'!C$10))))</f>
        <v>48383475.7270829</v>
      </c>
      <c r="K43" s="12">
        <f ca="1">TotalSupply*K$6*MAX(0,MIN(1,IF(K$11="Linear",('Linear Curves'!D37-'Linear Curves'!D$8)/('Linear Curves'!D$10),('Sigmoid Curves'!D37-'Sigmoid Curves'!D$8)/('Sigmoid Curves'!D$10))))</f>
        <v>32000000</v>
      </c>
      <c r="L43" s="12">
        <f ca="1">TotalSupply*L$6*MAX(0,MIN(1,IF(L$11="Linear",('Linear Curves'!F37-'Linear Curves'!F$8)/('Linear Curves'!F$10),('Sigmoid Curves'!F37-'Sigmoid Curves'!F$8)/('Sigmoid Curves'!F$10))))</f>
        <v>10801038.2549343</v>
      </c>
      <c r="M43" s="12">
        <f ca="1">TotalSupply*M$6*MAX(0,MIN(1,IF(M$11="Linear",('Linear Curves'!G37-'Linear Curves'!G$8)/('Linear Curves'!G$10),('Sigmoid Curves'!G37-'Sigmoid Curves'!G$8)/('Sigmoid Curves'!G$10))))</f>
        <v>4000000</v>
      </c>
      <c r="N43" s="12">
        <f ca="1">TotalSupply*N$6*MAX(0,MIN(1,IF(N$11="Linear",('Linear Curves'!H37-'Linear Curves'!H$8)/('Linear Curves'!H$10),('Sigmoid Curves'!H37-'Sigmoid Curves'!H$8)/('Sigmoid Curves'!H$10))))</f>
        <v>56000000</v>
      </c>
      <c r="O43" s="12">
        <f ca="1">TotalSupply*O$6*MAX(0,MIN(1,IF(O$11="Linear",('Linear Curves'!I37-'Linear Curves'!I$8)/('Linear Curves'!I$10),('Sigmoid Curves'!I37-'Sigmoid Curves'!I$8)/('Sigmoid Curves'!I$10))))</f>
        <v>48000000</v>
      </c>
      <c r="P43" s="12">
        <f ca="1">TotalSupply*P$6*MAX(0,MIN(1,IF(P$11="Linear",('Linear Curves'!I37-'Linear Curves'!I$8)/('Linear Curves'!I$10),('Sigmoid Curves'!I37-'Sigmoid Curves'!I$8)/('Sigmoid Curves'!I$10))))</f>
        <v>400000000</v>
      </c>
      <c r="Q43" s="12">
        <f ca="1">TotalSupply*Q$6*MAX(0,MIN(1,IF(Q$11="Linear",('Linear Curves'!J37-'Linear Curves'!J$8)/('Linear Curves'!J$10),('Sigmoid Curves'!J37-'Sigmoid Curves'!J$8)/('Sigmoid Curves'!J$10))))</f>
        <v>20000000</v>
      </c>
      <c r="R43" s="12">
        <f ca="1">TotalSupply*R$6*MAX(0,MIN(1,IF(R$11="Linear",('Linear Curves'!K37-'Linear Curves'!K$8)/('Linear Curves'!K$10),('Sigmoid Curves'!K37-'Sigmoid Curves'!K$8)/('Sigmoid Curves'!K$10))))</f>
        <v>28800000</v>
      </c>
      <c r="S43" s="12">
        <f ca="1">TotalSupply*S$6*MAX(0,MIN(1,IF(S$11="Linear",('Linear Curves'!L37-'Linear Curves'!L$8)/('Linear Curves'!L$10),('Sigmoid Curves'!L37-'Sigmoid Curves'!L$8)/('Sigmoid Curves'!L$10))))</f>
        <v>3200000</v>
      </c>
      <c r="T43" s="11"/>
      <c r="U43" s="11"/>
      <c r="V43" s="11"/>
      <c r="W43" s="11"/>
      <c r="X43" s="11"/>
      <c r="Y43" s="11"/>
      <c r="Z43" s="11"/>
      <c r="AA43" s="11"/>
      <c r="AB43" s="11"/>
      <c r="AC43" s="11"/>
      <c r="AD43" s="11"/>
      <c r="AE43" s="11"/>
      <c r="AF43" s="11"/>
      <c r="AG43" s="11"/>
    </row>
    <row r="44" customHeight="1" spans="1:33">
      <c r="A44" s="2">
        <v>25</v>
      </c>
      <c r="B44" s="3">
        <f ca="1">MIN(1,((1-G$19)/(MATCH(100%,G$19:G1028,0)-1)*A44)+G$19)</f>
        <v>0.5328125</v>
      </c>
      <c r="C44" s="3">
        <f ca="1" t="shared" si="4"/>
        <v>0.0203125</v>
      </c>
      <c r="D44" s="3">
        <f ca="1" t="shared" si="5"/>
        <v>0.00829864316477813</v>
      </c>
      <c r="E44" s="3">
        <f ca="1" t="shared" si="6"/>
        <v>0.47560975609756</v>
      </c>
      <c r="F44" s="3">
        <f ca="1" t="shared" si="7"/>
        <v>0.112862102666698</v>
      </c>
      <c r="G44" s="3">
        <f ca="1">H44/TotalSupply</f>
        <v>0.890647240474047</v>
      </c>
      <c r="H44" s="11">
        <f ca="1" t="shared" si="3"/>
        <v>712517792.379238</v>
      </c>
      <c r="I44" s="12">
        <f ca="1">TotalSupply*I$6*MAX(0,MIN(1,IF(I$11="Linear",('Linear Curves'!B38-'Linear Curves'!B$8)/('Linear Curves'!B$10),('Sigmoid Curves'!B38-'Sigmoid Curves'!B$8)/('Sigmoid Curves'!B$10))))</f>
        <v>58100578.9294076</v>
      </c>
      <c r="J44" s="12">
        <f ca="1">TotalSupply*J$6*MAX(0,MIN(1,IF(J$11="Linear",('Linear Curves'!C38-'Linear Curves'!C$8)/('Linear Curves'!C$10),('Sigmoid Curves'!C38-'Sigmoid Curves'!C$8)/('Sigmoid Curves'!C$10))))</f>
        <v>51396665.9760144</v>
      </c>
      <c r="K44" s="12">
        <f ca="1">TotalSupply*K$6*MAX(0,MIN(1,IF(K$11="Linear",('Linear Curves'!D38-'Linear Curves'!D$8)/('Linear Curves'!D$10),('Sigmoid Curves'!D38-'Sigmoid Curves'!D$8)/('Sigmoid Curves'!D$10))))</f>
        <v>32000000</v>
      </c>
      <c r="L44" s="12">
        <f ca="1">TotalSupply*L$6*MAX(0,MIN(1,IF(L$11="Linear",('Linear Curves'!F38-'Linear Curves'!F$8)/('Linear Curves'!F$10),('Sigmoid Curves'!F38-'Sigmoid Curves'!F$8)/('Sigmoid Curves'!F$10))))</f>
        <v>11020547.4738157</v>
      </c>
      <c r="M44" s="12">
        <f ca="1">TotalSupply*M$6*MAX(0,MIN(1,IF(M$11="Linear",('Linear Curves'!G38-'Linear Curves'!G$8)/('Linear Curves'!G$10),('Sigmoid Curves'!G38-'Sigmoid Curves'!G$8)/('Sigmoid Curves'!G$10))))</f>
        <v>4000000</v>
      </c>
      <c r="N44" s="12">
        <f ca="1">TotalSupply*N$6*MAX(0,MIN(1,IF(N$11="Linear",('Linear Curves'!H38-'Linear Curves'!H$8)/('Linear Curves'!H$10),('Sigmoid Curves'!H38-'Sigmoid Curves'!H$8)/('Sigmoid Curves'!H$10))))</f>
        <v>56000000</v>
      </c>
      <c r="O44" s="12">
        <f ca="1">TotalSupply*O$6*MAX(0,MIN(1,IF(O$11="Linear",('Linear Curves'!I38-'Linear Curves'!I$8)/('Linear Curves'!I$10),('Sigmoid Curves'!I38-'Sigmoid Curves'!I$8)/('Sigmoid Curves'!I$10))))</f>
        <v>48000000</v>
      </c>
      <c r="P44" s="12">
        <f ca="1">TotalSupply*P$6*MAX(0,MIN(1,IF(P$11="Linear",('Linear Curves'!I38-'Linear Curves'!I$8)/('Linear Curves'!I$10),('Sigmoid Curves'!I38-'Sigmoid Curves'!I$8)/('Sigmoid Curves'!I$10))))</f>
        <v>400000000</v>
      </c>
      <c r="Q44" s="12">
        <f ca="1">TotalSupply*Q$6*MAX(0,MIN(1,IF(Q$11="Linear",('Linear Curves'!J38-'Linear Curves'!J$8)/('Linear Curves'!J$10),('Sigmoid Curves'!J38-'Sigmoid Curves'!J$8)/('Sigmoid Curves'!J$10))))</f>
        <v>20000000</v>
      </c>
      <c r="R44" s="12">
        <f ca="1">TotalSupply*R$6*MAX(0,MIN(1,IF(R$11="Linear",('Linear Curves'!K38-'Linear Curves'!K$8)/('Linear Curves'!K$10),('Sigmoid Curves'!K38-'Sigmoid Curves'!K$8)/('Sigmoid Curves'!K$10))))</f>
        <v>28800000</v>
      </c>
      <c r="S44" s="12">
        <f ca="1">TotalSupply*S$6*MAX(0,MIN(1,IF(S$11="Linear",('Linear Curves'!L38-'Linear Curves'!L$8)/('Linear Curves'!L$10),('Sigmoid Curves'!L38-'Sigmoid Curves'!L$8)/('Sigmoid Curves'!L$10))))</f>
        <v>3200000</v>
      </c>
      <c r="T44" s="11"/>
      <c r="U44" s="11"/>
      <c r="V44" s="11"/>
      <c r="W44" s="11"/>
      <c r="X44" s="11"/>
      <c r="Y44" s="11"/>
      <c r="Z44" s="11"/>
      <c r="AA44" s="11"/>
      <c r="AB44" s="11"/>
      <c r="AC44" s="11"/>
      <c r="AD44" s="11"/>
      <c r="AE44" s="11"/>
      <c r="AF44" s="11"/>
      <c r="AG44" s="11"/>
    </row>
    <row r="45" customHeight="1" spans="1:33">
      <c r="A45" s="2">
        <v>26</v>
      </c>
      <c r="B45" s="3">
        <f ca="1">MIN(1,((1-G$19)/(MATCH(100%,G$19:G1029,0)-1)*A45)+G$19)</f>
        <v>0.553125</v>
      </c>
      <c r="C45" s="3">
        <f ca="1" t="shared" si="4"/>
        <v>0.0203125000000001</v>
      </c>
      <c r="D45" s="3">
        <f ca="1" t="shared" si="5"/>
        <v>0.00819295318319435</v>
      </c>
      <c r="E45" s="3">
        <f ca="1" t="shared" si="6"/>
        <v>0.457478005865105</v>
      </c>
      <c r="F45" s="3">
        <f ca="1" t="shared" si="7"/>
        <v>0.11038650739658</v>
      </c>
      <c r="G45" s="3">
        <f ca="1">H45/TotalSupply</f>
        <v>0.898840193657241</v>
      </c>
      <c r="H45" s="11">
        <f ca="1" t="shared" si="3"/>
        <v>719072154.925793</v>
      </c>
      <c r="I45" s="12">
        <f ca="1">TotalSupply*I$6*MAX(0,MIN(1,IF(I$11="Linear",('Linear Curves'!B39-'Linear Curves'!B$8)/('Linear Curves'!B$10),('Sigmoid Curves'!B39-'Sigmoid Curves'!B$8)/('Sigmoid Curves'!B$10))))</f>
        <v>61479458.5012681</v>
      </c>
      <c r="J45" s="12">
        <f ca="1">TotalSupply*J$6*MAX(0,MIN(1,IF(J$11="Linear",('Linear Curves'!C39-'Linear Curves'!C$8)/('Linear Curves'!C$10),('Sigmoid Curves'!C39-'Sigmoid Curves'!C$8)/('Sigmoid Curves'!C$10))))</f>
        <v>54385674.8280448</v>
      </c>
      <c r="K45" s="12">
        <f ca="1">TotalSupply*K$6*MAX(0,MIN(1,IF(K$11="Linear",('Linear Curves'!D39-'Linear Curves'!D$8)/('Linear Curves'!D$10),('Sigmoid Curves'!D39-'Sigmoid Curves'!D$8)/('Sigmoid Curves'!D$10))))</f>
        <v>32000000</v>
      </c>
      <c r="L45" s="12">
        <f ca="1">TotalSupply*L$6*MAX(0,MIN(1,IF(L$11="Linear",('Linear Curves'!F39-'Linear Curves'!F$8)/('Linear Curves'!F$10),('Sigmoid Curves'!F39-'Sigmoid Curves'!F$8)/('Sigmoid Curves'!F$10))))</f>
        <v>11207021.5964802</v>
      </c>
      <c r="M45" s="12">
        <f ca="1">TotalSupply*M$6*MAX(0,MIN(1,IF(M$11="Linear",('Linear Curves'!G39-'Linear Curves'!G$8)/('Linear Curves'!G$10),('Sigmoid Curves'!G39-'Sigmoid Curves'!G$8)/('Sigmoid Curves'!G$10))))</f>
        <v>4000000</v>
      </c>
      <c r="N45" s="12">
        <f ca="1">TotalSupply*N$6*MAX(0,MIN(1,IF(N$11="Linear",('Linear Curves'!H39-'Linear Curves'!H$8)/('Linear Curves'!H$10),('Sigmoid Curves'!H39-'Sigmoid Curves'!H$8)/('Sigmoid Curves'!H$10))))</f>
        <v>56000000</v>
      </c>
      <c r="O45" s="12">
        <f ca="1">TotalSupply*O$6*MAX(0,MIN(1,IF(O$11="Linear",('Linear Curves'!I39-'Linear Curves'!I$8)/('Linear Curves'!I$10),('Sigmoid Curves'!I39-'Sigmoid Curves'!I$8)/('Sigmoid Curves'!I$10))))</f>
        <v>48000000</v>
      </c>
      <c r="P45" s="12">
        <f ca="1">TotalSupply*P$6*MAX(0,MIN(1,IF(P$11="Linear",('Linear Curves'!I39-'Linear Curves'!I$8)/('Linear Curves'!I$10),('Sigmoid Curves'!I39-'Sigmoid Curves'!I$8)/('Sigmoid Curves'!I$10))))</f>
        <v>400000000</v>
      </c>
      <c r="Q45" s="12">
        <f ca="1">TotalSupply*Q$6*MAX(0,MIN(1,IF(Q$11="Linear",('Linear Curves'!J39-'Linear Curves'!J$8)/('Linear Curves'!J$10),('Sigmoid Curves'!J39-'Sigmoid Curves'!J$8)/('Sigmoid Curves'!J$10))))</f>
        <v>20000000</v>
      </c>
      <c r="R45" s="12">
        <f ca="1">TotalSupply*R$6*MAX(0,MIN(1,IF(R$11="Linear",('Linear Curves'!K39-'Linear Curves'!K$8)/('Linear Curves'!K$10),('Sigmoid Curves'!K39-'Sigmoid Curves'!K$8)/('Sigmoid Curves'!K$10))))</f>
        <v>28800000</v>
      </c>
      <c r="S45" s="12">
        <f ca="1">TotalSupply*S$6*MAX(0,MIN(1,IF(S$11="Linear",('Linear Curves'!L39-'Linear Curves'!L$8)/('Linear Curves'!L$10),('Sigmoid Curves'!L39-'Sigmoid Curves'!L$8)/('Sigmoid Curves'!L$10))))</f>
        <v>3200000</v>
      </c>
      <c r="T45" s="11"/>
      <c r="U45" s="11"/>
      <c r="V45" s="11"/>
      <c r="W45" s="11"/>
      <c r="X45" s="11"/>
      <c r="Y45" s="11"/>
      <c r="Z45" s="11"/>
      <c r="AA45" s="11"/>
      <c r="AB45" s="11"/>
      <c r="AC45" s="11"/>
      <c r="AD45" s="11"/>
      <c r="AE45" s="11"/>
      <c r="AF45" s="11"/>
      <c r="AG45" s="11"/>
    </row>
    <row r="46" customHeight="1" spans="1:33">
      <c r="A46" s="2">
        <v>27</v>
      </c>
      <c r="B46" s="3">
        <f ca="1">MIN(1,((1-G$19)/(MATCH(100%,G$19:G1030,0)-1)*A46)+G$19)</f>
        <v>0.5734375</v>
      </c>
      <c r="C46" s="3">
        <f ca="1" t="shared" si="4"/>
        <v>0.0203125</v>
      </c>
      <c r="D46" s="3">
        <f ca="1" t="shared" si="5"/>
        <v>0.0080319848404512</v>
      </c>
      <c r="E46" s="3">
        <f ca="1" t="shared" si="6"/>
        <v>0.440677966101693</v>
      </c>
      <c r="F46" s="3">
        <f ca="1" t="shared" si="7"/>
        <v>0.107231317386067</v>
      </c>
      <c r="G46" s="3">
        <f ca="1">H46/TotalSupply</f>
        <v>0.906872178497693</v>
      </c>
      <c r="H46" s="11">
        <f ca="1" t="shared" si="3"/>
        <v>725497742.798154</v>
      </c>
      <c r="I46" s="12">
        <f ca="1">TotalSupply*I$6*MAX(0,MIN(1,IF(I$11="Linear",('Linear Curves'!B40-'Linear Curves'!B$8)/('Linear Curves'!B$10),('Sigmoid Curves'!B40-'Sigmoid Curves'!B$8)/('Sigmoid Curves'!B$10))))</f>
        <v>64805416.4090398</v>
      </c>
      <c r="J46" s="12">
        <f ca="1">TotalSupply*J$6*MAX(0,MIN(1,IF(J$11="Linear",('Linear Curves'!C40-'Linear Curves'!C$8)/('Linear Curves'!C$10),('Sigmoid Curves'!C40-'Sigmoid Curves'!C$8)/('Sigmoid Curves'!C$10))))</f>
        <v>57327868.3618429</v>
      </c>
      <c r="K46" s="12">
        <f ca="1">TotalSupply*K$6*MAX(0,MIN(1,IF(K$11="Linear",('Linear Curves'!D40-'Linear Curves'!D$8)/('Linear Curves'!D$10),('Sigmoid Curves'!D40-'Sigmoid Curves'!D$8)/('Sigmoid Curves'!D$10))))</f>
        <v>32000000</v>
      </c>
      <c r="L46" s="12">
        <f ca="1">TotalSupply*L$6*MAX(0,MIN(1,IF(L$11="Linear",('Linear Curves'!F40-'Linear Curves'!F$8)/('Linear Curves'!F$10),('Sigmoid Curves'!F40-'Sigmoid Curves'!F$8)/('Sigmoid Curves'!F$10))))</f>
        <v>11364458.0272714</v>
      </c>
      <c r="M46" s="12">
        <f ca="1">TotalSupply*M$6*MAX(0,MIN(1,IF(M$11="Linear",('Linear Curves'!G40-'Linear Curves'!G$8)/('Linear Curves'!G$10),('Sigmoid Curves'!G40-'Sigmoid Curves'!G$8)/('Sigmoid Curves'!G$10))))</f>
        <v>4000000</v>
      </c>
      <c r="N46" s="12">
        <f ca="1">TotalSupply*N$6*MAX(0,MIN(1,IF(N$11="Linear",('Linear Curves'!H40-'Linear Curves'!H$8)/('Linear Curves'!H$10),('Sigmoid Curves'!H40-'Sigmoid Curves'!H$8)/('Sigmoid Curves'!H$10))))</f>
        <v>56000000</v>
      </c>
      <c r="O46" s="12">
        <f ca="1">TotalSupply*O$6*MAX(0,MIN(1,IF(O$11="Linear",('Linear Curves'!I40-'Linear Curves'!I$8)/('Linear Curves'!I$10),('Sigmoid Curves'!I40-'Sigmoid Curves'!I$8)/('Sigmoid Curves'!I$10))))</f>
        <v>48000000</v>
      </c>
      <c r="P46" s="12">
        <f ca="1">TotalSupply*P$6*MAX(0,MIN(1,IF(P$11="Linear",('Linear Curves'!I40-'Linear Curves'!I$8)/('Linear Curves'!I$10),('Sigmoid Curves'!I40-'Sigmoid Curves'!I$8)/('Sigmoid Curves'!I$10))))</f>
        <v>400000000</v>
      </c>
      <c r="Q46" s="12">
        <f ca="1">TotalSupply*Q$6*MAX(0,MIN(1,IF(Q$11="Linear",('Linear Curves'!J40-'Linear Curves'!J$8)/('Linear Curves'!J$10),('Sigmoid Curves'!J40-'Sigmoid Curves'!J$8)/('Sigmoid Curves'!J$10))))</f>
        <v>20000000</v>
      </c>
      <c r="R46" s="12">
        <f ca="1">TotalSupply*R$6*MAX(0,MIN(1,IF(R$11="Linear",('Linear Curves'!K40-'Linear Curves'!K$8)/('Linear Curves'!K$10),('Sigmoid Curves'!K40-'Sigmoid Curves'!K$8)/('Sigmoid Curves'!K$10))))</f>
        <v>28800000</v>
      </c>
      <c r="S46" s="12">
        <f ca="1">TotalSupply*S$6*MAX(0,MIN(1,IF(S$11="Linear",('Linear Curves'!L40-'Linear Curves'!L$8)/('Linear Curves'!L$10),('Sigmoid Curves'!L40-'Sigmoid Curves'!L$8)/('Sigmoid Curves'!L$10))))</f>
        <v>3200000</v>
      </c>
      <c r="T46" s="11"/>
      <c r="U46" s="11"/>
      <c r="V46" s="11"/>
      <c r="W46" s="11"/>
      <c r="X46" s="11"/>
      <c r="Y46" s="11"/>
      <c r="Z46" s="11"/>
      <c r="AA46" s="11"/>
      <c r="AB46" s="11"/>
      <c r="AC46" s="11"/>
      <c r="AD46" s="11"/>
      <c r="AE46" s="11"/>
      <c r="AF46" s="11"/>
      <c r="AG46" s="11"/>
    </row>
    <row r="47" customHeight="1" spans="1:33">
      <c r="A47" s="2">
        <v>28</v>
      </c>
      <c r="B47" s="3">
        <f ca="1">MIN(1,((1-G$19)/(MATCH(100%,G$19:G1031,0)-1)*A47)+G$19)</f>
        <v>0.59375</v>
      </c>
      <c r="C47" s="3">
        <f ca="1" t="shared" si="4"/>
        <v>0.0203125</v>
      </c>
      <c r="D47" s="3">
        <f ca="1" t="shared" si="5"/>
        <v>0.00781930173615086</v>
      </c>
      <c r="E47" s="3">
        <f ca="1" t="shared" si="6"/>
        <v>0.425068119891008</v>
      </c>
      <c r="F47" s="3">
        <f ca="1" t="shared" si="7"/>
        <v>0.10346730560116</v>
      </c>
      <c r="G47" s="3">
        <f ca="1">H47/TotalSupply</f>
        <v>0.914691480233844</v>
      </c>
      <c r="H47" s="11">
        <f ca="1" t="shared" si="3"/>
        <v>731753184.187075</v>
      </c>
      <c r="I47" s="12">
        <f ca="1">TotalSupply*I$6*MAX(0,MIN(1,IF(I$11="Linear",('Linear Curves'!B41-'Linear Curves'!B$8)/('Linear Curves'!B$10),('Sigmoid Curves'!B41-'Sigmoid Curves'!B$8)/('Sigmoid Curves'!B$10))))</f>
        <v>68054467.5333438</v>
      </c>
      <c r="J47" s="12">
        <f ca="1">TotalSupply*J$6*MAX(0,MIN(1,IF(J$11="Linear",('Linear Curves'!C41-'Linear Curves'!C$8)/('Linear Curves'!C$10),('Sigmoid Curves'!C41-'Sigmoid Curves'!C$8)/('Sigmoid Curves'!C$10))))</f>
        <v>60202028.9718041</v>
      </c>
      <c r="K47" s="12">
        <f ca="1">TotalSupply*K$6*MAX(0,MIN(1,IF(K$11="Linear",('Linear Curves'!D41-'Linear Curves'!D$8)/('Linear Curves'!D$10),('Sigmoid Curves'!D41-'Sigmoid Curves'!D$8)/('Sigmoid Curves'!D$10))))</f>
        <v>32000000</v>
      </c>
      <c r="L47" s="12">
        <f ca="1">TotalSupply*L$6*MAX(0,MIN(1,IF(L$11="Linear",('Linear Curves'!F41-'Linear Curves'!F$8)/('Linear Curves'!F$10),('Sigmoid Curves'!F41-'Sigmoid Curves'!F$8)/('Sigmoid Curves'!F$10))))</f>
        <v>11496687.6819268</v>
      </c>
      <c r="M47" s="12">
        <f ca="1">TotalSupply*M$6*MAX(0,MIN(1,IF(M$11="Linear",('Linear Curves'!G41-'Linear Curves'!G$8)/('Linear Curves'!G$10),('Sigmoid Curves'!G41-'Sigmoid Curves'!G$8)/('Sigmoid Curves'!G$10))))</f>
        <v>4000000</v>
      </c>
      <c r="N47" s="12">
        <f ca="1">TotalSupply*N$6*MAX(0,MIN(1,IF(N$11="Linear",('Linear Curves'!H41-'Linear Curves'!H$8)/('Linear Curves'!H$10),('Sigmoid Curves'!H41-'Sigmoid Curves'!H$8)/('Sigmoid Curves'!H$10))))</f>
        <v>56000000</v>
      </c>
      <c r="O47" s="12">
        <f ca="1">TotalSupply*O$6*MAX(0,MIN(1,IF(O$11="Linear",('Linear Curves'!I41-'Linear Curves'!I$8)/('Linear Curves'!I$10),('Sigmoid Curves'!I41-'Sigmoid Curves'!I$8)/('Sigmoid Curves'!I$10))))</f>
        <v>48000000</v>
      </c>
      <c r="P47" s="12">
        <f ca="1">TotalSupply*P$6*MAX(0,MIN(1,IF(P$11="Linear",('Linear Curves'!I41-'Linear Curves'!I$8)/('Linear Curves'!I$10),('Sigmoid Curves'!I41-'Sigmoid Curves'!I$8)/('Sigmoid Curves'!I$10))))</f>
        <v>400000000</v>
      </c>
      <c r="Q47" s="12">
        <f ca="1">TotalSupply*Q$6*MAX(0,MIN(1,IF(Q$11="Linear",('Linear Curves'!J41-'Linear Curves'!J$8)/('Linear Curves'!J$10),('Sigmoid Curves'!J41-'Sigmoid Curves'!J$8)/('Sigmoid Curves'!J$10))))</f>
        <v>20000000</v>
      </c>
      <c r="R47" s="12">
        <f ca="1">TotalSupply*R$6*MAX(0,MIN(1,IF(R$11="Linear",('Linear Curves'!K41-'Linear Curves'!K$8)/('Linear Curves'!K$10),('Sigmoid Curves'!K41-'Sigmoid Curves'!K$8)/('Sigmoid Curves'!K$10))))</f>
        <v>28800000</v>
      </c>
      <c r="S47" s="12">
        <f ca="1">TotalSupply*S$6*MAX(0,MIN(1,IF(S$11="Linear",('Linear Curves'!L41-'Linear Curves'!L$8)/('Linear Curves'!L$10),('Sigmoid Curves'!L41-'Sigmoid Curves'!L$8)/('Sigmoid Curves'!L$10))))</f>
        <v>3200000</v>
      </c>
      <c r="T47" s="11"/>
      <c r="U47" s="11"/>
      <c r="V47" s="11"/>
      <c r="W47" s="11"/>
      <c r="X47" s="11"/>
      <c r="Y47" s="11"/>
      <c r="Z47" s="11"/>
      <c r="AA47" s="11"/>
      <c r="AB47" s="11"/>
      <c r="AC47" s="11"/>
      <c r="AD47" s="11"/>
      <c r="AE47" s="11"/>
      <c r="AF47" s="11"/>
      <c r="AG47" s="11"/>
    </row>
    <row r="48" customHeight="1" spans="1:33">
      <c r="A48" s="2">
        <v>29</v>
      </c>
      <c r="B48" s="3">
        <f ca="1">MIN(1,((1-G$19)/(MATCH(100%,G$19:G1032,0)-1)*A48)+G$19)</f>
        <v>0.6140625</v>
      </c>
      <c r="C48" s="3">
        <f ca="1" t="shared" si="4"/>
        <v>0.0203125000000001</v>
      </c>
      <c r="D48" s="3">
        <f ca="1" t="shared" si="5"/>
        <v>0.00755987539070069</v>
      </c>
      <c r="E48" s="3">
        <f ca="1" t="shared" si="6"/>
        <v>0.410526315789476</v>
      </c>
      <c r="F48" s="3">
        <f ca="1" t="shared" si="7"/>
        <v>0.0991793480630392</v>
      </c>
      <c r="G48" s="3">
        <f ca="1">H48/TotalSupply</f>
        <v>0.922251355624544</v>
      </c>
      <c r="H48" s="11">
        <f ca="1" t="shared" si="3"/>
        <v>737801084.499635</v>
      </c>
      <c r="I48" s="12">
        <f ca="1">TotalSupply*I$6*MAX(0,MIN(1,IF(I$11="Linear",('Linear Curves'!B42-'Linear Curves'!B$8)/('Linear Curves'!B$10),('Sigmoid Curves'!B42-'Sigmoid Curves'!B$8)/('Sigmoid Curves'!B$10))))</f>
        <v>71204885.8504249</v>
      </c>
      <c r="J48" s="12">
        <f ca="1">TotalSupply*J$6*MAX(0,MIN(1,IF(J$11="Linear",('Linear Curves'!C42-'Linear Curves'!C$8)/('Linear Curves'!C$10),('Sigmoid Curves'!C42-'Sigmoid Curves'!C$8)/('Sigmoid Curves'!C$10))))</f>
        <v>62988937.4830682</v>
      </c>
      <c r="K48" s="12">
        <f ca="1">TotalSupply*K$6*MAX(0,MIN(1,IF(K$11="Linear",('Linear Curves'!D42-'Linear Curves'!D$8)/('Linear Curves'!D$10),('Sigmoid Curves'!D42-'Sigmoid Curves'!D$8)/('Sigmoid Curves'!D$10))))</f>
        <v>32000000</v>
      </c>
      <c r="L48" s="12">
        <f ca="1">TotalSupply*L$6*MAX(0,MIN(1,IF(L$11="Linear",('Linear Curves'!F42-'Linear Curves'!F$8)/('Linear Curves'!F$10),('Sigmoid Curves'!F42-'Sigmoid Curves'!F$8)/('Sigmoid Curves'!F$10))))</f>
        <v>11607261.1661422</v>
      </c>
      <c r="M48" s="12">
        <f ca="1">TotalSupply*M$6*MAX(0,MIN(1,IF(M$11="Linear",('Linear Curves'!G42-'Linear Curves'!G$8)/('Linear Curves'!G$10),('Sigmoid Curves'!G42-'Sigmoid Curves'!G$8)/('Sigmoid Curves'!G$10))))</f>
        <v>4000000</v>
      </c>
      <c r="N48" s="12">
        <f ca="1">TotalSupply*N$6*MAX(0,MIN(1,IF(N$11="Linear",('Linear Curves'!H42-'Linear Curves'!H$8)/('Linear Curves'!H$10),('Sigmoid Curves'!H42-'Sigmoid Curves'!H$8)/('Sigmoid Curves'!H$10))))</f>
        <v>56000000</v>
      </c>
      <c r="O48" s="12">
        <f ca="1">TotalSupply*O$6*MAX(0,MIN(1,IF(O$11="Linear",('Linear Curves'!I42-'Linear Curves'!I$8)/('Linear Curves'!I$10),('Sigmoid Curves'!I42-'Sigmoid Curves'!I$8)/('Sigmoid Curves'!I$10))))</f>
        <v>48000000</v>
      </c>
      <c r="P48" s="12">
        <f ca="1">TotalSupply*P$6*MAX(0,MIN(1,IF(P$11="Linear",('Linear Curves'!I42-'Linear Curves'!I$8)/('Linear Curves'!I$10),('Sigmoid Curves'!I42-'Sigmoid Curves'!I$8)/('Sigmoid Curves'!I$10))))</f>
        <v>400000000</v>
      </c>
      <c r="Q48" s="12">
        <f ca="1">TotalSupply*Q$6*MAX(0,MIN(1,IF(Q$11="Linear",('Linear Curves'!J42-'Linear Curves'!J$8)/('Linear Curves'!J$10),('Sigmoid Curves'!J42-'Sigmoid Curves'!J$8)/('Sigmoid Curves'!J$10))))</f>
        <v>20000000</v>
      </c>
      <c r="R48" s="12">
        <f ca="1">TotalSupply*R$6*MAX(0,MIN(1,IF(R$11="Linear",('Linear Curves'!K42-'Linear Curves'!K$8)/('Linear Curves'!K$10),('Sigmoid Curves'!K42-'Sigmoid Curves'!K$8)/('Sigmoid Curves'!K$10))))</f>
        <v>28800000</v>
      </c>
      <c r="S48" s="12">
        <f ca="1">TotalSupply*S$6*MAX(0,MIN(1,IF(S$11="Linear",('Linear Curves'!L42-'Linear Curves'!L$8)/('Linear Curves'!L$10),('Sigmoid Curves'!L42-'Sigmoid Curves'!L$8)/('Sigmoid Curves'!L$10))))</f>
        <v>3200000</v>
      </c>
      <c r="T48" s="11"/>
      <c r="U48" s="11"/>
      <c r="V48" s="11"/>
      <c r="W48" s="11"/>
      <c r="X48" s="11"/>
      <c r="Y48" s="11"/>
      <c r="Z48" s="11"/>
      <c r="AA48" s="11"/>
      <c r="AB48" s="11"/>
      <c r="AC48" s="11"/>
      <c r="AD48" s="11"/>
      <c r="AE48" s="11"/>
      <c r="AF48" s="11"/>
      <c r="AG48" s="11"/>
    </row>
    <row r="49" customHeight="1" spans="1:33">
      <c r="A49" s="2">
        <v>30</v>
      </c>
      <c r="B49" s="3">
        <f ca="1">MIN(1,((1-G$19)/(MATCH(100%,G$19:G1033,0)-1)*A49)+G$19)</f>
        <v>0.634375</v>
      </c>
      <c r="C49" s="3">
        <f ca="1" t="shared" si="4"/>
        <v>0.0203125</v>
      </c>
      <c r="D49" s="3">
        <f ca="1" t="shared" si="5"/>
        <v>0.00725982758252663</v>
      </c>
      <c r="E49" s="3">
        <f ca="1" t="shared" si="6"/>
        <v>0.396946564885496</v>
      </c>
      <c r="F49" s="3">
        <f ca="1" t="shared" si="7"/>
        <v>0.0944622422716037</v>
      </c>
      <c r="G49" s="3">
        <f ca="1">H49/TotalSupply</f>
        <v>0.929511183207071</v>
      </c>
      <c r="H49" s="11">
        <f ca="1" t="shared" si="3"/>
        <v>743608946.565657</v>
      </c>
      <c r="I49" s="12">
        <f ca="1">TotalSupply*I$6*MAX(0,MIN(1,IF(I$11="Linear",('Linear Curves'!B43-'Linear Curves'!B$8)/('Linear Curves'!B$10),('Sigmoid Curves'!B43-'Sigmoid Curves'!B$8)/('Sigmoid Curves'!B$10))))</f>
        <v>74237725.3658301</v>
      </c>
      <c r="J49" s="12">
        <f ca="1">TotalSupply*J$6*MAX(0,MIN(1,IF(J$11="Linear",('Linear Curves'!C43-'Linear Curves'!C$8)/('Linear Curves'!C$10),('Sigmoid Curves'!C43-'Sigmoid Curves'!C$8)/('Sigmoid Curves'!C$10))))</f>
        <v>65671833.9774651</v>
      </c>
      <c r="K49" s="12">
        <f ca="1">TotalSupply*K$6*MAX(0,MIN(1,IF(K$11="Linear",('Linear Curves'!D43-'Linear Curves'!D$8)/('Linear Curves'!D$10),('Sigmoid Curves'!D43-'Sigmoid Curves'!D$8)/('Sigmoid Curves'!D$10))))</f>
        <v>32000000</v>
      </c>
      <c r="L49" s="12">
        <f ca="1">TotalSupply*L$6*MAX(0,MIN(1,IF(L$11="Linear",('Linear Curves'!F43-'Linear Curves'!F$8)/('Linear Curves'!F$10),('Sigmoid Curves'!F43-'Sigmoid Curves'!F$8)/('Sigmoid Curves'!F$10))))</f>
        <v>11699387.2223614</v>
      </c>
      <c r="M49" s="12">
        <f ca="1">TotalSupply*M$6*MAX(0,MIN(1,IF(M$11="Linear",('Linear Curves'!G43-'Linear Curves'!G$8)/('Linear Curves'!G$10),('Sigmoid Curves'!G43-'Sigmoid Curves'!G$8)/('Sigmoid Curves'!G$10))))</f>
        <v>4000000</v>
      </c>
      <c r="N49" s="12">
        <f ca="1">TotalSupply*N$6*MAX(0,MIN(1,IF(N$11="Linear",('Linear Curves'!H43-'Linear Curves'!H$8)/('Linear Curves'!H$10),('Sigmoid Curves'!H43-'Sigmoid Curves'!H$8)/('Sigmoid Curves'!H$10))))</f>
        <v>56000000</v>
      </c>
      <c r="O49" s="12">
        <f ca="1">TotalSupply*O$6*MAX(0,MIN(1,IF(O$11="Linear",('Linear Curves'!I43-'Linear Curves'!I$8)/('Linear Curves'!I$10),('Sigmoid Curves'!I43-'Sigmoid Curves'!I$8)/('Sigmoid Curves'!I$10))))</f>
        <v>48000000</v>
      </c>
      <c r="P49" s="12">
        <f ca="1">TotalSupply*P$6*MAX(0,MIN(1,IF(P$11="Linear",('Linear Curves'!I43-'Linear Curves'!I$8)/('Linear Curves'!I$10),('Sigmoid Curves'!I43-'Sigmoid Curves'!I$8)/('Sigmoid Curves'!I$10))))</f>
        <v>400000000</v>
      </c>
      <c r="Q49" s="12">
        <f ca="1">TotalSupply*Q$6*MAX(0,MIN(1,IF(Q$11="Linear",('Linear Curves'!J43-'Linear Curves'!J$8)/('Linear Curves'!J$10),('Sigmoid Curves'!J43-'Sigmoid Curves'!J$8)/('Sigmoid Curves'!J$10))))</f>
        <v>20000000</v>
      </c>
      <c r="R49" s="12">
        <f ca="1">TotalSupply*R$6*MAX(0,MIN(1,IF(R$11="Linear",('Linear Curves'!K43-'Linear Curves'!K$8)/('Linear Curves'!K$10),('Sigmoid Curves'!K43-'Sigmoid Curves'!K$8)/('Sigmoid Curves'!K$10))))</f>
        <v>28800000</v>
      </c>
      <c r="S49" s="12">
        <f ca="1">TotalSupply*S$6*MAX(0,MIN(1,IF(S$11="Linear",('Linear Curves'!L43-'Linear Curves'!L$8)/('Linear Curves'!L$10),('Sigmoid Curves'!L43-'Sigmoid Curves'!L$8)/('Sigmoid Curves'!L$10))))</f>
        <v>3200000</v>
      </c>
      <c r="T49" s="11"/>
      <c r="U49" s="11"/>
      <c r="V49" s="11"/>
      <c r="W49" s="11"/>
      <c r="X49" s="11"/>
      <c r="Y49" s="11"/>
      <c r="Z49" s="11"/>
      <c r="AA49" s="11"/>
      <c r="AB49" s="11"/>
      <c r="AC49" s="11"/>
      <c r="AD49" s="11"/>
      <c r="AE49" s="11"/>
      <c r="AF49" s="11"/>
      <c r="AG49" s="11"/>
    </row>
    <row r="50" customHeight="1" spans="1:33">
      <c r="A50" s="2">
        <v>31</v>
      </c>
      <c r="B50" s="3">
        <f ca="1">MIN(1,((1-G$19)/(MATCH(100%,G$19:G1034,0)-1)*A50)+G$19)</f>
        <v>0.6546875</v>
      </c>
      <c r="C50" s="3">
        <f ca="1" t="shared" si="4"/>
        <v>0.0203125000000001</v>
      </c>
      <c r="D50" s="3">
        <f ca="1" t="shared" si="5"/>
        <v>0.00692610327794585</v>
      </c>
      <c r="E50" s="3">
        <f ca="1" t="shared" si="6"/>
        <v>0.384236453201971</v>
      </c>
      <c r="F50" s="3">
        <f ca="1" t="shared" si="7"/>
        <v>0.0894160724872473</v>
      </c>
      <c r="G50" s="3">
        <f ca="1">H50/TotalSupply</f>
        <v>0.936437286485017</v>
      </c>
      <c r="H50" s="11">
        <f ca="1" t="shared" si="3"/>
        <v>749149829.188013</v>
      </c>
      <c r="I50" s="12">
        <f ca="1">TotalSupply*I$6*MAX(0,MIN(1,IF(I$11="Linear",('Linear Curves'!B44-'Linear Curves'!B$8)/('Linear Curves'!B$10),('Sigmoid Curves'!B44-'Sigmoid Curves'!B$8)/('Sigmoid Curves'!B$10))))</f>
        <v>77137181.8377517</v>
      </c>
      <c r="J50" s="12">
        <f ca="1">TotalSupply*J$6*MAX(0,MIN(1,IF(J$11="Linear",('Linear Curves'!C44-'Linear Curves'!C$8)/('Linear Curves'!C$10),('Sigmoid Curves'!C44-'Sigmoid Curves'!C$8)/('Sigmoid Curves'!C$10))))</f>
        <v>68236737.7795496</v>
      </c>
      <c r="K50" s="12">
        <f ca="1">TotalSupply*K$6*MAX(0,MIN(1,IF(K$11="Linear",('Linear Curves'!D44-'Linear Curves'!D$8)/('Linear Curves'!D$10),('Sigmoid Curves'!D44-'Sigmoid Curves'!D$8)/('Sigmoid Curves'!D$10))))</f>
        <v>32000000</v>
      </c>
      <c r="L50" s="12">
        <f ca="1">TotalSupply*L$6*MAX(0,MIN(1,IF(L$11="Linear",('Linear Curves'!F44-'Linear Curves'!F$8)/('Linear Curves'!F$10),('Sigmoid Curves'!F44-'Sigmoid Curves'!F$8)/('Sigmoid Curves'!F$10))))</f>
        <v>11775909.570712</v>
      </c>
      <c r="M50" s="12">
        <f ca="1">TotalSupply*M$6*MAX(0,MIN(1,IF(M$11="Linear",('Linear Curves'!G44-'Linear Curves'!G$8)/('Linear Curves'!G$10),('Sigmoid Curves'!G44-'Sigmoid Curves'!G$8)/('Sigmoid Curves'!G$10))))</f>
        <v>4000000</v>
      </c>
      <c r="N50" s="12">
        <f ca="1">TotalSupply*N$6*MAX(0,MIN(1,IF(N$11="Linear",('Linear Curves'!H44-'Linear Curves'!H$8)/('Linear Curves'!H$10),('Sigmoid Curves'!H44-'Sigmoid Curves'!H$8)/('Sigmoid Curves'!H$10))))</f>
        <v>56000000</v>
      </c>
      <c r="O50" s="12">
        <f ca="1">TotalSupply*O$6*MAX(0,MIN(1,IF(O$11="Linear",('Linear Curves'!I44-'Linear Curves'!I$8)/('Linear Curves'!I$10),('Sigmoid Curves'!I44-'Sigmoid Curves'!I$8)/('Sigmoid Curves'!I$10))))</f>
        <v>48000000</v>
      </c>
      <c r="P50" s="12">
        <f ca="1">TotalSupply*P$6*MAX(0,MIN(1,IF(P$11="Linear",('Linear Curves'!I44-'Linear Curves'!I$8)/('Linear Curves'!I$10),('Sigmoid Curves'!I44-'Sigmoid Curves'!I$8)/('Sigmoid Curves'!I$10))))</f>
        <v>400000000</v>
      </c>
      <c r="Q50" s="12">
        <f ca="1">TotalSupply*Q$6*MAX(0,MIN(1,IF(Q$11="Linear",('Linear Curves'!J44-'Linear Curves'!J$8)/('Linear Curves'!J$10),('Sigmoid Curves'!J44-'Sigmoid Curves'!J$8)/('Sigmoid Curves'!J$10))))</f>
        <v>20000000</v>
      </c>
      <c r="R50" s="12">
        <f ca="1">TotalSupply*R$6*MAX(0,MIN(1,IF(R$11="Linear",('Linear Curves'!K44-'Linear Curves'!K$8)/('Linear Curves'!K$10),('Sigmoid Curves'!K44-'Sigmoid Curves'!K$8)/('Sigmoid Curves'!K$10))))</f>
        <v>28800000</v>
      </c>
      <c r="S50" s="12">
        <f ca="1">TotalSupply*S$6*MAX(0,MIN(1,IF(S$11="Linear",('Linear Curves'!L44-'Linear Curves'!L$8)/('Linear Curves'!L$10),('Sigmoid Curves'!L44-'Sigmoid Curves'!L$8)/('Sigmoid Curves'!L$10))))</f>
        <v>3200000</v>
      </c>
      <c r="T50" s="11"/>
      <c r="U50" s="11"/>
      <c r="V50" s="11"/>
      <c r="W50" s="11"/>
      <c r="X50" s="11"/>
      <c r="Y50" s="11"/>
      <c r="Z50" s="11"/>
      <c r="AA50" s="11"/>
      <c r="AB50" s="11"/>
      <c r="AC50" s="11"/>
      <c r="AD50" s="11"/>
      <c r="AE50" s="11"/>
      <c r="AF50" s="11"/>
      <c r="AG50" s="11"/>
    </row>
    <row r="51" customHeight="1" spans="1:33">
      <c r="A51" s="2">
        <v>32</v>
      </c>
      <c r="B51" s="3">
        <f ca="1">MIN(1,((1-G$19)/(MATCH(100%,G$19:G1035,0)-1)*A51)+G$19)</f>
        <v>0.675</v>
      </c>
      <c r="C51" s="3">
        <f ca="1" t="shared" si="4"/>
        <v>0.0203125</v>
      </c>
      <c r="D51" s="3">
        <f ca="1" t="shared" si="5"/>
        <v>0.00656611139132302</v>
      </c>
      <c r="E51" s="3">
        <f ca="1" t="shared" si="6"/>
        <v>0.372315035799521</v>
      </c>
      <c r="F51" s="3">
        <f ca="1" t="shared" si="7"/>
        <v>0.0841416054583153</v>
      </c>
      <c r="G51" s="3">
        <f ca="1">H51/TotalSupply</f>
        <v>0.94300339787634</v>
      </c>
      <c r="H51" s="11">
        <f ca="1" t="shared" si="3"/>
        <v>754402718.301072</v>
      </c>
      <c r="I51" s="12">
        <f ca="1">TotalSupply*I$6*MAX(0,MIN(1,IF(I$11="Linear",('Linear Curves'!B45-'Linear Curves'!B$8)/('Linear Curves'!B$10),('Sigmoid Curves'!B45-'Sigmoid Curves'!B$8)/('Sigmoid Curves'!B$10))))</f>
        <v>79890788.041409</v>
      </c>
      <c r="J51" s="12">
        <f ca="1">TotalSupply*J$6*MAX(0,MIN(1,IF(J$11="Linear",('Linear Curves'!C45-'Linear Curves'!C$8)/('Linear Curves'!C$10),('Sigmoid Curves'!C45-'Sigmoid Curves'!C$8)/('Sigmoid Curves'!C$10))))</f>
        <v>70672620.1904772</v>
      </c>
      <c r="K51" s="12">
        <f ca="1">TotalSupply*K$6*MAX(0,MIN(1,IF(K$11="Linear",('Linear Curves'!D45-'Linear Curves'!D$8)/('Linear Curves'!D$10),('Sigmoid Curves'!D45-'Sigmoid Curves'!D$8)/('Sigmoid Curves'!D$10))))</f>
        <v>32000000</v>
      </c>
      <c r="L51" s="12">
        <f ca="1">TotalSupply*L$6*MAX(0,MIN(1,IF(L$11="Linear",('Linear Curves'!F45-'Linear Curves'!F$8)/('Linear Curves'!F$10),('Sigmoid Curves'!F45-'Sigmoid Curves'!F$8)/('Sigmoid Curves'!F$10))))</f>
        <v>11839310.0691856</v>
      </c>
      <c r="M51" s="12">
        <f ca="1">TotalSupply*M$6*MAX(0,MIN(1,IF(M$11="Linear",('Linear Curves'!G45-'Linear Curves'!G$8)/('Linear Curves'!G$10),('Sigmoid Curves'!G45-'Sigmoid Curves'!G$8)/('Sigmoid Curves'!G$10))))</f>
        <v>4000000</v>
      </c>
      <c r="N51" s="12">
        <f ca="1">TotalSupply*N$6*MAX(0,MIN(1,IF(N$11="Linear",('Linear Curves'!H45-'Linear Curves'!H$8)/('Linear Curves'!H$10),('Sigmoid Curves'!H45-'Sigmoid Curves'!H$8)/('Sigmoid Curves'!H$10))))</f>
        <v>56000000</v>
      </c>
      <c r="O51" s="12">
        <f ca="1">TotalSupply*O$6*MAX(0,MIN(1,IF(O$11="Linear",('Linear Curves'!I45-'Linear Curves'!I$8)/('Linear Curves'!I$10),('Sigmoid Curves'!I45-'Sigmoid Curves'!I$8)/('Sigmoid Curves'!I$10))))</f>
        <v>48000000</v>
      </c>
      <c r="P51" s="12">
        <f ca="1">TotalSupply*P$6*MAX(0,MIN(1,IF(P$11="Linear",('Linear Curves'!I45-'Linear Curves'!I$8)/('Linear Curves'!I$10),('Sigmoid Curves'!I45-'Sigmoid Curves'!I$8)/('Sigmoid Curves'!I$10))))</f>
        <v>400000000</v>
      </c>
      <c r="Q51" s="12">
        <f ca="1">TotalSupply*Q$6*MAX(0,MIN(1,IF(Q$11="Linear",('Linear Curves'!J45-'Linear Curves'!J$8)/('Linear Curves'!J$10),('Sigmoid Curves'!J45-'Sigmoid Curves'!J$8)/('Sigmoid Curves'!J$10))))</f>
        <v>20000000</v>
      </c>
      <c r="R51" s="12">
        <f ca="1">TotalSupply*R$6*MAX(0,MIN(1,IF(R$11="Linear",('Linear Curves'!K45-'Linear Curves'!K$8)/('Linear Curves'!K$10),('Sigmoid Curves'!K45-'Sigmoid Curves'!K$8)/('Sigmoid Curves'!K$10))))</f>
        <v>28800000</v>
      </c>
      <c r="S51" s="12">
        <f ca="1">TotalSupply*S$6*MAX(0,MIN(1,IF(S$11="Linear",('Linear Curves'!L45-'Linear Curves'!L$8)/('Linear Curves'!L$10),('Sigmoid Curves'!L45-'Sigmoid Curves'!L$8)/('Sigmoid Curves'!L$10))))</f>
        <v>3200000</v>
      </c>
      <c r="T51" s="11"/>
      <c r="U51" s="11"/>
      <c r="V51" s="11"/>
      <c r="W51" s="11"/>
      <c r="X51" s="11"/>
      <c r="Y51" s="11"/>
      <c r="Z51" s="11"/>
      <c r="AA51" s="11"/>
      <c r="AB51" s="11"/>
      <c r="AC51" s="11"/>
      <c r="AD51" s="11"/>
      <c r="AE51" s="11"/>
      <c r="AF51" s="11"/>
      <c r="AG51" s="11"/>
    </row>
    <row r="52" customHeight="1" spans="1:33">
      <c r="A52" s="2">
        <v>33</v>
      </c>
      <c r="B52" s="3">
        <f ca="1">MIN(1,((1-G$19)/(MATCH(100%,G$19:G1036,0)-1)*A52)+G$19)</f>
        <v>0.6953125</v>
      </c>
      <c r="C52" s="3">
        <f ca="1" t="shared" si="4"/>
        <v>0.0203125</v>
      </c>
      <c r="D52" s="3">
        <f ca="1" t="shared" si="5"/>
        <v>0.00618736910316486</v>
      </c>
      <c r="E52" s="3">
        <f ca="1" t="shared" si="6"/>
        <v>0.361111111111111</v>
      </c>
      <c r="F52" s="3">
        <f ca="1" t="shared" si="7"/>
        <v>0.0787361205751615</v>
      </c>
      <c r="G52" s="3">
        <f ca="1">H52/TotalSupply</f>
        <v>0.949190766979505</v>
      </c>
      <c r="H52" s="11">
        <f ca="1" t="shared" si="3"/>
        <v>759352613.583604</v>
      </c>
      <c r="I52" s="12">
        <f ca="1">TotalSupply*I$6*MAX(0,MIN(1,IF(I$11="Linear",('Linear Curves'!B46-'Linear Curves'!B$8)/('Linear Curves'!B$10),('Sigmoid Curves'!B46-'Sigmoid Curves'!B$8)/('Sigmoid Curves'!B$10))))</f>
        <v>82489449.2097987</v>
      </c>
      <c r="J52" s="12">
        <f ca="1">TotalSupply*J$6*MAX(0,MIN(1,IF(J$11="Linear",('Linear Curves'!C46-'Linear Curves'!C$8)/('Linear Curves'!C$10),('Sigmoid Curves'!C46-'Sigmoid Curves'!C$8)/('Sigmoid Curves'!C$10))))</f>
        <v>72971435.8394373</v>
      </c>
      <c r="K52" s="12">
        <f ca="1">TotalSupply*K$6*MAX(0,MIN(1,IF(K$11="Linear",('Linear Curves'!D46-'Linear Curves'!D$8)/('Linear Curves'!D$10),('Sigmoid Curves'!D46-'Sigmoid Curves'!D$8)/('Sigmoid Curves'!D$10))))</f>
        <v>32000000</v>
      </c>
      <c r="L52" s="12">
        <f ca="1">TotalSupply*L$6*MAX(0,MIN(1,IF(L$11="Linear",('Linear Curves'!F46-'Linear Curves'!F$8)/('Linear Curves'!F$10),('Sigmoid Curves'!F46-'Sigmoid Curves'!F$8)/('Sigmoid Curves'!F$10))))</f>
        <v>11891728.5343676</v>
      </c>
      <c r="M52" s="12">
        <f ca="1">TotalSupply*M$6*MAX(0,MIN(1,IF(M$11="Linear",('Linear Curves'!G46-'Linear Curves'!G$8)/('Linear Curves'!G$10),('Sigmoid Curves'!G46-'Sigmoid Curves'!G$8)/('Sigmoid Curves'!G$10))))</f>
        <v>4000000</v>
      </c>
      <c r="N52" s="12">
        <f ca="1">TotalSupply*N$6*MAX(0,MIN(1,IF(N$11="Linear",('Linear Curves'!H46-'Linear Curves'!H$8)/('Linear Curves'!H$10),('Sigmoid Curves'!H46-'Sigmoid Curves'!H$8)/('Sigmoid Curves'!H$10))))</f>
        <v>56000000</v>
      </c>
      <c r="O52" s="12">
        <f ca="1">TotalSupply*O$6*MAX(0,MIN(1,IF(O$11="Linear",('Linear Curves'!I46-'Linear Curves'!I$8)/('Linear Curves'!I$10),('Sigmoid Curves'!I46-'Sigmoid Curves'!I$8)/('Sigmoid Curves'!I$10))))</f>
        <v>48000000</v>
      </c>
      <c r="P52" s="12">
        <f ca="1">TotalSupply*P$6*MAX(0,MIN(1,IF(P$11="Linear",('Linear Curves'!I46-'Linear Curves'!I$8)/('Linear Curves'!I$10),('Sigmoid Curves'!I46-'Sigmoid Curves'!I$8)/('Sigmoid Curves'!I$10))))</f>
        <v>400000000</v>
      </c>
      <c r="Q52" s="12">
        <f ca="1">TotalSupply*Q$6*MAX(0,MIN(1,IF(Q$11="Linear",('Linear Curves'!J46-'Linear Curves'!J$8)/('Linear Curves'!J$10),('Sigmoid Curves'!J46-'Sigmoid Curves'!J$8)/('Sigmoid Curves'!J$10))))</f>
        <v>20000000</v>
      </c>
      <c r="R52" s="12">
        <f ca="1">TotalSupply*R$6*MAX(0,MIN(1,IF(R$11="Linear",('Linear Curves'!K46-'Linear Curves'!K$8)/('Linear Curves'!K$10),('Sigmoid Curves'!K46-'Sigmoid Curves'!K$8)/('Sigmoid Curves'!K$10))))</f>
        <v>28800000</v>
      </c>
      <c r="S52" s="12">
        <f ca="1">TotalSupply*S$6*MAX(0,MIN(1,IF(S$11="Linear",('Linear Curves'!L46-'Linear Curves'!L$8)/('Linear Curves'!L$10),('Sigmoid Curves'!L46-'Sigmoid Curves'!L$8)/('Sigmoid Curves'!L$10))))</f>
        <v>3200000</v>
      </c>
      <c r="T52" s="11"/>
      <c r="U52" s="11"/>
      <c r="V52" s="11"/>
      <c r="W52" s="11"/>
      <c r="X52" s="11"/>
      <c r="Y52" s="11"/>
      <c r="Z52" s="11"/>
      <c r="AA52" s="11"/>
      <c r="AB52" s="11"/>
      <c r="AC52" s="11"/>
      <c r="AD52" s="11"/>
      <c r="AE52" s="11"/>
      <c r="AF52" s="11"/>
      <c r="AG52" s="11"/>
    </row>
    <row r="53" customHeight="1" spans="1:33">
      <c r="A53" s="2">
        <v>34</v>
      </c>
      <c r="B53" s="3">
        <f ca="1">MIN(1,((1-G$19)/(MATCH(100%,G$19:G1037,0)-1)*A53)+G$19)</f>
        <v>0.715625</v>
      </c>
      <c r="C53" s="3">
        <f ca="1" t="shared" si="4"/>
        <v>0.0203125000000001</v>
      </c>
      <c r="D53" s="3">
        <f ca="1" t="shared" si="5"/>
        <v>0.00579717948099179</v>
      </c>
      <c r="E53" s="3">
        <f ca="1" t="shared" si="6"/>
        <v>0.35056179775281</v>
      </c>
      <c r="F53" s="3">
        <f ca="1" t="shared" si="7"/>
        <v>0.0732899604504942</v>
      </c>
      <c r="G53" s="3">
        <f ca="1">H53/TotalSupply</f>
        <v>0.954987946460496</v>
      </c>
      <c r="H53" s="11">
        <f ca="1" t="shared" si="3"/>
        <v>763990357.168397</v>
      </c>
      <c r="I53" s="12">
        <f ca="1">TotalSupply*I$6*MAX(0,MIN(1,IF(I$11="Linear",('Linear Curves'!B47-'Linear Curves'!B$8)/('Linear Curves'!B$10),('Sigmoid Curves'!B47-'Sigmoid Curves'!B$8)/('Sigmoid Curves'!B$10))))</f>
        <v>84927336.628672</v>
      </c>
      <c r="J53" s="12">
        <f ca="1">TotalSupply*J$6*MAX(0,MIN(1,IF(J$11="Linear",('Linear Curves'!C47-'Linear Curves'!C$8)/('Linear Curves'!C$10),('Sigmoid Curves'!C47-'Sigmoid Curves'!C$8)/('Sigmoid Curves'!C$10))))</f>
        <v>75128028.556133</v>
      </c>
      <c r="K53" s="12">
        <f ca="1">TotalSupply*K$6*MAX(0,MIN(1,IF(K$11="Linear",('Linear Curves'!D47-'Linear Curves'!D$8)/('Linear Curves'!D$10),('Sigmoid Curves'!D47-'Sigmoid Curves'!D$8)/('Sigmoid Curves'!D$10))))</f>
        <v>32000000</v>
      </c>
      <c r="L53" s="12">
        <f ca="1">TotalSupply*L$6*MAX(0,MIN(1,IF(L$11="Linear",('Linear Curves'!F47-'Linear Curves'!F$8)/('Linear Curves'!F$10),('Sigmoid Curves'!F47-'Sigmoid Curves'!F$8)/('Sigmoid Curves'!F$10))))</f>
        <v>11934991.983592</v>
      </c>
      <c r="M53" s="12">
        <f ca="1">TotalSupply*M$6*MAX(0,MIN(1,IF(M$11="Linear",('Linear Curves'!G47-'Linear Curves'!G$8)/('Linear Curves'!G$10),('Sigmoid Curves'!G47-'Sigmoid Curves'!G$8)/('Sigmoid Curves'!G$10))))</f>
        <v>4000000</v>
      </c>
      <c r="N53" s="12">
        <f ca="1">TotalSupply*N$6*MAX(0,MIN(1,IF(N$11="Linear",('Linear Curves'!H47-'Linear Curves'!H$8)/('Linear Curves'!H$10),('Sigmoid Curves'!H47-'Sigmoid Curves'!H$8)/('Sigmoid Curves'!H$10))))</f>
        <v>56000000</v>
      </c>
      <c r="O53" s="12">
        <f ca="1">TotalSupply*O$6*MAX(0,MIN(1,IF(O$11="Linear",('Linear Curves'!I47-'Linear Curves'!I$8)/('Linear Curves'!I$10),('Sigmoid Curves'!I47-'Sigmoid Curves'!I$8)/('Sigmoid Curves'!I$10))))</f>
        <v>48000000</v>
      </c>
      <c r="P53" s="12">
        <f ca="1">TotalSupply*P$6*MAX(0,MIN(1,IF(P$11="Linear",('Linear Curves'!I47-'Linear Curves'!I$8)/('Linear Curves'!I$10),('Sigmoid Curves'!I47-'Sigmoid Curves'!I$8)/('Sigmoid Curves'!I$10))))</f>
        <v>400000000</v>
      </c>
      <c r="Q53" s="12">
        <f ca="1">TotalSupply*Q$6*MAX(0,MIN(1,IF(Q$11="Linear",('Linear Curves'!J47-'Linear Curves'!J$8)/('Linear Curves'!J$10),('Sigmoid Curves'!J47-'Sigmoid Curves'!J$8)/('Sigmoid Curves'!J$10))))</f>
        <v>20000000</v>
      </c>
      <c r="R53" s="12">
        <f ca="1">TotalSupply*R$6*MAX(0,MIN(1,IF(R$11="Linear",('Linear Curves'!K47-'Linear Curves'!K$8)/('Linear Curves'!K$10),('Sigmoid Curves'!K47-'Sigmoid Curves'!K$8)/('Sigmoid Curves'!K$10))))</f>
        <v>28800000</v>
      </c>
      <c r="S53" s="12">
        <f ca="1">TotalSupply*S$6*MAX(0,MIN(1,IF(S$11="Linear",('Linear Curves'!L47-'Linear Curves'!L$8)/('Linear Curves'!L$10),('Sigmoid Curves'!L47-'Sigmoid Curves'!L$8)/('Sigmoid Curves'!L$10))))</f>
        <v>3200000</v>
      </c>
      <c r="T53" s="11"/>
      <c r="U53" s="11"/>
      <c r="V53" s="11"/>
      <c r="W53" s="11"/>
      <c r="X53" s="11"/>
      <c r="Y53" s="11"/>
      <c r="Z53" s="11"/>
      <c r="AA53" s="11"/>
      <c r="AB53" s="11"/>
      <c r="AC53" s="11"/>
      <c r="AD53" s="11"/>
      <c r="AE53" s="11"/>
      <c r="AF53" s="11"/>
      <c r="AG53" s="11"/>
    </row>
    <row r="54" customHeight="1" spans="1:33">
      <c r="A54" s="2">
        <v>35</v>
      </c>
      <c r="B54" s="3">
        <f ca="1">MIN(1,((1-G$19)/(MATCH(100%,G$19:G1038,0)-1)*A54)+G$19)</f>
        <v>0.7359375</v>
      </c>
      <c r="C54" s="3">
        <f ca="1" t="shared" si="4"/>
        <v>0.0203125</v>
      </c>
      <c r="D54" s="3">
        <f ca="1" t="shared" si="5"/>
        <v>0.00540236354526968</v>
      </c>
      <c r="E54" s="3">
        <f ca="1" t="shared" si="6"/>
        <v>0.340611353711791</v>
      </c>
      <c r="F54" s="3">
        <f ca="1" t="shared" si="7"/>
        <v>0.067883958937399</v>
      </c>
      <c r="G54" s="3">
        <f ca="1">H54/TotalSupply</f>
        <v>0.960390310005766</v>
      </c>
      <c r="H54" s="11">
        <f ca="1" t="shared" si="3"/>
        <v>768312248.004613</v>
      </c>
      <c r="I54" s="12">
        <f ca="1">TotalSupply*I$6*MAX(0,MIN(1,IF(I$11="Linear",('Linear Curves'!B48-'Linear Curves'!B$8)/('Linear Curves'!B$10),('Sigmoid Curves'!B48-'Sigmoid Curves'!B$8)/('Sigmoid Curves'!B$10))))</f>
        <v>87201665.2169137</v>
      </c>
      <c r="J54" s="12">
        <f ca="1">TotalSupply*J$6*MAX(0,MIN(1,IF(J$11="Linear",('Linear Curves'!C48-'Linear Curves'!C$8)/('Linear Curves'!C$10),('Sigmoid Curves'!C48-'Sigmoid Curves'!C$8)/('Sigmoid Curves'!C$10))))</f>
        <v>77139934.6149621</v>
      </c>
      <c r="K54" s="12">
        <f ca="1">TotalSupply*K$6*MAX(0,MIN(1,IF(K$11="Linear",('Linear Curves'!D48-'Linear Curves'!D$8)/('Linear Curves'!D$10),('Sigmoid Curves'!D48-'Sigmoid Curves'!D$8)/('Sigmoid Curves'!D$10))))</f>
        <v>32000000</v>
      </c>
      <c r="L54" s="12">
        <f ca="1">TotalSupply*L$6*MAX(0,MIN(1,IF(L$11="Linear",('Linear Curves'!F48-'Linear Curves'!F$8)/('Linear Curves'!F$10),('Sigmoid Curves'!F48-'Sigmoid Curves'!F$8)/('Sigmoid Curves'!F$10))))</f>
        <v>11970648.172737</v>
      </c>
      <c r="M54" s="12">
        <f ca="1">TotalSupply*M$6*MAX(0,MIN(1,IF(M$11="Linear",('Linear Curves'!G48-'Linear Curves'!G$8)/('Linear Curves'!G$10),('Sigmoid Curves'!G48-'Sigmoid Curves'!G$8)/('Sigmoid Curves'!G$10))))</f>
        <v>4000000</v>
      </c>
      <c r="N54" s="12">
        <f ca="1">TotalSupply*N$6*MAX(0,MIN(1,IF(N$11="Linear",('Linear Curves'!H48-'Linear Curves'!H$8)/('Linear Curves'!H$10),('Sigmoid Curves'!H48-'Sigmoid Curves'!H$8)/('Sigmoid Curves'!H$10))))</f>
        <v>56000000</v>
      </c>
      <c r="O54" s="12">
        <f ca="1">TotalSupply*O$6*MAX(0,MIN(1,IF(O$11="Linear",('Linear Curves'!I48-'Linear Curves'!I$8)/('Linear Curves'!I$10),('Sigmoid Curves'!I48-'Sigmoid Curves'!I$8)/('Sigmoid Curves'!I$10))))</f>
        <v>48000000</v>
      </c>
      <c r="P54" s="12">
        <f ca="1">TotalSupply*P$6*MAX(0,MIN(1,IF(P$11="Linear",('Linear Curves'!I48-'Linear Curves'!I$8)/('Linear Curves'!I$10),('Sigmoid Curves'!I48-'Sigmoid Curves'!I$8)/('Sigmoid Curves'!I$10))))</f>
        <v>400000000</v>
      </c>
      <c r="Q54" s="12">
        <f ca="1">TotalSupply*Q$6*MAX(0,MIN(1,IF(Q$11="Linear",('Linear Curves'!J48-'Linear Curves'!J$8)/('Linear Curves'!J$10),('Sigmoid Curves'!J48-'Sigmoid Curves'!J$8)/('Sigmoid Curves'!J$10))))</f>
        <v>20000000</v>
      </c>
      <c r="R54" s="12">
        <f ca="1">TotalSupply*R$6*MAX(0,MIN(1,IF(R$11="Linear",('Linear Curves'!K48-'Linear Curves'!K$8)/('Linear Curves'!K$10),('Sigmoid Curves'!K48-'Sigmoid Curves'!K$8)/('Sigmoid Curves'!K$10))))</f>
        <v>28800000</v>
      </c>
      <c r="S54" s="12">
        <f ca="1">TotalSupply*S$6*MAX(0,MIN(1,IF(S$11="Linear",('Linear Curves'!L48-'Linear Curves'!L$8)/('Linear Curves'!L$10),('Sigmoid Curves'!L48-'Sigmoid Curves'!L$8)/('Sigmoid Curves'!L$10))))</f>
        <v>3200000</v>
      </c>
      <c r="T54" s="11"/>
      <c r="U54" s="11"/>
      <c r="V54" s="11"/>
      <c r="W54" s="11"/>
      <c r="X54" s="11"/>
      <c r="Y54" s="11"/>
      <c r="Z54" s="11"/>
      <c r="AA54" s="11"/>
      <c r="AB54" s="11"/>
      <c r="AC54" s="11"/>
      <c r="AD54" s="11"/>
      <c r="AE54" s="11"/>
      <c r="AF54" s="11"/>
      <c r="AG54" s="11"/>
    </row>
    <row r="55" customHeight="1" spans="1:33">
      <c r="A55" s="2">
        <v>36</v>
      </c>
      <c r="B55" s="3">
        <f ca="1">MIN(1,((1-G$19)/(MATCH(100%,G$19:G1039,0)-1)*A55)+G$19)</f>
        <v>0.75625</v>
      </c>
      <c r="C55" s="3">
        <f ca="1" t="shared" si="4"/>
        <v>0.0203125000000001</v>
      </c>
      <c r="D55" s="3">
        <f ca="1" t="shared" si="5"/>
        <v>0.00500905852644518</v>
      </c>
      <c r="E55" s="3">
        <f ca="1" t="shared" si="6"/>
        <v>0.331210191082802</v>
      </c>
      <c r="F55" s="3">
        <f ca="1" t="shared" si="7"/>
        <v>0.0625877850818615</v>
      </c>
      <c r="G55" s="3">
        <f ca="1">H55/TotalSupply</f>
        <v>0.965399368532211</v>
      </c>
      <c r="H55" s="11">
        <f ca="1" t="shared" si="3"/>
        <v>772319494.825769</v>
      </c>
      <c r="I55" s="12">
        <f ca="1">TotalSupply*I$6*MAX(0,MIN(1,IF(I$11="Linear",('Linear Curves'!B49-'Linear Curves'!B$8)/('Linear Curves'!B$10),('Sigmoid Curves'!B49-'Sigmoid Curves'!B$8)/('Sigmoid Curves'!B$10))))</f>
        <v>89312385.0095917</v>
      </c>
      <c r="J55" s="12">
        <f ca="1">TotalSupply*J$6*MAX(0,MIN(1,IF(J$11="Linear",('Linear Curves'!C49-'Linear Curves'!C$8)/('Linear Curves'!C$10),('Sigmoid Curves'!C49-'Sigmoid Curves'!C$8)/('Sigmoid Curves'!C$10))))</f>
        <v>79007109.8161772</v>
      </c>
      <c r="K55" s="12">
        <f ca="1">TotalSupply*K$6*MAX(0,MIN(1,IF(K$11="Linear",('Linear Curves'!D49-'Linear Curves'!D$8)/('Linear Curves'!D$10),('Sigmoid Curves'!D49-'Sigmoid Curves'!D$8)/('Sigmoid Curves'!D$10))))</f>
        <v>32000000</v>
      </c>
      <c r="L55" s="12">
        <f ca="1">TotalSupply*L$6*MAX(0,MIN(1,IF(L$11="Linear",('Linear Curves'!F49-'Linear Curves'!F$8)/('Linear Curves'!F$10),('Sigmoid Curves'!F49-'Sigmoid Curves'!F$8)/('Sigmoid Curves'!F$10))))</f>
        <v>12000000</v>
      </c>
      <c r="M55" s="12">
        <f ca="1">TotalSupply*M$6*MAX(0,MIN(1,IF(M$11="Linear",('Linear Curves'!G49-'Linear Curves'!G$8)/('Linear Curves'!G$10),('Sigmoid Curves'!G49-'Sigmoid Curves'!G$8)/('Sigmoid Curves'!G$10))))</f>
        <v>4000000</v>
      </c>
      <c r="N55" s="12">
        <f ca="1">TotalSupply*N$6*MAX(0,MIN(1,IF(N$11="Linear",('Linear Curves'!H49-'Linear Curves'!H$8)/('Linear Curves'!H$10),('Sigmoid Curves'!H49-'Sigmoid Curves'!H$8)/('Sigmoid Curves'!H$10))))</f>
        <v>56000000</v>
      </c>
      <c r="O55" s="12">
        <f ca="1">TotalSupply*O$6*MAX(0,MIN(1,IF(O$11="Linear",('Linear Curves'!I49-'Linear Curves'!I$8)/('Linear Curves'!I$10),('Sigmoid Curves'!I49-'Sigmoid Curves'!I$8)/('Sigmoid Curves'!I$10))))</f>
        <v>48000000</v>
      </c>
      <c r="P55" s="12">
        <f ca="1">TotalSupply*P$6*MAX(0,MIN(1,IF(P$11="Linear",('Linear Curves'!I49-'Linear Curves'!I$8)/('Linear Curves'!I$10),('Sigmoid Curves'!I49-'Sigmoid Curves'!I$8)/('Sigmoid Curves'!I$10))))</f>
        <v>400000000</v>
      </c>
      <c r="Q55" s="12">
        <f ca="1">TotalSupply*Q$6*MAX(0,MIN(1,IF(Q$11="Linear",('Linear Curves'!J49-'Linear Curves'!J$8)/('Linear Curves'!J$10),('Sigmoid Curves'!J49-'Sigmoid Curves'!J$8)/('Sigmoid Curves'!J$10))))</f>
        <v>20000000</v>
      </c>
      <c r="R55" s="12">
        <f ca="1">TotalSupply*R$6*MAX(0,MIN(1,IF(R$11="Linear",('Linear Curves'!K49-'Linear Curves'!K$8)/('Linear Curves'!K$10),('Sigmoid Curves'!K49-'Sigmoid Curves'!K$8)/('Sigmoid Curves'!K$10))))</f>
        <v>28800000</v>
      </c>
      <c r="S55" s="12">
        <f ca="1">TotalSupply*S$6*MAX(0,MIN(1,IF(S$11="Linear",('Linear Curves'!L49-'Linear Curves'!L$8)/('Linear Curves'!L$10),('Sigmoid Curves'!L49-'Sigmoid Curves'!L$8)/('Sigmoid Curves'!L$10))))</f>
        <v>3200000</v>
      </c>
      <c r="T55" s="11"/>
      <c r="U55" s="11"/>
      <c r="V55" s="11"/>
      <c r="W55" s="11"/>
      <c r="X55" s="11"/>
      <c r="Y55" s="11"/>
      <c r="Z55" s="11"/>
      <c r="AA55" s="11"/>
      <c r="AB55" s="11"/>
      <c r="AC55" s="11"/>
      <c r="AD55" s="11"/>
      <c r="AE55" s="11"/>
      <c r="AF55" s="11"/>
      <c r="AG55" s="11"/>
    </row>
    <row r="56" customHeight="1" spans="1:33">
      <c r="A56" s="2">
        <v>37</v>
      </c>
      <c r="B56" s="3">
        <f ca="1">MIN(1,((1-G$19)/(MATCH(100%,G$19:G1040,0)-1)*A56)+G$19)</f>
        <v>0.7765625</v>
      </c>
      <c r="C56" s="3">
        <f ca="1" t="shared" si="4"/>
        <v>0.0203125</v>
      </c>
      <c r="D56" s="3">
        <f ca="1" t="shared" si="5"/>
        <v>0.00459241208022565</v>
      </c>
      <c r="E56" s="3">
        <f ca="1" t="shared" si="6"/>
        <v>0.322314049586775</v>
      </c>
      <c r="F56" s="3">
        <f ca="1" t="shared" si="7"/>
        <v>0.0570840905422338</v>
      </c>
      <c r="G56" s="3">
        <f ca="1">H56/TotalSupply</f>
        <v>0.969991780612437</v>
      </c>
      <c r="H56" s="11">
        <f ca="1" t="shared" si="3"/>
        <v>775993424.489949</v>
      </c>
      <c r="I56" s="12">
        <f ca="1">TotalSupply*I$6*MAX(0,MIN(1,IF(I$11="Linear",('Linear Curves'!B50-'Linear Curves'!B$8)/('Linear Curves'!B$10),('Sigmoid Curves'!B50-'Sigmoid Curves'!B$8)/('Sigmoid Curves'!B$10))))</f>
        <v>91261817.0762997</v>
      </c>
      <c r="J56" s="12">
        <f ca="1">TotalSupply*J$6*MAX(0,MIN(1,IF(J$11="Linear",('Linear Curves'!C50-'Linear Curves'!C$8)/('Linear Curves'!C$10),('Sigmoid Curves'!C50-'Sigmoid Curves'!C$8)/('Sigmoid Curves'!C$10))))</f>
        <v>80731607.4136497</v>
      </c>
      <c r="K56" s="12">
        <f ca="1">TotalSupply*K$6*MAX(0,MIN(1,IF(K$11="Linear",('Linear Curves'!D50-'Linear Curves'!D$8)/('Linear Curves'!D$10),('Sigmoid Curves'!D50-'Sigmoid Curves'!D$8)/('Sigmoid Curves'!D$10))))</f>
        <v>32000000</v>
      </c>
      <c r="L56" s="12">
        <f ca="1">TotalSupply*L$6*MAX(0,MIN(1,IF(L$11="Linear",('Linear Curves'!F50-'Linear Curves'!F$8)/('Linear Curves'!F$10),('Sigmoid Curves'!F50-'Sigmoid Curves'!F$8)/('Sigmoid Curves'!F$10))))</f>
        <v>12000000</v>
      </c>
      <c r="M56" s="12">
        <f ca="1">TotalSupply*M$6*MAX(0,MIN(1,IF(M$11="Linear",('Linear Curves'!G50-'Linear Curves'!G$8)/('Linear Curves'!G$10),('Sigmoid Curves'!G50-'Sigmoid Curves'!G$8)/('Sigmoid Curves'!G$10))))</f>
        <v>4000000</v>
      </c>
      <c r="N56" s="12">
        <f ca="1">TotalSupply*N$6*MAX(0,MIN(1,IF(N$11="Linear",('Linear Curves'!H50-'Linear Curves'!H$8)/('Linear Curves'!H$10),('Sigmoid Curves'!H50-'Sigmoid Curves'!H$8)/('Sigmoid Curves'!H$10))))</f>
        <v>56000000</v>
      </c>
      <c r="O56" s="12">
        <f ca="1">TotalSupply*O$6*MAX(0,MIN(1,IF(O$11="Linear",('Linear Curves'!I50-'Linear Curves'!I$8)/('Linear Curves'!I$10),('Sigmoid Curves'!I50-'Sigmoid Curves'!I$8)/('Sigmoid Curves'!I$10))))</f>
        <v>48000000</v>
      </c>
      <c r="P56" s="12">
        <f ca="1">TotalSupply*P$6*MAX(0,MIN(1,IF(P$11="Linear",('Linear Curves'!I50-'Linear Curves'!I$8)/('Linear Curves'!I$10),('Sigmoid Curves'!I50-'Sigmoid Curves'!I$8)/('Sigmoid Curves'!I$10))))</f>
        <v>400000000</v>
      </c>
      <c r="Q56" s="12">
        <f ca="1">TotalSupply*Q$6*MAX(0,MIN(1,IF(Q$11="Linear",('Linear Curves'!J50-'Linear Curves'!J$8)/('Linear Curves'!J$10),('Sigmoid Curves'!J50-'Sigmoid Curves'!J$8)/('Sigmoid Curves'!J$10))))</f>
        <v>20000000</v>
      </c>
      <c r="R56" s="12">
        <f ca="1">TotalSupply*R$6*MAX(0,MIN(1,IF(R$11="Linear",('Linear Curves'!K50-'Linear Curves'!K$8)/('Linear Curves'!K$10),('Sigmoid Curves'!K50-'Sigmoid Curves'!K$8)/('Sigmoid Curves'!K$10))))</f>
        <v>28800000</v>
      </c>
      <c r="S56" s="12">
        <f ca="1">TotalSupply*S$6*MAX(0,MIN(1,IF(S$11="Linear",('Linear Curves'!L50-'Linear Curves'!L$8)/('Linear Curves'!L$10),('Sigmoid Curves'!L50-'Sigmoid Curves'!L$8)/('Sigmoid Curves'!L$10))))</f>
        <v>3200000</v>
      </c>
      <c r="T56" s="11"/>
      <c r="U56" s="11"/>
      <c r="V56" s="11"/>
      <c r="W56" s="11"/>
      <c r="X56" s="11"/>
      <c r="Y56" s="11"/>
      <c r="Z56" s="11"/>
      <c r="AA56" s="11"/>
      <c r="AB56" s="11"/>
      <c r="AC56" s="11"/>
      <c r="AD56" s="11"/>
      <c r="AE56" s="11"/>
      <c r="AF56" s="11"/>
      <c r="AG56" s="11"/>
    </row>
    <row r="57" customHeight="1" spans="1:33">
      <c r="A57" s="2">
        <v>38</v>
      </c>
      <c r="B57" s="3">
        <f ca="1">MIN(1,((1-G$19)/(MATCH(100%,G$19:G1041,0)-1)*A57)+G$19)</f>
        <v>0.796875</v>
      </c>
      <c r="C57" s="3">
        <f ca="1" t="shared" si="4"/>
        <v>0.0203125</v>
      </c>
      <c r="D57" s="3">
        <f ca="1" t="shared" si="5"/>
        <v>0.00422258716936885</v>
      </c>
      <c r="E57" s="3">
        <f ca="1" t="shared" si="6"/>
        <v>0.313883299798791</v>
      </c>
      <c r="F57" s="3">
        <f ca="1" t="shared" si="7"/>
        <v>0.05223863443506</v>
      </c>
      <c r="G57" s="3">
        <f ca="1">H57/TotalSupply</f>
        <v>0.974214367781806</v>
      </c>
      <c r="H57" s="11">
        <f ca="1" t="shared" si="3"/>
        <v>779371494.225445</v>
      </c>
      <c r="I57" s="12">
        <f ca="1">TotalSupply*I$6*MAX(0,MIN(1,IF(I$11="Linear",('Linear Curves'!B51-'Linear Curves'!B$8)/('Linear Curves'!B$10),('Sigmoid Curves'!B51-'Sigmoid Curves'!B$8)/('Sigmoid Curves'!B$10))))</f>
        <v>93054262.2420726</v>
      </c>
      <c r="J57" s="12">
        <f ca="1">TotalSupply*J$6*MAX(0,MIN(1,IF(J$11="Linear",('Linear Curves'!C51-'Linear Curves'!C$8)/('Linear Curves'!C$10),('Sigmoid Curves'!C51-'Sigmoid Curves'!C$8)/('Sigmoid Curves'!C$10))))</f>
        <v>82317231.9833719</v>
      </c>
      <c r="K57" s="12">
        <f ca="1">TotalSupply*K$6*MAX(0,MIN(1,IF(K$11="Linear",('Linear Curves'!D51-'Linear Curves'!D$8)/('Linear Curves'!D$10),('Sigmoid Curves'!D51-'Sigmoid Curves'!D$8)/('Sigmoid Curves'!D$10))))</f>
        <v>32000000</v>
      </c>
      <c r="L57" s="12">
        <f ca="1">TotalSupply*L$6*MAX(0,MIN(1,IF(L$11="Linear",('Linear Curves'!F51-'Linear Curves'!F$8)/('Linear Curves'!F$10),('Sigmoid Curves'!F51-'Sigmoid Curves'!F$8)/('Sigmoid Curves'!F$10))))</f>
        <v>12000000</v>
      </c>
      <c r="M57" s="12">
        <f ca="1">TotalSupply*M$6*MAX(0,MIN(1,IF(M$11="Linear",('Linear Curves'!G51-'Linear Curves'!G$8)/('Linear Curves'!G$10),('Sigmoid Curves'!G51-'Sigmoid Curves'!G$8)/('Sigmoid Curves'!G$10))))</f>
        <v>4000000</v>
      </c>
      <c r="N57" s="12">
        <f ca="1">TotalSupply*N$6*MAX(0,MIN(1,IF(N$11="Linear",('Linear Curves'!H51-'Linear Curves'!H$8)/('Linear Curves'!H$10),('Sigmoid Curves'!H51-'Sigmoid Curves'!H$8)/('Sigmoid Curves'!H$10))))</f>
        <v>56000000</v>
      </c>
      <c r="O57" s="12">
        <f ca="1">TotalSupply*O$6*MAX(0,MIN(1,IF(O$11="Linear",('Linear Curves'!I51-'Linear Curves'!I$8)/('Linear Curves'!I$10),('Sigmoid Curves'!I51-'Sigmoid Curves'!I$8)/('Sigmoid Curves'!I$10))))</f>
        <v>48000000</v>
      </c>
      <c r="P57" s="12">
        <f ca="1">TotalSupply*P$6*MAX(0,MIN(1,IF(P$11="Linear",('Linear Curves'!I51-'Linear Curves'!I$8)/('Linear Curves'!I$10),('Sigmoid Curves'!I51-'Sigmoid Curves'!I$8)/('Sigmoid Curves'!I$10))))</f>
        <v>400000000</v>
      </c>
      <c r="Q57" s="12">
        <f ca="1">TotalSupply*Q$6*MAX(0,MIN(1,IF(Q$11="Linear",('Linear Curves'!J51-'Linear Curves'!J$8)/('Linear Curves'!J$10),('Sigmoid Curves'!J51-'Sigmoid Curves'!J$8)/('Sigmoid Curves'!J$10))))</f>
        <v>20000000</v>
      </c>
      <c r="R57" s="12">
        <f ca="1">TotalSupply*R$6*MAX(0,MIN(1,IF(R$11="Linear",('Linear Curves'!K51-'Linear Curves'!K$8)/('Linear Curves'!K$10),('Sigmoid Curves'!K51-'Sigmoid Curves'!K$8)/('Sigmoid Curves'!K$10))))</f>
        <v>28800000</v>
      </c>
      <c r="S57" s="12">
        <f ca="1">TotalSupply*S$6*MAX(0,MIN(1,IF(S$11="Linear",('Linear Curves'!L51-'Linear Curves'!L$8)/('Linear Curves'!L$10),('Sigmoid Curves'!L51-'Sigmoid Curves'!L$8)/('Sigmoid Curves'!L$10))))</f>
        <v>3200000</v>
      </c>
      <c r="T57" s="11"/>
      <c r="U57" s="11"/>
      <c r="V57" s="11"/>
      <c r="W57" s="11"/>
      <c r="X57" s="11"/>
      <c r="Y57" s="11"/>
      <c r="Z57" s="11"/>
      <c r="AA57" s="11"/>
      <c r="AB57" s="11"/>
      <c r="AC57" s="11"/>
      <c r="AD57" s="11"/>
      <c r="AE57" s="11"/>
      <c r="AF57" s="11"/>
      <c r="AG57" s="11"/>
    </row>
    <row r="58" customHeight="1" spans="1:33">
      <c r="A58" s="2">
        <v>39</v>
      </c>
      <c r="B58" s="3">
        <f ca="1">MIN(1,((1-G$19)/(MATCH(100%,G$19:G1042,0)-1)*A58)+G$19)</f>
        <v>0.8171875</v>
      </c>
      <c r="C58" s="3">
        <f ca="1" t="shared" si="4"/>
        <v>0.0203125000000001</v>
      </c>
      <c r="D58" s="3">
        <f ca="1" t="shared" si="5"/>
        <v>0.00386662926592651</v>
      </c>
      <c r="E58" s="3">
        <f ca="1" t="shared" si="6"/>
        <v>0.305882352941178</v>
      </c>
      <c r="F58" s="3">
        <f ca="1" t="shared" si="7"/>
        <v>0.0476276605289288</v>
      </c>
      <c r="G58" s="3">
        <f ca="1">H58/TotalSupply</f>
        <v>0.978080997047732</v>
      </c>
      <c r="H58" s="11">
        <f ca="1" t="shared" si="3"/>
        <v>782464797.638186</v>
      </c>
      <c r="I58" s="12">
        <f ca="1">TotalSupply*I$6*MAX(0,MIN(1,IF(I$11="Linear",('Linear Curves'!B52-'Linear Curves'!B$8)/('Linear Curves'!B$10),('Sigmoid Curves'!B52-'Sigmoid Curves'!B$8)/('Sigmoid Curves'!B$10))))</f>
        <v>94695606.9100577</v>
      </c>
      <c r="J58" s="12">
        <f ca="1">TotalSupply*J$6*MAX(0,MIN(1,IF(J$11="Linear",('Linear Curves'!C52-'Linear Curves'!C$8)/('Linear Curves'!C$10),('Sigmoid Curves'!C52-'Sigmoid Curves'!C$8)/('Sigmoid Curves'!C$10))))</f>
        <v>83769190.728128</v>
      </c>
      <c r="K58" s="12">
        <f ca="1">TotalSupply*K$6*MAX(0,MIN(1,IF(K$11="Linear",('Linear Curves'!D52-'Linear Curves'!D$8)/('Linear Curves'!D$10),('Sigmoid Curves'!D52-'Sigmoid Curves'!D$8)/('Sigmoid Curves'!D$10))))</f>
        <v>32000000</v>
      </c>
      <c r="L58" s="12">
        <f ca="1">TotalSupply*L$6*MAX(0,MIN(1,IF(L$11="Linear",('Linear Curves'!F52-'Linear Curves'!F$8)/('Linear Curves'!F$10),('Sigmoid Curves'!F52-'Sigmoid Curves'!F$8)/('Sigmoid Curves'!F$10))))</f>
        <v>12000000</v>
      </c>
      <c r="M58" s="12">
        <f ca="1">TotalSupply*M$6*MAX(0,MIN(1,IF(M$11="Linear",('Linear Curves'!G52-'Linear Curves'!G$8)/('Linear Curves'!G$10),('Sigmoid Curves'!G52-'Sigmoid Curves'!G$8)/('Sigmoid Curves'!G$10))))</f>
        <v>4000000</v>
      </c>
      <c r="N58" s="12">
        <f ca="1">TotalSupply*N$6*MAX(0,MIN(1,IF(N$11="Linear",('Linear Curves'!H52-'Linear Curves'!H$8)/('Linear Curves'!H$10),('Sigmoid Curves'!H52-'Sigmoid Curves'!H$8)/('Sigmoid Curves'!H$10))))</f>
        <v>56000000</v>
      </c>
      <c r="O58" s="12">
        <f ca="1">TotalSupply*O$6*MAX(0,MIN(1,IF(O$11="Linear",('Linear Curves'!I52-'Linear Curves'!I$8)/('Linear Curves'!I$10),('Sigmoid Curves'!I52-'Sigmoid Curves'!I$8)/('Sigmoid Curves'!I$10))))</f>
        <v>48000000</v>
      </c>
      <c r="P58" s="12">
        <f ca="1">TotalSupply*P$6*MAX(0,MIN(1,IF(P$11="Linear",('Linear Curves'!I52-'Linear Curves'!I$8)/('Linear Curves'!I$10),('Sigmoid Curves'!I52-'Sigmoid Curves'!I$8)/('Sigmoid Curves'!I$10))))</f>
        <v>400000000</v>
      </c>
      <c r="Q58" s="12">
        <f ca="1">TotalSupply*Q$6*MAX(0,MIN(1,IF(Q$11="Linear",('Linear Curves'!J52-'Linear Curves'!J$8)/('Linear Curves'!J$10),('Sigmoid Curves'!J52-'Sigmoid Curves'!J$8)/('Sigmoid Curves'!J$10))))</f>
        <v>20000000</v>
      </c>
      <c r="R58" s="12">
        <f ca="1">TotalSupply*R$6*MAX(0,MIN(1,IF(R$11="Linear",('Linear Curves'!K52-'Linear Curves'!K$8)/('Linear Curves'!K$10),('Sigmoid Curves'!K52-'Sigmoid Curves'!K$8)/('Sigmoid Curves'!K$10))))</f>
        <v>28800000</v>
      </c>
      <c r="S58" s="12">
        <f ca="1">TotalSupply*S$6*MAX(0,MIN(1,IF(S$11="Linear",('Linear Curves'!L52-'Linear Curves'!L$8)/('Linear Curves'!L$10),('Sigmoid Curves'!L52-'Sigmoid Curves'!L$8)/('Sigmoid Curves'!L$10))))</f>
        <v>3200000</v>
      </c>
      <c r="T58" s="11"/>
      <c r="U58" s="11"/>
      <c r="V58" s="11"/>
      <c r="W58" s="11"/>
      <c r="X58" s="11"/>
      <c r="Y58" s="11"/>
      <c r="Z58" s="11"/>
      <c r="AA58" s="11"/>
      <c r="AB58" s="11"/>
      <c r="AC58" s="11"/>
      <c r="AD58" s="11"/>
      <c r="AE58" s="11"/>
      <c r="AF58" s="11"/>
      <c r="AG58" s="11"/>
    </row>
    <row r="59" customHeight="1" spans="1:33">
      <c r="A59" s="2">
        <v>40</v>
      </c>
      <c r="B59" s="3">
        <f ca="1">MIN(1,((1-G$19)/(MATCH(100%,G$19:G1043,0)-1)*A59)+G$19)</f>
        <v>0.8375</v>
      </c>
      <c r="C59" s="3">
        <f ca="1" t="shared" si="4"/>
        <v>0.0203125</v>
      </c>
      <c r="D59" s="3">
        <f ca="1" t="shared" si="5"/>
        <v>0.00352738346858261</v>
      </c>
      <c r="E59" s="3">
        <f ca="1" t="shared" si="6"/>
        <v>0.298279158699809</v>
      </c>
      <c r="F59" s="3">
        <f ca="1" t="shared" si="7"/>
        <v>0.0432771945787298</v>
      </c>
      <c r="G59" s="3">
        <f ca="1">H59/TotalSupply</f>
        <v>0.981608380516315</v>
      </c>
      <c r="H59" s="11">
        <f ca="1" t="shared" si="3"/>
        <v>785286704.413052</v>
      </c>
      <c r="I59" s="12">
        <f ca="1">TotalSupply*I$6*MAX(0,MIN(1,IF(I$11="Linear",('Linear Curves'!B53-'Linear Curves'!B$8)/('Linear Curves'!B$10),('Sigmoid Curves'!B53-'Sigmoid Curves'!B$8)/('Sigmoid Curves'!B$10))))</f>
        <v>96192945.1987622</v>
      </c>
      <c r="J59" s="12">
        <f ca="1">TotalSupply*J$6*MAX(0,MIN(1,IF(J$11="Linear",('Linear Curves'!C53-'Linear Curves'!C$8)/('Linear Curves'!C$10),('Sigmoid Curves'!C53-'Sigmoid Curves'!C$8)/('Sigmoid Curves'!C$10))))</f>
        <v>85093759.2142896</v>
      </c>
      <c r="K59" s="12">
        <f ca="1">TotalSupply*K$6*MAX(0,MIN(1,IF(K$11="Linear",('Linear Curves'!D53-'Linear Curves'!D$8)/('Linear Curves'!D$10),('Sigmoid Curves'!D53-'Sigmoid Curves'!D$8)/('Sigmoid Curves'!D$10))))</f>
        <v>32000000</v>
      </c>
      <c r="L59" s="12">
        <f ca="1">TotalSupply*L$6*MAX(0,MIN(1,IF(L$11="Linear",('Linear Curves'!F53-'Linear Curves'!F$8)/('Linear Curves'!F$10),('Sigmoid Curves'!F53-'Sigmoid Curves'!F$8)/('Sigmoid Curves'!F$10))))</f>
        <v>12000000</v>
      </c>
      <c r="M59" s="12">
        <f ca="1">TotalSupply*M$6*MAX(0,MIN(1,IF(M$11="Linear",('Linear Curves'!G53-'Linear Curves'!G$8)/('Linear Curves'!G$10),('Sigmoid Curves'!G53-'Sigmoid Curves'!G$8)/('Sigmoid Curves'!G$10))))</f>
        <v>4000000</v>
      </c>
      <c r="N59" s="12">
        <f ca="1">TotalSupply*N$6*MAX(0,MIN(1,IF(N$11="Linear",('Linear Curves'!H53-'Linear Curves'!H$8)/('Linear Curves'!H$10),('Sigmoid Curves'!H53-'Sigmoid Curves'!H$8)/('Sigmoid Curves'!H$10))))</f>
        <v>56000000</v>
      </c>
      <c r="O59" s="12">
        <f ca="1">TotalSupply*O$6*MAX(0,MIN(1,IF(O$11="Linear",('Linear Curves'!I53-'Linear Curves'!I$8)/('Linear Curves'!I$10),('Sigmoid Curves'!I53-'Sigmoid Curves'!I$8)/('Sigmoid Curves'!I$10))))</f>
        <v>48000000</v>
      </c>
      <c r="P59" s="12">
        <f ca="1">TotalSupply*P$6*MAX(0,MIN(1,IF(P$11="Linear",('Linear Curves'!I53-'Linear Curves'!I$8)/('Linear Curves'!I$10),('Sigmoid Curves'!I53-'Sigmoid Curves'!I$8)/('Sigmoid Curves'!I$10))))</f>
        <v>400000000</v>
      </c>
      <c r="Q59" s="12">
        <f ca="1">TotalSupply*Q$6*MAX(0,MIN(1,IF(Q$11="Linear",('Linear Curves'!J53-'Linear Curves'!J$8)/('Linear Curves'!J$10),('Sigmoid Curves'!J53-'Sigmoid Curves'!J$8)/('Sigmoid Curves'!J$10))))</f>
        <v>20000000</v>
      </c>
      <c r="R59" s="12">
        <f ca="1">TotalSupply*R$6*MAX(0,MIN(1,IF(R$11="Linear",('Linear Curves'!K53-'Linear Curves'!K$8)/('Linear Curves'!K$10),('Sigmoid Curves'!K53-'Sigmoid Curves'!K$8)/('Sigmoid Curves'!K$10))))</f>
        <v>28800000</v>
      </c>
      <c r="S59" s="12">
        <f ca="1">TotalSupply*S$6*MAX(0,MIN(1,IF(S$11="Linear",('Linear Curves'!L53-'Linear Curves'!L$8)/('Linear Curves'!L$10),('Sigmoid Curves'!L53-'Sigmoid Curves'!L$8)/('Sigmoid Curves'!L$10))))</f>
        <v>3200000</v>
      </c>
      <c r="T59" s="11"/>
      <c r="U59" s="11"/>
      <c r="V59" s="11"/>
      <c r="W59" s="11"/>
      <c r="X59" s="11"/>
      <c r="Y59" s="11"/>
      <c r="Z59" s="11"/>
      <c r="AA59" s="11"/>
      <c r="AB59" s="11"/>
      <c r="AC59" s="11"/>
      <c r="AD59" s="11"/>
      <c r="AE59" s="11"/>
      <c r="AF59" s="11"/>
      <c r="AG59" s="11"/>
    </row>
    <row r="60" customHeight="1" spans="1:33">
      <c r="A60" s="2">
        <v>41</v>
      </c>
      <c r="B60" s="3">
        <f ca="1">MIN(1,((1-G$19)/(MATCH(100%,G$19:G1044,0)-1)*A60)+G$19)</f>
        <v>0.8578125</v>
      </c>
      <c r="C60" s="3">
        <f ca="1" t="shared" si="4"/>
        <v>0.0203125000000001</v>
      </c>
      <c r="D60" s="3">
        <f ca="1" t="shared" si="5"/>
        <v>0.00320687582819434</v>
      </c>
      <c r="E60" s="3">
        <f ca="1" t="shared" si="6"/>
        <v>0.291044776119403</v>
      </c>
      <c r="F60" s="3">
        <f ca="1" t="shared" si="7"/>
        <v>0.0392035262760189</v>
      </c>
      <c r="G60" s="3">
        <f ca="1">H60/TotalSupply</f>
        <v>0.984815256344509</v>
      </c>
      <c r="H60" s="11">
        <f ca="1" t="shared" si="3"/>
        <v>787852205.075607</v>
      </c>
      <c r="I60" s="12">
        <f ca="1">TotalSupply*I$6*MAX(0,MIN(1,IF(I$11="Linear",('Linear Curves'!B54-'Linear Curves'!B$8)/('Linear Curves'!B$10),('Sigmoid Curves'!B54-'Sigmoid Curves'!B$8)/('Sigmoid Curves'!B$10))))</f>
        <v>97554231.2646079</v>
      </c>
      <c r="J60" s="12">
        <f ca="1">TotalSupply*J$6*MAX(0,MIN(1,IF(J$11="Linear",('Linear Curves'!C54-'Linear Curves'!C$8)/('Linear Curves'!C$10),('Sigmoid Curves'!C54-'Sigmoid Curves'!C$8)/('Sigmoid Curves'!C$10))))</f>
        <v>86297973.8109993</v>
      </c>
      <c r="K60" s="12">
        <f ca="1">TotalSupply*K$6*MAX(0,MIN(1,IF(K$11="Linear",('Linear Curves'!D54-'Linear Curves'!D$8)/('Linear Curves'!D$10),('Sigmoid Curves'!D54-'Sigmoid Curves'!D$8)/('Sigmoid Curves'!D$10))))</f>
        <v>32000000</v>
      </c>
      <c r="L60" s="12">
        <f ca="1">TotalSupply*L$6*MAX(0,MIN(1,IF(L$11="Linear",('Linear Curves'!F54-'Linear Curves'!F$8)/('Linear Curves'!F$10),('Sigmoid Curves'!F54-'Sigmoid Curves'!F$8)/('Sigmoid Curves'!F$10))))</f>
        <v>12000000</v>
      </c>
      <c r="M60" s="12">
        <f ca="1">TotalSupply*M$6*MAX(0,MIN(1,IF(M$11="Linear",('Linear Curves'!G54-'Linear Curves'!G$8)/('Linear Curves'!G$10),('Sigmoid Curves'!G54-'Sigmoid Curves'!G$8)/('Sigmoid Curves'!G$10))))</f>
        <v>4000000</v>
      </c>
      <c r="N60" s="12">
        <f ca="1">TotalSupply*N$6*MAX(0,MIN(1,IF(N$11="Linear",('Linear Curves'!H54-'Linear Curves'!H$8)/('Linear Curves'!H$10),('Sigmoid Curves'!H54-'Sigmoid Curves'!H$8)/('Sigmoid Curves'!H$10))))</f>
        <v>56000000</v>
      </c>
      <c r="O60" s="12">
        <f ca="1">TotalSupply*O$6*MAX(0,MIN(1,IF(O$11="Linear",('Linear Curves'!I54-'Linear Curves'!I$8)/('Linear Curves'!I$10),('Sigmoid Curves'!I54-'Sigmoid Curves'!I$8)/('Sigmoid Curves'!I$10))))</f>
        <v>48000000</v>
      </c>
      <c r="P60" s="12">
        <f ca="1">TotalSupply*P$6*MAX(0,MIN(1,IF(P$11="Linear",('Linear Curves'!I54-'Linear Curves'!I$8)/('Linear Curves'!I$10),('Sigmoid Curves'!I54-'Sigmoid Curves'!I$8)/('Sigmoid Curves'!I$10))))</f>
        <v>400000000</v>
      </c>
      <c r="Q60" s="12">
        <f ca="1">TotalSupply*Q$6*MAX(0,MIN(1,IF(Q$11="Linear",('Linear Curves'!J54-'Linear Curves'!J$8)/('Linear Curves'!J$10),('Sigmoid Curves'!J54-'Sigmoid Curves'!J$8)/('Sigmoid Curves'!J$10))))</f>
        <v>20000000</v>
      </c>
      <c r="R60" s="12">
        <f ca="1">TotalSupply*R$6*MAX(0,MIN(1,IF(R$11="Linear",('Linear Curves'!K54-'Linear Curves'!K$8)/('Linear Curves'!K$10),('Sigmoid Curves'!K54-'Sigmoid Curves'!K$8)/('Sigmoid Curves'!K$10))))</f>
        <v>28800000</v>
      </c>
      <c r="S60" s="12">
        <f ca="1">TotalSupply*S$6*MAX(0,MIN(1,IF(S$11="Linear",('Linear Curves'!L54-'Linear Curves'!L$8)/('Linear Curves'!L$10),('Sigmoid Curves'!L54-'Sigmoid Curves'!L$8)/('Sigmoid Curves'!L$10))))</f>
        <v>3200000</v>
      </c>
      <c r="T60" s="11"/>
      <c r="U60" s="11"/>
      <c r="V60" s="11"/>
      <c r="W60" s="11"/>
      <c r="X60" s="11"/>
      <c r="Y60" s="11"/>
      <c r="Z60" s="11"/>
      <c r="AA60" s="11"/>
      <c r="AB60" s="11"/>
      <c r="AC60" s="11"/>
      <c r="AD60" s="11"/>
      <c r="AE60" s="11"/>
      <c r="AF60" s="11"/>
      <c r="AG60" s="11"/>
    </row>
    <row r="61" customHeight="1" spans="1:33">
      <c r="A61" s="2">
        <v>42</v>
      </c>
      <c r="B61" s="3">
        <f ca="1">MIN(1,((1-G$19)/(MATCH(100%,G$19:G1045,0)-1)*A61)+G$19)</f>
        <v>0.878125</v>
      </c>
      <c r="C61" s="3">
        <f ca="1" t="shared" si="4"/>
        <v>0.0203125</v>
      </c>
      <c r="D61" s="3">
        <f ca="1" t="shared" si="5"/>
        <v>0.00290640529439201</v>
      </c>
      <c r="E61" s="3">
        <f ca="1" t="shared" si="6"/>
        <v>0.28415300546448</v>
      </c>
      <c r="F61" s="3">
        <f ca="1" t="shared" si="7"/>
        <v>0.0354146255432353</v>
      </c>
      <c r="G61" s="3">
        <f ca="1">H61/TotalSupply</f>
        <v>0.987721661638901</v>
      </c>
      <c r="H61" s="11">
        <f ca="1" t="shared" si="3"/>
        <v>790177329.311121</v>
      </c>
      <c r="I61" s="12">
        <f ca="1">TotalSupply*I$6*MAX(0,MIN(1,IF(I$11="Linear",('Linear Curves'!B55-'Linear Curves'!B$8)/('Linear Curves'!B$10),('Sigmoid Curves'!B55-'Sigmoid Curves'!B$8)/('Sigmoid Curves'!B$10))))</f>
        <v>98787970.6548805</v>
      </c>
      <c r="J61" s="12">
        <f ca="1">TotalSupply*J$6*MAX(0,MIN(1,IF(J$11="Linear",('Linear Curves'!C55-'Linear Curves'!C$8)/('Linear Curves'!C$10),('Sigmoid Curves'!C55-'Sigmoid Curves'!C$8)/('Sigmoid Curves'!C$10))))</f>
        <v>87389358.6562404</v>
      </c>
      <c r="K61" s="12">
        <f ca="1">TotalSupply*K$6*MAX(0,MIN(1,IF(K$11="Linear",('Linear Curves'!D55-'Linear Curves'!D$8)/('Linear Curves'!D$10),('Sigmoid Curves'!D55-'Sigmoid Curves'!D$8)/('Sigmoid Curves'!D$10))))</f>
        <v>32000000</v>
      </c>
      <c r="L61" s="12">
        <f ca="1">TotalSupply*L$6*MAX(0,MIN(1,IF(L$11="Linear",('Linear Curves'!F55-'Linear Curves'!F$8)/('Linear Curves'!F$10),('Sigmoid Curves'!F55-'Sigmoid Curves'!F$8)/('Sigmoid Curves'!F$10))))</f>
        <v>12000000</v>
      </c>
      <c r="M61" s="12">
        <f ca="1">TotalSupply*M$6*MAX(0,MIN(1,IF(M$11="Linear",('Linear Curves'!G55-'Linear Curves'!G$8)/('Linear Curves'!G$10),('Sigmoid Curves'!G55-'Sigmoid Curves'!G$8)/('Sigmoid Curves'!G$10))))</f>
        <v>4000000</v>
      </c>
      <c r="N61" s="12">
        <f ca="1">TotalSupply*N$6*MAX(0,MIN(1,IF(N$11="Linear",('Linear Curves'!H55-'Linear Curves'!H$8)/('Linear Curves'!H$10),('Sigmoid Curves'!H55-'Sigmoid Curves'!H$8)/('Sigmoid Curves'!H$10))))</f>
        <v>56000000</v>
      </c>
      <c r="O61" s="12">
        <f ca="1">TotalSupply*O$6*MAX(0,MIN(1,IF(O$11="Linear",('Linear Curves'!I55-'Linear Curves'!I$8)/('Linear Curves'!I$10),('Sigmoid Curves'!I55-'Sigmoid Curves'!I$8)/('Sigmoid Curves'!I$10))))</f>
        <v>48000000</v>
      </c>
      <c r="P61" s="12">
        <f ca="1">TotalSupply*P$6*MAX(0,MIN(1,IF(P$11="Linear",('Linear Curves'!I55-'Linear Curves'!I$8)/('Linear Curves'!I$10),('Sigmoid Curves'!I55-'Sigmoid Curves'!I$8)/('Sigmoid Curves'!I$10))))</f>
        <v>400000000</v>
      </c>
      <c r="Q61" s="12">
        <f ca="1">TotalSupply*Q$6*MAX(0,MIN(1,IF(Q$11="Linear",('Linear Curves'!J55-'Linear Curves'!J$8)/('Linear Curves'!J$10),('Sigmoid Curves'!J55-'Sigmoid Curves'!J$8)/('Sigmoid Curves'!J$10))))</f>
        <v>20000000</v>
      </c>
      <c r="R61" s="12">
        <f ca="1">TotalSupply*R$6*MAX(0,MIN(1,IF(R$11="Linear",('Linear Curves'!K55-'Linear Curves'!K$8)/('Linear Curves'!K$10),('Sigmoid Curves'!K55-'Sigmoid Curves'!K$8)/('Sigmoid Curves'!K$10))))</f>
        <v>28800000</v>
      </c>
      <c r="S61" s="12">
        <f ca="1">TotalSupply*S$6*MAX(0,MIN(1,IF(S$11="Linear",('Linear Curves'!L55-'Linear Curves'!L$8)/('Linear Curves'!L$10),('Sigmoid Curves'!L55-'Sigmoid Curves'!L$8)/('Sigmoid Curves'!L$10))))</f>
        <v>3200000</v>
      </c>
      <c r="T61" s="11"/>
      <c r="U61" s="11"/>
      <c r="V61" s="11"/>
      <c r="W61" s="11"/>
      <c r="X61" s="11"/>
      <c r="Y61" s="11"/>
      <c r="Z61" s="11"/>
      <c r="AA61" s="11"/>
      <c r="AB61" s="11"/>
      <c r="AC61" s="11"/>
      <c r="AD61" s="11"/>
      <c r="AE61" s="11"/>
      <c r="AF61" s="11"/>
      <c r="AG61" s="11"/>
    </row>
    <row r="62" customHeight="1" spans="1:33">
      <c r="A62" s="2">
        <v>43</v>
      </c>
      <c r="B62" s="3">
        <f ca="1">MIN(1,((1-G$19)/(MATCH(100%,G$19:G1046,0)-1)*A62)+G$19)</f>
        <v>0.8984375</v>
      </c>
      <c r="C62" s="3">
        <f ca="1" t="shared" si="4"/>
        <v>0.0203125</v>
      </c>
      <c r="D62" s="3">
        <f ca="1" t="shared" si="5"/>
        <v>0.0026266462670258</v>
      </c>
      <c r="E62" s="3">
        <f ca="1" t="shared" si="6"/>
        <v>0.277580071174377</v>
      </c>
      <c r="F62" s="3">
        <f ca="1" t="shared" si="7"/>
        <v>0.0319115763362001</v>
      </c>
      <c r="G62" s="3">
        <f ca="1">H62/TotalSupply</f>
        <v>0.990348307905927</v>
      </c>
      <c r="H62" s="11">
        <f ca="1" t="shared" si="3"/>
        <v>792278646.324742</v>
      </c>
      <c r="I62" s="12">
        <f ca="1">TotalSupply*I$6*MAX(0,MIN(1,IF(I$11="Linear",('Linear Curves'!B56-'Linear Curves'!B$8)/('Linear Curves'!B$10),('Sigmoid Curves'!B56-'Sigmoid Curves'!B$8)/('Sigmoid Curves'!B$10))))</f>
        <v>99902955.19272</v>
      </c>
      <c r="J62" s="12">
        <f ca="1">TotalSupply*J$6*MAX(0,MIN(1,IF(J$11="Linear",('Linear Curves'!C56-'Linear Curves'!C$8)/('Linear Curves'!C$10),('Sigmoid Curves'!C56-'Sigmoid Curves'!C$8)/('Sigmoid Curves'!C$10))))</f>
        <v>88375691.1320215</v>
      </c>
      <c r="K62" s="12">
        <f ca="1">TotalSupply*K$6*MAX(0,MIN(1,IF(K$11="Linear",('Linear Curves'!D56-'Linear Curves'!D$8)/('Linear Curves'!D$10),('Sigmoid Curves'!D56-'Sigmoid Curves'!D$8)/('Sigmoid Curves'!D$10))))</f>
        <v>32000000</v>
      </c>
      <c r="L62" s="12">
        <f ca="1">TotalSupply*L$6*MAX(0,MIN(1,IF(L$11="Linear",('Linear Curves'!F56-'Linear Curves'!F$8)/('Linear Curves'!F$10),('Sigmoid Curves'!F56-'Sigmoid Curves'!F$8)/('Sigmoid Curves'!F$10))))</f>
        <v>12000000</v>
      </c>
      <c r="M62" s="12">
        <f ca="1">TotalSupply*M$6*MAX(0,MIN(1,IF(M$11="Linear",('Linear Curves'!G56-'Linear Curves'!G$8)/('Linear Curves'!G$10),('Sigmoid Curves'!G56-'Sigmoid Curves'!G$8)/('Sigmoid Curves'!G$10))))</f>
        <v>4000000</v>
      </c>
      <c r="N62" s="12">
        <f ca="1">TotalSupply*N$6*MAX(0,MIN(1,IF(N$11="Linear",('Linear Curves'!H56-'Linear Curves'!H$8)/('Linear Curves'!H$10),('Sigmoid Curves'!H56-'Sigmoid Curves'!H$8)/('Sigmoid Curves'!H$10))))</f>
        <v>56000000</v>
      </c>
      <c r="O62" s="12">
        <f ca="1">TotalSupply*O$6*MAX(0,MIN(1,IF(O$11="Linear",('Linear Curves'!I56-'Linear Curves'!I$8)/('Linear Curves'!I$10),('Sigmoid Curves'!I56-'Sigmoid Curves'!I$8)/('Sigmoid Curves'!I$10))))</f>
        <v>48000000</v>
      </c>
      <c r="P62" s="12">
        <f ca="1">TotalSupply*P$6*MAX(0,MIN(1,IF(P$11="Linear",('Linear Curves'!I56-'Linear Curves'!I$8)/('Linear Curves'!I$10),('Sigmoid Curves'!I56-'Sigmoid Curves'!I$8)/('Sigmoid Curves'!I$10))))</f>
        <v>400000000</v>
      </c>
      <c r="Q62" s="12">
        <f ca="1">TotalSupply*Q$6*MAX(0,MIN(1,IF(Q$11="Linear",('Linear Curves'!J56-'Linear Curves'!J$8)/('Linear Curves'!J$10),('Sigmoid Curves'!J56-'Sigmoid Curves'!J$8)/('Sigmoid Curves'!J$10))))</f>
        <v>20000000</v>
      </c>
      <c r="R62" s="12">
        <f ca="1">TotalSupply*R$6*MAX(0,MIN(1,IF(R$11="Linear",('Linear Curves'!K56-'Linear Curves'!K$8)/('Linear Curves'!K$10),('Sigmoid Curves'!K56-'Sigmoid Curves'!K$8)/('Sigmoid Curves'!K$10))))</f>
        <v>28800000</v>
      </c>
      <c r="S62" s="12">
        <f ca="1">TotalSupply*S$6*MAX(0,MIN(1,IF(S$11="Linear",('Linear Curves'!L56-'Linear Curves'!L$8)/('Linear Curves'!L$10),('Sigmoid Curves'!L56-'Sigmoid Curves'!L$8)/('Sigmoid Curves'!L$10))))</f>
        <v>3200000</v>
      </c>
      <c r="T62" s="11"/>
      <c r="U62" s="11"/>
      <c r="V62" s="11"/>
      <c r="W62" s="11"/>
      <c r="X62" s="11"/>
      <c r="Y62" s="11"/>
      <c r="Z62" s="11"/>
      <c r="AA62" s="11"/>
      <c r="AB62" s="11"/>
      <c r="AC62" s="11"/>
      <c r="AD62" s="11"/>
      <c r="AE62" s="11"/>
      <c r="AF62" s="11"/>
      <c r="AG62" s="11"/>
    </row>
    <row r="63" customHeight="1" spans="1:33">
      <c r="A63" s="2">
        <v>44</v>
      </c>
      <c r="B63" s="3">
        <f ca="1">MIN(1,((1-G$19)/(MATCH(100%,G$19:G1047,0)-1)*A63)+G$19)</f>
        <v>0.91875</v>
      </c>
      <c r="C63" s="3">
        <f ca="1" t="shared" si="4"/>
        <v>0.0203125000000001</v>
      </c>
      <c r="D63" s="3">
        <f ca="1" t="shared" si="5"/>
        <v>0.00236775355119545</v>
      </c>
      <c r="E63" s="3">
        <f ca="1" t="shared" si="6"/>
        <v>0.271304347826089</v>
      </c>
      <c r="F63" s="3">
        <f ca="1" t="shared" si="7"/>
        <v>0.0286899491699266</v>
      </c>
      <c r="G63" s="3">
        <f ca="1">H63/TotalSupply</f>
        <v>0.992716061457122</v>
      </c>
      <c r="H63" s="11">
        <f ca="1" t="shared" si="3"/>
        <v>794172849.165698</v>
      </c>
      <c r="I63" s="12">
        <f ca="1">TotalSupply*I$6*MAX(0,MIN(1,IF(I$11="Linear",('Linear Curves'!B57-'Linear Curves'!B$8)/('Linear Curves'!B$10),('Sigmoid Curves'!B57-'Sigmoid Curves'!B$8)/('Sigmoid Curves'!B$10))))</f>
        <v>100908042.414452</v>
      </c>
      <c r="J63" s="12">
        <f ca="1">TotalSupply*J$6*MAX(0,MIN(1,IF(J$11="Linear",('Linear Curves'!C57-'Linear Curves'!C$8)/('Linear Curves'!C$10),('Sigmoid Curves'!C57-'Sigmoid Curves'!C$8)/('Sigmoid Curves'!C$10))))</f>
        <v>89264806.751246</v>
      </c>
      <c r="K63" s="12">
        <f ca="1">TotalSupply*K$6*MAX(0,MIN(1,IF(K$11="Linear",('Linear Curves'!D57-'Linear Curves'!D$8)/('Linear Curves'!D$10),('Sigmoid Curves'!D57-'Sigmoid Curves'!D$8)/('Sigmoid Curves'!D$10))))</f>
        <v>32000000</v>
      </c>
      <c r="L63" s="12">
        <f ca="1">TotalSupply*L$6*MAX(0,MIN(1,IF(L$11="Linear",('Linear Curves'!F57-'Linear Curves'!F$8)/('Linear Curves'!F$10),('Sigmoid Curves'!F57-'Sigmoid Curves'!F$8)/('Sigmoid Curves'!F$10))))</f>
        <v>12000000</v>
      </c>
      <c r="M63" s="12">
        <f ca="1">TotalSupply*M$6*MAX(0,MIN(1,IF(M$11="Linear",('Linear Curves'!G57-'Linear Curves'!G$8)/('Linear Curves'!G$10),('Sigmoid Curves'!G57-'Sigmoid Curves'!G$8)/('Sigmoid Curves'!G$10))))</f>
        <v>4000000</v>
      </c>
      <c r="N63" s="12">
        <f ca="1">TotalSupply*N$6*MAX(0,MIN(1,IF(N$11="Linear",('Linear Curves'!H57-'Linear Curves'!H$8)/('Linear Curves'!H$10),('Sigmoid Curves'!H57-'Sigmoid Curves'!H$8)/('Sigmoid Curves'!H$10))))</f>
        <v>56000000</v>
      </c>
      <c r="O63" s="12">
        <f ca="1">TotalSupply*O$6*MAX(0,MIN(1,IF(O$11="Linear",('Linear Curves'!I57-'Linear Curves'!I$8)/('Linear Curves'!I$10),('Sigmoid Curves'!I57-'Sigmoid Curves'!I$8)/('Sigmoid Curves'!I$10))))</f>
        <v>48000000</v>
      </c>
      <c r="P63" s="12">
        <f ca="1">TotalSupply*P$6*MAX(0,MIN(1,IF(P$11="Linear",('Linear Curves'!I57-'Linear Curves'!I$8)/('Linear Curves'!I$10),('Sigmoid Curves'!I57-'Sigmoid Curves'!I$8)/('Sigmoid Curves'!I$10))))</f>
        <v>400000000</v>
      </c>
      <c r="Q63" s="12">
        <f ca="1">TotalSupply*Q$6*MAX(0,MIN(1,IF(Q$11="Linear",('Linear Curves'!J57-'Linear Curves'!J$8)/('Linear Curves'!J$10),('Sigmoid Curves'!J57-'Sigmoid Curves'!J$8)/('Sigmoid Curves'!J$10))))</f>
        <v>20000000</v>
      </c>
      <c r="R63" s="12">
        <f ca="1">TotalSupply*R$6*MAX(0,MIN(1,IF(R$11="Linear",('Linear Curves'!K57-'Linear Curves'!K$8)/('Linear Curves'!K$10),('Sigmoid Curves'!K57-'Sigmoid Curves'!K$8)/('Sigmoid Curves'!K$10))))</f>
        <v>28800000</v>
      </c>
      <c r="S63" s="12">
        <f ca="1">TotalSupply*S$6*MAX(0,MIN(1,IF(S$11="Linear",('Linear Curves'!L57-'Linear Curves'!L$8)/('Linear Curves'!L$10),('Sigmoid Curves'!L57-'Sigmoid Curves'!L$8)/('Sigmoid Curves'!L$10))))</f>
        <v>3200000</v>
      </c>
      <c r="T63" s="11"/>
      <c r="U63" s="11"/>
      <c r="V63" s="11"/>
      <c r="W63" s="11"/>
      <c r="X63" s="11"/>
      <c r="Y63" s="11"/>
      <c r="Z63" s="11"/>
      <c r="AA63" s="11"/>
      <c r="AB63" s="11"/>
      <c r="AC63" s="11"/>
      <c r="AD63" s="11"/>
      <c r="AE63" s="11"/>
      <c r="AF63" s="11"/>
      <c r="AG63" s="11"/>
    </row>
    <row r="64" customHeight="1" spans="1:33">
      <c r="A64" s="2">
        <v>45</v>
      </c>
      <c r="B64" s="3">
        <f ca="1">MIN(1,((1-G$19)/(MATCH(100%,G$19:G1048,0)-1)*A64)+G$19)</f>
        <v>0.9390625</v>
      </c>
      <c r="C64" s="3">
        <f ca="1" t="shared" si="4"/>
        <v>0.0203125</v>
      </c>
      <c r="D64" s="3">
        <f ca="1" t="shared" si="5"/>
        <v>0.00212946362644795</v>
      </c>
      <c r="E64" s="3">
        <f ca="1" t="shared" si="6"/>
        <v>0.265306122448978</v>
      </c>
      <c r="F64" s="3">
        <f ca="1" t="shared" si="7"/>
        <v>0.0257410598150978</v>
      </c>
      <c r="G64" s="3">
        <f ca="1">H64/TotalSupply</f>
        <v>0.99484552508357</v>
      </c>
      <c r="H64" s="11">
        <f ca="1" t="shared" si="3"/>
        <v>795876420.066856</v>
      </c>
      <c r="I64" s="12">
        <f ca="1">TotalSupply*I$6*MAX(0,MIN(1,IF(I$11="Linear",('Linear Curves'!B58-'Linear Curves'!B$8)/('Linear Curves'!B$10),('Sigmoid Curves'!B58-'Sigmoid Curves'!B$8)/('Sigmoid Curves'!B$10))))</f>
        <v>101811977.994658</v>
      </c>
      <c r="J64" s="12">
        <f ca="1">TotalSupply*J$6*MAX(0,MIN(1,IF(J$11="Linear",('Linear Curves'!C58-'Linear Curves'!C$8)/('Linear Curves'!C$10),('Sigmoid Curves'!C58-'Sigmoid Curves'!C$8)/('Sigmoid Curves'!C$10))))</f>
        <v>90064442.0721978</v>
      </c>
      <c r="K64" s="12">
        <f ca="1">TotalSupply*K$6*MAX(0,MIN(1,IF(K$11="Linear",('Linear Curves'!D58-'Linear Curves'!D$8)/('Linear Curves'!D$10),('Sigmoid Curves'!D58-'Sigmoid Curves'!D$8)/('Sigmoid Curves'!D$10))))</f>
        <v>32000000</v>
      </c>
      <c r="L64" s="12">
        <f ca="1">TotalSupply*L$6*MAX(0,MIN(1,IF(L$11="Linear",('Linear Curves'!F58-'Linear Curves'!F$8)/('Linear Curves'!F$10),('Sigmoid Curves'!F58-'Sigmoid Curves'!F$8)/('Sigmoid Curves'!F$10))))</f>
        <v>12000000</v>
      </c>
      <c r="M64" s="12">
        <f ca="1">TotalSupply*M$6*MAX(0,MIN(1,IF(M$11="Linear",('Linear Curves'!G58-'Linear Curves'!G$8)/('Linear Curves'!G$10),('Sigmoid Curves'!G58-'Sigmoid Curves'!G$8)/('Sigmoid Curves'!G$10))))</f>
        <v>4000000</v>
      </c>
      <c r="N64" s="12">
        <f ca="1">TotalSupply*N$6*MAX(0,MIN(1,IF(N$11="Linear",('Linear Curves'!H58-'Linear Curves'!H$8)/('Linear Curves'!H$10),('Sigmoid Curves'!H58-'Sigmoid Curves'!H$8)/('Sigmoid Curves'!H$10))))</f>
        <v>56000000</v>
      </c>
      <c r="O64" s="12">
        <f ca="1">TotalSupply*O$6*MAX(0,MIN(1,IF(O$11="Linear",('Linear Curves'!I58-'Linear Curves'!I$8)/('Linear Curves'!I$10),('Sigmoid Curves'!I58-'Sigmoid Curves'!I$8)/('Sigmoid Curves'!I$10))))</f>
        <v>48000000</v>
      </c>
      <c r="P64" s="12">
        <f ca="1">TotalSupply*P$6*MAX(0,MIN(1,IF(P$11="Linear",('Linear Curves'!I58-'Linear Curves'!I$8)/('Linear Curves'!I$10),('Sigmoid Curves'!I58-'Sigmoid Curves'!I$8)/('Sigmoid Curves'!I$10))))</f>
        <v>400000000</v>
      </c>
      <c r="Q64" s="12">
        <f ca="1">TotalSupply*Q$6*MAX(0,MIN(1,IF(Q$11="Linear",('Linear Curves'!J58-'Linear Curves'!J$8)/('Linear Curves'!J$10),('Sigmoid Curves'!J58-'Sigmoid Curves'!J$8)/('Sigmoid Curves'!J$10))))</f>
        <v>20000000</v>
      </c>
      <c r="R64" s="12">
        <f ca="1">TotalSupply*R$6*MAX(0,MIN(1,IF(R$11="Linear",('Linear Curves'!K58-'Linear Curves'!K$8)/('Linear Curves'!K$10),('Sigmoid Curves'!K58-'Sigmoid Curves'!K$8)/('Sigmoid Curves'!K$10))))</f>
        <v>28800000</v>
      </c>
      <c r="S64" s="12">
        <f ca="1">TotalSupply*S$6*MAX(0,MIN(1,IF(S$11="Linear",('Linear Curves'!L58-'Linear Curves'!L$8)/('Linear Curves'!L$10),('Sigmoid Curves'!L58-'Sigmoid Curves'!L$8)/('Sigmoid Curves'!L$10))))</f>
        <v>3200000</v>
      </c>
      <c r="T64" s="11"/>
      <c r="U64" s="11"/>
      <c r="V64" s="11"/>
      <c r="W64" s="11"/>
      <c r="X64" s="11"/>
      <c r="Y64" s="11"/>
      <c r="Z64" s="11"/>
      <c r="AA64" s="11"/>
      <c r="AB64" s="11"/>
      <c r="AC64" s="11"/>
      <c r="AD64" s="11"/>
      <c r="AE64" s="11"/>
      <c r="AF64" s="11"/>
      <c r="AG64" s="11"/>
    </row>
    <row r="65" customHeight="1" spans="1:33">
      <c r="A65" s="2">
        <v>46</v>
      </c>
      <c r="B65" s="3">
        <f ca="1">MIN(1,((1-G$19)/(MATCH(100%,G$19:G1049,0)-1)*A65)+G$19)</f>
        <v>0.959375</v>
      </c>
      <c r="C65" s="3">
        <f ca="1" t="shared" si="4"/>
        <v>0.0203125000000001</v>
      </c>
      <c r="D65" s="3">
        <f ca="1" t="shared" si="5"/>
        <v>0.00191118809918722</v>
      </c>
      <c r="E65" s="3">
        <f ca="1" t="shared" si="6"/>
        <v>0.259567387687188</v>
      </c>
      <c r="F65" s="3">
        <f ca="1" t="shared" si="7"/>
        <v>0.0230530837320915</v>
      </c>
      <c r="G65" s="3">
        <f ca="1">H65/TotalSupply</f>
        <v>0.996756713182758</v>
      </c>
      <c r="H65" s="11">
        <f ca="1" t="shared" si="3"/>
        <v>797405370.546206</v>
      </c>
      <c r="I65" s="12">
        <f ca="1">TotalSupply*I$6*MAX(0,MIN(1,IF(I$11="Linear",('Linear Curves'!B59-'Linear Curves'!B$8)/('Linear Curves'!B$10),('Sigmoid Curves'!B59-'Sigmoid Curves'!B$8)/('Sigmoid Curves'!B$10))))</f>
        <v>102623257.840844</v>
      </c>
      <c r="J65" s="12">
        <f ca="1">TotalSupply*J$6*MAX(0,MIN(1,IF(J$11="Linear",('Linear Curves'!C59-'Linear Curves'!C$8)/('Linear Curves'!C$10),('Sigmoid Curves'!C59-'Sigmoid Curves'!C$8)/('Sigmoid Curves'!C$10))))</f>
        <v>90782112.7053621</v>
      </c>
      <c r="K65" s="12">
        <f ca="1">TotalSupply*K$6*MAX(0,MIN(1,IF(K$11="Linear",('Linear Curves'!D59-'Linear Curves'!D$8)/('Linear Curves'!D$10),('Sigmoid Curves'!D59-'Sigmoid Curves'!D$8)/('Sigmoid Curves'!D$10))))</f>
        <v>32000000</v>
      </c>
      <c r="L65" s="12">
        <f ca="1">TotalSupply*L$6*MAX(0,MIN(1,IF(L$11="Linear",('Linear Curves'!F59-'Linear Curves'!F$8)/('Linear Curves'!F$10),('Sigmoid Curves'!F59-'Sigmoid Curves'!F$8)/('Sigmoid Curves'!F$10))))</f>
        <v>12000000</v>
      </c>
      <c r="M65" s="12">
        <f ca="1">TotalSupply*M$6*MAX(0,MIN(1,IF(M$11="Linear",('Linear Curves'!G59-'Linear Curves'!G$8)/('Linear Curves'!G$10),('Sigmoid Curves'!G59-'Sigmoid Curves'!G$8)/('Sigmoid Curves'!G$10))))</f>
        <v>4000000</v>
      </c>
      <c r="N65" s="12">
        <f ca="1">TotalSupply*N$6*MAX(0,MIN(1,IF(N$11="Linear",('Linear Curves'!H59-'Linear Curves'!H$8)/('Linear Curves'!H$10),('Sigmoid Curves'!H59-'Sigmoid Curves'!H$8)/('Sigmoid Curves'!H$10))))</f>
        <v>56000000</v>
      </c>
      <c r="O65" s="12">
        <f ca="1">TotalSupply*O$6*MAX(0,MIN(1,IF(O$11="Linear",('Linear Curves'!I59-'Linear Curves'!I$8)/('Linear Curves'!I$10),('Sigmoid Curves'!I59-'Sigmoid Curves'!I$8)/('Sigmoid Curves'!I$10))))</f>
        <v>48000000</v>
      </c>
      <c r="P65" s="12">
        <f ca="1">TotalSupply*P$6*MAX(0,MIN(1,IF(P$11="Linear",('Linear Curves'!I59-'Linear Curves'!I$8)/('Linear Curves'!I$10),('Sigmoid Curves'!I59-'Sigmoid Curves'!I$8)/('Sigmoid Curves'!I$10))))</f>
        <v>400000000</v>
      </c>
      <c r="Q65" s="12">
        <f ca="1">TotalSupply*Q$6*MAX(0,MIN(1,IF(Q$11="Linear",('Linear Curves'!J59-'Linear Curves'!J$8)/('Linear Curves'!J$10),('Sigmoid Curves'!J59-'Sigmoid Curves'!J$8)/('Sigmoid Curves'!J$10))))</f>
        <v>20000000</v>
      </c>
      <c r="R65" s="12">
        <f ca="1">TotalSupply*R$6*MAX(0,MIN(1,IF(R$11="Linear",('Linear Curves'!K59-'Linear Curves'!K$8)/('Linear Curves'!K$10),('Sigmoid Curves'!K59-'Sigmoid Curves'!K$8)/('Sigmoid Curves'!K$10))))</f>
        <v>28800000</v>
      </c>
      <c r="S65" s="12">
        <f ca="1">TotalSupply*S$6*MAX(0,MIN(1,IF(S$11="Linear",('Linear Curves'!L59-'Linear Curves'!L$8)/('Linear Curves'!L$10),('Sigmoid Curves'!L59-'Sigmoid Curves'!L$8)/('Sigmoid Curves'!L$10))))</f>
        <v>3200000</v>
      </c>
      <c r="T65" s="11"/>
      <c r="U65" s="11"/>
      <c r="V65" s="11"/>
      <c r="W65" s="11"/>
      <c r="X65" s="11"/>
      <c r="Y65" s="11"/>
      <c r="Z65" s="11"/>
      <c r="AA65" s="11"/>
      <c r="AB65" s="11"/>
      <c r="AC65" s="11"/>
      <c r="AD65" s="11"/>
      <c r="AE65" s="11"/>
      <c r="AF65" s="11"/>
      <c r="AG65" s="11"/>
    </row>
    <row r="66" customHeight="1" spans="1:33">
      <c r="A66" s="2">
        <v>47</v>
      </c>
      <c r="B66" s="3">
        <f ca="1">MIN(1,((1-G$19)/(MATCH(100%,G$19:G1050,0)-1)*A66)+G$19)</f>
        <v>0.9796875</v>
      </c>
      <c r="C66" s="3">
        <f ca="1" t="shared" si="4"/>
        <v>0.0203125</v>
      </c>
      <c r="D66" s="3">
        <f ca="1" t="shared" si="5"/>
        <v>0.00171209687797502</v>
      </c>
      <c r="E66" s="3">
        <f ca="1" t="shared" si="6"/>
        <v>0.254071661237785</v>
      </c>
      <c r="F66" s="3">
        <f ca="1" t="shared" si="7"/>
        <v>0.02061201320641</v>
      </c>
      <c r="G66" s="3">
        <f ca="1">H66/TotalSupply</f>
        <v>0.998468810060733</v>
      </c>
      <c r="H66" s="11">
        <f ca="1" t="shared" si="3"/>
        <v>798775048.048586</v>
      </c>
      <c r="I66" s="12">
        <f ca="1">TotalSupply*I$6*MAX(0,MIN(1,IF(I$11="Linear",('Linear Curves'!B60-'Linear Curves'!B$8)/('Linear Curves'!B$10),('Sigmoid Curves'!B60-'Sigmoid Curves'!B$8)/('Sigmoid Curves'!B$10))))</f>
        <v>103350025.495168</v>
      </c>
      <c r="J66" s="12">
        <f ca="1">TotalSupply*J$6*MAX(0,MIN(1,IF(J$11="Linear",('Linear Curves'!C60-'Linear Curves'!C$8)/('Linear Curves'!C$10),('Sigmoid Curves'!C60-'Sigmoid Curves'!C$8)/('Sigmoid Curves'!C$10))))</f>
        <v>91425022.553418</v>
      </c>
      <c r="K66" s="12">
        <f ca="1">TotalSupply*K$6*MAX(0,MIN(1,IF(K$11="Linear",('Linear Curves'!D60-'Linear Curves'!D$8)/('Linear Curves'!D$10),('Sigmoid Curves'!D60-'Sigmoid Curves'!D$8)/('Sigmoid Curves'!D$10))))</f>
        <v>32000000</v>
      </c>
      <c r="L66" s="12">
        <f ca="1">TotalSupply*L$6*MAX(0,MIN(1,IF(L$11="Linear",('Linear Curves'!F60-'Linear Curves'!F$8)/('Linear Curves'!F$10),('Sigmoid Curves'!F60-'Sigmoid Curves'!F$8)/('Sigmoid Curves'!F$10))))</f>
        <v>12000000</v>
      </c>
      <c r="M66" s="12">
        <f ca="1">TotalSupply*M$6*MAX(0,MIN(1,IF(M$11="Linear",('Linear Curves'!G60-'Linear Curves'!G$8)/('Linear Curves'!G$10),('Sigmoid Curves'!G60-'Sigmoid Curves'!G$8)/('Sigmoid Curves'!G$10))))</f>
        <v>4000000</v>
      </c>
      <c r="N66" s="12">
        <f ca="1">TotalSupply*N$6*MAX(0,MIN(1,IF(N$11="Linear",('Linear Curves'!H60-'Linear Curves'!H$8)/('Linear Curves'!H$10),('Sigmoid Curves'!H60-'Sigmoid Curves'!H$8)/('Sigmoid Curves'!H$10))))</f>
        <v>56000000</v>
      </c>
      <c r="O66" s="12">
        <f ca="1">TotalSupply*O$6*MAX(0,MIN(1,IF(O$11="Linear",('Linear Curves'!I60-'Linear Curves'!I$8)/('Linear Curves'!I$10),('Sigmoid Curves'!I60-'Sigmoid Curves'!I$8)/('Sigmoid Curves'!I$10))))</f>
        <v>48000000</v>
      </c>
      <c r="P66" s="12">
        <f ca="1">TotalSupply*P$6*MAX(0,MIN(1,IF(P$11="Linear",('Linear Curves'!I60-'Linear Curves'!I$8)/('Linear Curves'!I$10),('Sigmoid Curves'!I60-'Sigmoid Curves'!I$8)/('Sigmoid Curves'!I$10))))</f>
        <v>400000000</v>
      </c>
      <c r="Q66" s="12">
        <f ca="1">TotalSupply*Q$6*MAX(0,MIN(1,IF(Q$11="Linear",('Linear Curves'!J60-'Linear Curves'!J$8)/('Linear Curves'!J$10),('Sigmoid Curves'!J60-'Sigmoid Curves'!J$8)/('Sigmoid Curves'!J$10))))</f>
        <v>20000000</v>
      </c>
      <c r="R66" s="12">
        <f ca="1">TotalSupply*R$6*MAX(0,MIN(1,IF(R$11="Linear",('Linear Curves'!K60-'Linear Curves'!K$8)/('Linear Curves'!K$10),('Sigmoid Curves'!K60-'Sigmoid Curves'!K$8)/('Sigmoid Curves'!K$10))))</f>
        <v>28800000</v>
      </c>
      <c r="S66" s="12">
        <f ca="1">TotalSupply*S$6*MAX(0,MIN(1,IF(S$11="Linear",('Linear Curves'!L60-'Linear Curves'!L$8)/('Linear Curves'!L$10),('Sigmoid Curves'!L60-'Sigmoid Curves'!L$8)/('Sigmoid Curves'!L$10))))</f>
        <v>3200000</v>
      </c>
      <c r="T66" s="11"/>
      <c r="U66" s="11"/>
      <c r="V66" s="11"/>
      <c r="W66" s="11"/>
      <c r="X66" s="11"/>
      <c r="Y66" s="11"/>
      <c r="Z66" s="11"/>
      <c r="AA66" s="11"/>
      <c r="AB66" s="11"/>
      <c r="AC66" s="11"/>
      <c r="AD66" s="11"/>
      <c r="AE66" s="11"/>
      <c r="AF66" s="11"/>
      <c r="AG66" s="11"/>
    </row>
    <row r="67" customHeight="1" spans="1:33">
      <c r="A67" s="2">
        <v>48</v>
      </c>
      <c r="B67" s="3">
        <f ca="1">MIN(1,((1-G$19)/(MATCH(100%,G$19:G1051,0)-1)*A67)+G$19)</f>
        <v>1</v>
      </c>
      <c r="C67" s="3">
        <f ca="1" t="shared" si="4"/>
        <v>0.0203125</v>
      </c>
      <c r="D67" s="3">
        <f ca="1" t="shared" si="5"/>
        <v>0.00153118993926737</v>
      </c>
      <c r="E67" s="3">
        <f ca="1" t="shared" si="6"/>
        <v>0.248803827751195</v>
      </c>
      <c r="F67" s="3">
        <f ca="1" t="shared" si="7"/>
        <v>0.0184024569281149</v>
      </c>
      <c r="G67" s="3">
        <f ca="1">H67/TotalSupply</f>
        <v>1</v>
      </c>
      <c r="H67" s="11">
        <f ca="1" t="shared" si="3"/>
        <v>800000000</v>
      </c>
      <c r="I67" s="12">
        <f ca="1">TotalSupply*I$6*MAX(0,MIN(1,IF(I$11="Linear",('Linear Curves'!B61-'Linear Curves'!B$8)/('Linear Curves'!B$10),('Sigmoid Curves'!B61-'Sigmoid Curves'!B$8)/('Sigmoid Curves'!B$10))))</f>
        <v>104000000</v>
      </c>
      <c r="J67" s="12">
        <f ca="1">TotalSupply*J$6*MAX(0,MIN(1,IF(J$11="Linear",('Linear Curves'!C61-'Linear Curves'!C$8)/('Linear Curves'!C$10),('Sigmoid Curves'!C61-'Sigmoid Curves'!C$8)/('Sigmoid Curves'!C$10))))</f>
        <v>92000000</v>
      </c>
      <c r="K67" s="12">
        <f ca="1">TotalSupply*K$6*MAX(0,MIN(1,IF(K$11="Linear",('Linear Curves'!D61-'Linear Curves'!D$8)/('Linear Curves'!D$10),('Sigmoid Curves'!D61-'Sigmoid Curves'!D$8)/('Sigmoid Curves'!D$10))))</f>
        <v>32000000</v>
      </c>
      <c r="L67" s="12">
        <f ca="1">TotalSupply*L$6*MAX(0,MIN(1,IF(L$11="Linear",('Linear Curves'!F61-'Linear Curves'!F$8)/('Linear Curves'!F$10),('Sigmoid Curves'!F61-'Sigmoid Curves'!F$8)/('Sigmoid Curves'!F$10))))</f>
        <v>12000000</v>
      </c>
      <c r="M67" s="12">
        <f ca="1">TotalSupply*M$6*MAX(0,MIN(1,IF(M$11="Linear",('Linear Curves'!G61-'Linear Curves'!G$8)/('Linear Curves'!G$10),('Sigmoid Curves'!G61-'Sigmoid Curves'!G$8)/('Sigmoid Curves'!G$10))))</f>
        <v>4000000</v>
      </c>
      <c r="N67" s="12">
        <f ca="1">TotalSupply*N$6*MAX(0,MIN(1,IF(N$11="Linear",('Linear Curves'!H61-'Linear Curves'!H$8)/('Linear Curves'!H$10),('Sigmoid Curves'!H61-'Sigmoid Curves'!H$8)/('Sigmoid Curves'!H$10))))</f>
        <v>56000000</v>
      </c>
      <c r="O67" s="12">
        <f ca="1">TotalSupply*O$6*MAX(0,MIN(1,IF(O$11="Linear",('Linear Curves'!I61-'Linear Curves'!I$8)/('Linear Curves'!I$10),('Sigmoid Curves'!I61-'Sigmoid Curves'!I$8)/('Sigmoid Curves'!I$10))))</f>
        <v>48000000</v>
      </c>
      <c r="P67" s="12">
        <f ca="1">TotalSupply*P$6*MAX(0,MIN(1,IF(P$11="Linear",('Linear Curves'!I61-'Linear Curves'!I$8)/('Linear Curves'!I$10),('Sigmoid Curves'!I61-'Sigmoid Curves'!I$8)/('Sigmoid Curves'!I$10))))</f>
        <v>400000000</v>
      </c>
      <c r="Q67" s="12">
        <f ca="1">TotalSupply*Q$6*MAX(0,MIN(1,IF(Q$11="Linear",('Linear Curves'!J61-'Linear Curves'!J$8)/('Linear Curves'!J$10),('Sigmoid Curves'!J61-'Sigmoid Curves'!J$8)/('Sigmoid Curves'!J$10))))</f>
        <v>20000000</v>
      </c>
      <c r="R67" s="12">
        <f ca="1">TotalSupply*R$6*MAX(0,MIN(1,IF(R$11="Linear",('Linear Curves'!K61-'Linear Curves'!K$8)/('Linear Curves'!K$10),('Sigmoid Curves'!K61-'Sigmoid Curves'!K$8)/('Sigmoid Curves'!K$10))))</f>
        <v>28800000</v>
      </c>
      <c r="S67" s="12">
        <f ca="1">TotalSupply*S$6*MAX(0,MIN(1,IF(S$11="Linear",('Linear Curves'!L61-'Linear Curves'!L$8)/('Linear Curves'!L$10),('Sigmoid Curves'!L61-'Sigmoid Curves'!L$8)/('Sigmoid Curves'!L$10))))</f>
        <v>3200000</v>
      </c>
      <c r="T67" s="11"/>
      <c r="U67" s="11"/>
      <c r="V67" s="11"/>
      <c r="W67" s="11"/>
      <c r="X67" s="11"/>
      <c r="Y67" s="11"/>
      <c r="Z67" s="11"/>
      <c r="AA67" s="11"/>
      <c r="AB67" s="11"/>
      <c r="AC67" s="11"/>
      <c r="AD67" s="11"/>
      <c r="AE67" s="11"/>
      <c r="AF67" s="11"/>
      <c r="AG67" s="11"/>
    </row>
    <row r="68" customHeight="1" spans="1:33">
      <c r="A68" s="2">
        <v>49</v>
      </c>
      <c r="B68" s="3">
        <f ca="1">MIN(1,((1-G$19)/(MATCH(100%,G$19:G1052,0)-1)*A68)+G$19)</f>
        <v>1</v>
      </c>
      <c r="C68" s="3">
        <f ca="1" t="shared" si="4"/>
        <v>0</v>
      </c>
      <c r="D68" s="3">
        <f ca="1" t="shared" si="5"/>
        <v>0</v>
      </c>
      <c r="E68" s="3">
        <f ca="1" t="shared" si="6"/>
        <v>0</v>
      </c>
      <c r="F68" s="3">
        <f ca="1" t="shared" si="7"/>
        <v>0</v>
      </c>
      <c r="G68" s="3">
        <f ca="1">H68/TotalSupply</f>
        <v>1</v>
      </c>
      <c r="H68" s="11">
        <f ca="1" t="shared" si="3"/>
        <v>800000000</v>
      </c>
      <c r="I68" s="12">
        <f ca="1">TotalSupply*I$6*MAX(0,MIN(1,IF(I$11="Linear",('Linear Curves'!B62-'Linear Curves'!B$8)/('Linear Curves'!B$10),('Sigmoid Curves'!B62-'Sigmoid Curves'!B$8)/('Sigmoid Curves'!B$10))))</f>
        <v>104000000</v>
      </c>
      <c r="J68" s="12">
        <f ca="1">TotalSupply*J$6*MAX(0,MIN(1,IF(J$11="Linear",('Linear Curves'!C62-'Linear Curves'!C$8)/('Linear Curves'!C$10),('Sigmoid Curves'!C62-'Sigmoid Curves'!C$8)/('Sigmoid Curves'!C$10))))</f>
        <v>92000000</v>
      </c>
      <c r="K68" s="12">
        <f ca="1">TotalSupply*K$6*MAX(0,MIN(1,IF(K$11="Linear",('Linear Curves'!D62-'Linear Curves'!D$8)/('Linear Curves'!D$10),('Sigmoid Curves'!D62-'Sigmoid Curves'!D$8)/('Sigmoid Curves'!D$10))))</f>
        <v>32000000</v>
      </c>
      <c r="L68" s="12">
        <f ca="1">TotalSupply*L$6*MAX(0,MIN(1,IF(L$11="Linear",('Linear Curves'!F62-'Linear Curves'!F$8)/('Linear Curves'!F$10),('Sigmoid Curves'!F62-'Sigmoid Curves'!F$8)/('Sigmoid Curves'!F$10))))</f>
        <v>12000000</v>
      </c>
      <c r="M68" s="12">
        <f ca="1">TotalSupply*M$6*MAX(0,MIN(1,IF(M$11="Linear",('Linear Curves'!G62-'Linear Curves'!G$8)/('Linear Curves'!G$10),('Sigmoid Curves'!G62-'Sigmoid Curves'!G$8)/('Sigmoid Curves'!G$10))))</f>
        <v>4000000</v>
      </c>
      <c r="N68" s="12">
        <f ca="1">TotalSupply*N$6*MAX(0,MIN(1,IF(N$11="Linear",('Linear Curves'!H62-'Linear Curves'!H$8)/('Linear Curves'!H$10),('Sigmoid Curves'!H62-'Sigmoid Curves'!H$8)/('Sigmoid Curves'!H$10))))</f>
        <v>56000000</v>
      </c>
      <c r="O68" s="12">
        <f ca="1">TotalSupply*O$6*MAX(0,MIN(1,IF(O$11="Linear",('Linear Curves'!I62-'Linear Curves'!I$8)/('Linear Curves'!I$10),('Sigmoid Curves'!I62-'Sigmoid Curves'!I$8)/('Sigmoid Curves'!I$10))))</f>
        <v>48000000</v>
      </c>
      <c r="P68" s="12">
        <f ca="1">TotalSupply*P$6*MAX(0,MIN(1,IF(P$11="Linear",('Linear Curves'!I62-'Linear Curves'!I$8)/('Linear Curves'!I$10),('Sigmoid Curves'!I62-'Sigmoid Curves'!I$8)/('Sigmoid Curves'!I$10))))</f>
        <v>400000000</v>
      </c>
      <c r="Q68" s="12">
        <f ca="1">TotalSupply*Q$6*MAX(0,MIN(1,IF(Q$11="Linear",('Linear Curves'!J62-'Linear Curves'!J$8)/('Linear Curves'!J$10),('Sigmoid Curves'!J62-'Sigmoid Curves'!J$8)/('Sigmoid Curves'!J$10))))</f>
        <v>20000000</v>
      </c>
      <c r="R68" s="12">
        <f ca="1">TotalSupply*R$6*MAX(0,MIN(1,IF(R$11="Linear",('Linear Curves'!K62-'Linear Curves'!K$8)/('Linear Curves'!K$10),('Sigmoid Curves'!K62-'Sigmoid Curves'!K$8)/('Sigmoid Curves'!K$10))))</f>
        <v>28800000</v>
      </c>
      <c r="S68" s="12">
        <f ca="1">TotalSupply*S$6*MAX(0,MIN(1,IF(S$11="Linear",('Linear Curves'!L62-'Linear Curves'!L$8)/('Linear Curves'!L$10),('Sigmoid Curves'!L62-'Sigmoid Curves'!L$8)/('Sigmoid Curves'!L$10))))</f>
        <v>3200000</v>
      </c>
      <c r="T68" s="11"/>
      <c r="U68" s="11"/>
      <c r="V68" s="11"/>
      <c r="W68" s="11"/>
      <c r="X68" s="11"/>
      <c r="Y68" s="11"/>
      <c r="Z68" s="11"/>
      <c r="AA68" s="11"/>
      <c r="AB68" s="11"/>
      <c r="AC68" s="11"/>
      <c r="AD68" s="11"/>
      <c r="AE68" s="11"/>
      <c r="AF68" s="11"/>
      <c r="AG68" s="11"/>
    </row>
    <row r="69" customHeight="1" spans="1:33">
      <c r="A69" s="2">
        <v>50</v>
      </c>
      <c r="B69" s="3">
        <f ca="1">MIN(1,((1-G$19)/(MATCH(100%,G$19:G1053,0)-1)*A69)+G$19)</f>
        <v>1</v>
      </c>
      <c r="C69" s="3">
        <f ca="1" t="shared" si="4"/>
        <v>0</v>
      </c>
      <c r="D69" s="3">
        <f ca="1" t="shared" si="5"/>
        <v>0</v>
      </c>
      <c r="E69" s="3">
        <f ca="1" t="shared" si="6"/>
        <v>0</v>
      </c>
      <c r="F69" s="3">
        <f ca="1" t="shared" si="7"/>
        <v>0</v>
      </c>
      <c r="G69" s="3">
        <f ca="1">H69/TotalSupply</f>
        <v>1</v>
      </c>
      <c r="H69" s="11">
        <f ca="1" t="shared" si="3"/>
        <v>800000000</v>
      </c>
      <c r="I69" s="12">
        <f ca="1">TotalSupply*I$6*MAX(0,MIN(1,IF(I$11="Linear",('Linear Curves'!B63-'Linear Curves'!B$8)/('Linear Curves'!B$10),('Sigmoid Curves'!B63-'Sigmoid Curves'!B$8)/('Sigmoid Curves'!B$10))))</f>
        <v>104000000</v>
      </c>
      <c r="J69" s="12">
        <f ca="1">TotalSupply*J$6*MAX(0,MIN(1,IF(J$11="Linear",('Linear Curves'!C63-'Linear Curves'!C$8)/('Linear Curves'!C$10),('Sigmoid Curves'!C63-'Sigmoid Curves'!C$8)/('Sigmoid Curves'!C$10))))</f>
        <v>92000000</v>
      </c>
      <c r="K69" s="12">
        <f ca="1">TotalSupply*K$6*MAX(0,MIN(1,IF(K$11="Linear",('Linear Curves'!D63-'Linear Curves'!D$8)/('Linear Curves'!D$10),('Sigmoid Curves'!D63-'Sigmoid Curves'!D$8)/('Sigmoid Curves'!D$10))))</f>
        <v>32000000</v>
      </c>
      <c r="L69" s="12">
        <f ca="1">TotalSupply*L$6*MAX(0,MIN(1,IF(L$11="Linear",('Linear Curves'!F63-'Linear Curves'!F$8)/('Linear Curves'!F$10),('Sigmoid Curves'!F63-'Sigmoid Curves'!F$8)/('Sigmoid Curves'!F$10))))</f>
        <v>12000000</v>
      </c>
      <c r="M69" s="12">
        <f ca="1">TotalSupply*M$6*MAX(0,MIN(1,IF(M$11="Linear",('Linear Curves'!G63-'Linear Curves'!G$8)/('Linear Curves'!G$10),('Sigmoid Curves'!G63-'Sigmoid Curves'!G$8)/('Sigmoid Curves'!G$10))))</f>
        <v>4000000</v>
      </c>
      <c r="N69" s="12">
        <f ca="1">TotalSupply*N$6*MAX(0,MIN(1,IF(N$11="Linear",('Linear Curves'!H63-'Linear Curves'!H$8)/('Linear Curves'!H$10),('Sigmoid Curves'!H63-'Sigmoid Curves'!H$8)/('Sigmoid Curves'!H$10))))</f>
        <v>56000000</v>
      </c>
      <c r="O69" s="12">
        <f ca="1">TotalSupply*O$6*MAX(0,MIN(1,IF(O$11="Linear",('Linear Curves'!I63-'Linear Curves'!I$8)/('Linear Curves'!I$10),('Sigmoid Curves'!I63-'Sigmoid Curves'!I$8)/('Sigmoid Curves'!I$10))))</f>
        <v>48000000</v>
      </c>
      <c r="P69" s="12">
        <f ca="1">TotalSupply*P$6*MAX(0,MIN(1,IF(P$11="Linear",('Linear Curves'!I63-'Linear Curves'!I$8)/('Linear Curves'!I$10),('Sigmoid Curves'!I63-'Sigmoid Curves'!I$8)/('Sigmoid Curves'!I$10))))</f>
        <v>400000000</v>
      </c>
      <c r="Q69" s="12">
        <f ca="1">TotalSupply*Q$6*MAX(0,MIN(1,IF(Q$11="Linear",('Linear Curves'!J63-'Linear Curves'!J$8)/('Linear Curves'!J$10),('Sigmoid Curves'!J63-'Sigmoid Curves'!J$8)/('Sigmoid Curves'!J$10))))</f>
        <v>20000000</v>
      </c>
      <c r="R69" s="12">
        <f ca="1">TotalSupply*R$6*MAX(0,MIN(1,IF(R$11="Linear",('Linear Curves'!K63-'Linear Curves'!K$8)/('Linear Curves'!K$10),('Sigmoid Curves'!K63-'Sigmoid Curves'!K$8)/('Sigmoid Curves'!K$10))))</f>
        <v>28800000</v>
      </c>
      <c r="S69" s="12">
        <f ca="1">TotalSupply*S$6*MAX(0,MIN(1,IF(S$11="Linear",('Linear Curves'!L63-'Linear Curves'!L$8)/('Linear Curves'!L$10),('Sigmoid Curves'!L63-'Sigmoid Curves'!L$8)/('Sigmoid Curves'!L$10))))</f>
        <v>3200000</v>
      </c>
      <c r="T69" s="11"/>
      <c r="U69" s="11"/>
      <c r="V69" s="11"/>
      <c r="W69" s="11"/>
      <c r="X69" s="11"/>
      <c r="Y69" s="11"/>
      <c r="Z69" s="11"/>
      <c r="AA69" s="11"/>
      <c r="AB69" s="11"/>
      <c r="AC69" s="11"/>
      <c r="AD69" s="11"/>
      <c r="AE69" s="11"/>
      <c r="AF69" s="11"/>
      <c r="AG69" s="11"/>
    </row>
    <row r="70" customHeight="1" spans="1:33">
      <c r="A70" s="2">
        <v>51</v>
      </c>
      <c r="B70" s="3">
        <f ca="1">MIN(1,((1-G$19)/(MATCH(100%,G$19:G1054,0)-1)*A70)+G$19)</f>
        <v>1</v>
      </c>
      <c r="C70" s="3">
        <f ca="1" t="shared" si="4"/>
        <v>0</v>
      </c>
      <c r="D70" s="3">
        <f ca="1" t="shared" si="5"/>
        <v>0</v>
      </c>
      <c r="E70" s="3">
        <f ca="1" t="shared" si="6"/>
        <v>0</v>
      </c>
      <c r="F70" s="3">
        <f ca="1" t="shared" si="7"/>
        <v>0</v>
      </c>
      <c r="G70" s="3">
        <f ca="1">H70/TotalSupply</f>
        <v>1</v>
      </c>
      <c r="H70" s="11">
        <f ca="1" t="shared" si="3"/>
        <v>800000000</v>
      </c>
      <c r="I70" s="12">
        <f ca="1">TotalSupply*I$6*MAX(0,MIN(1,IF(I$11="Linear",('Linear Curves'!B64-'Linear Curves'!B$8)/('Linear Curves'!B$10),('Sigmoid Curves'!B64-'Sigmoid Curves'!B$8)/('Sigmoid Curves'!B$10))))</f>
        <v>104000000</v>
      </c>
      <c r="J70" s="12">
        <f ca="1">TotalSupply*J$6*MAX(0,MIN(1,IF(J$11="Linear",('Linear Curves'!C64-'Linear Curves'!C$8)/('Linear Curves'!C$10),('Sigmoid Curves'!C64-'Sigmoid Curves'!C$8)/('Sigmoid Curves'!C$10))))</f>
        <v>92000000</v>
      </c>
      <c r="K70" s="12">
        <f ca="1">TotalSupply*K$6*MAX(0,MIN(1,IF(K$11="Linear",('Linear Curves'!D64-'Linear Curves'!D$8)/('Linear Curves'!D$10),('Sigmoid Curves'!D64-'Sigmoid Curves'!D$8)/('Sigmoid Curves'!D$10))))</f>
        <v>32000000</v>
      </c>
      <c r="L70" s="12">
        <f ca="1">TotalSupply*L$6*MAX(0,MIN(1,IF(L$11="Linear",('Linear Curves'!F64-'Linear Curves'!F$8)/('Linear Curves'!F$10),('Sigmoid Curves'!F64-'Sigmoid Curves'!F$8)/('Sigmoid Curves'!F$10))))</f>
        <v>12000000</v>
      </c>
      <c r="M70" s="12">
        <f ca="1">TotalSupply*M$6*MAX(0,MIN(1,IF(M$11="Linear",('Linear Curves'!G64-'Linear Curves'!G$8)/('Linear Curves'!G$10),('Sigmoid Curves'!G64-'Sigmoid Curves'!G$8)/('Sigmoid Curves'!G$10))))</f>
        <v>4000000</v>
      </c>
      <c r="N70" s="12">
        <f ca="1">TotalSupply*N$6*MAX(0,MIN(1,IF(N$11="Linear",('Linear Curves'!H64-'Linear Curves'!H$8)/('Linear Curves'!H$10),('Sigmoid Curves'!H64-'Sigmoid Curves'!H$8)/('Sigmoid Curves'!H$10))))</f>
        <v>56000000</v>
      </c>
      <c r="O70" s="12">
        <f ca="1">TotalSupply*O$6*MAX(0,MIN(1,IF(O$11="Linear",('Linear Curves'!I64-'Linear Curves'!I$8)/('Linear Curves'!I$10),('Sigmoid Curves'!I64-'Sigmoid Curves'!I$8)/('Sigmoid Curves'!I$10))))</f>
        <v>48000000</v>
      </c>
      <c r="P70" s="12">
        <f ca="1">TotalSupply*P$6*MAX(0,MIN(1,IF(P$11="Linear",('Linear Curves'!I64-'Linear Curves'!I$8)/('Linear Curves'!I$10),('Sigmoid Curves'!I64-'Sigmoid Curves'!I$8)/('Sigmoid Curves'!I$10))))</f>
        <v>400000000</v>
      </c>
      <c r="Q70" s="12">
        <f ca="1">TotalSupply*Q$6*MAX(0,MIN(1,IF(Q$11="Linear",('Linear Curves'!J64-'Linear Curves'!J$8)/('Linear Curves'!J$10),('Sigmoid Curves'!J64-'Sigmoid Curves'!J$8)/('Sigmoid Curves'!J$10))))</f>
        <v>20000000</v>
      </c>
      <c r="R70" s="12">
        <f ca="1">TotalSupply*R$6*MAX(0,MIN(1,IF(R$11="Linear",('Linear Curves'!K64-'Linear Curves'!K$8)/('Linear Curves'!K$10),('Sigmoid Curves'!K64-'Sigmoid Curves'!K$8)/('Sigmoid Curves'!K$10))))</f>
        <v>28800000</v>
      </c>
      <c r="S70" s="12">
        <f ca="1">TotalSupply*S$6*MAX(0,MIN(1,IF(S$11="Linear",('Linear Curves'!L64-'Linear Curves'!L$8)/('Linear Curves'!L$10),('Sigmoid Curves'!L64-'Sigmoid Curves'!L$8)/('Sigmoid Curves'!L$10))))</f>
        <v>3200000</v>
      </c>
      <c r="T70" s="11"/>
      <c r="U70" s="11"/>
      <c r="V70" s="11"/>
      <c r="W70" s="11"/>
      <c r="X70" s="11"/>
      <c r="Y70" s="11"/>
      <c r="Z70" s="11"/>
      <c r="AA70" s="11"/>
      <c r="AB70" s="11"/>
      <c r="AC70" s="11"/>
      <c r="AD70" s="11"/>
      <c r="AE70" s="11"/>
      <c r="AF70" s="11"/>
      <c r="AG70" s="11"/>
    </row>
    <row r="71" customHeight="1" spans="1:33">
      <c r="A71" s="2">
        <v>52</v>
      </c>
      <c r="B71" s="3">
        <f ca="1">MIN(1,((1-G$19)/(MATCH(100%,G$19:G1055,0)-1)*A71)+G$19)</f>
        <v>1</v>
      </c>
      <c r="C71" s="3">
        <f ca="1" t="shared" si="4"/>
        <v>0</v>
      </c>
      <c r="D71" s="3">
        <f ca="1" t="shared" si="5"/>
        <v>0</v>
      </c>
      <c r="E71" s="3">
        <f ca="1" t="shared" si="6"/>
        <v>0</v>
      </c>
      <c r="F71" s="3">
        <f ca="1" t="shared" si="7"/>
        <v>0</v>
      </c>
      <c r="G71" s="3">
        <f ca="1">H71/TotalSupply</f>
        <v>1</v>
      </c>
      <c r="H71" s="11">
        <f ca="1" t="shared" si="3"/>
        <v>800000000</v>
      </c>
      <c r="I71" s="12">
        <f ca="1">TotalSupply*I$6*MAX(0,MIN(1,IF(I$11="Linear",('Linear Curves'!B65-'Linear Curves'!B$8)/('Linear Curves'!B$10),('Sigmoid Curves'!B65-'Sigmoid Curves'!B$8)/('Sigmoid Curves'!B$10))))</f>
        <v>104000000</v>
      </c>
      <c r="J71" s="12">
        <f ca="1">TotalSupply*J$6*MAX(0,MIN(1,IF(J$11="Linear",('Linear Curves'!C65-'Linear Curves'!C$8)/('Linear Curves'!C$10),('Sigmoid Curves'!C65-'Sigmoid Curves'!C$8)/('Sigmoid Curves'!C$10))))</f>
        <v>92000000</v>
      </c>
      <c r="K71" s="12">
        <f ca="1">TotalSupply*K$6*MAX(0,MIN(1,IF(K$11="Linear",('Linear Curves'!D65-'Linear Curves'!D$8)/('Linear Curves'!D$10),('Sigmoid Curves'!D65-'Sigmoid Curves'!D$8)/('Sigmoid Curves'!D$10))))</f>
        <v>32000000</v>
      </c>
      <c r="L71" s="12">
        <f ca="1">TotalSupply*L$6*MAX(0,MIN(1,IF(L$11="Linear",('Linear Curves'!F65-'Linear Curves'!F$8)/('Linear Curves'!F$10),('Sigmoid Curves'!F65-'Sigmoid Curves'!F$8)/('Sigmoid Curves'!F$10))))</f>
        <v>12000000</v>
      </c>
      <c r="M71" s="12">
        <f ca="1">TotalSupply*M$6*MAX(0,MIN(1,IF(M$11="Linear",('Linear Curves'!G65-'Linear Curves'!G$8)/('Linear Curves'!G$10),('Sigmoid Curves'!G65-'Sigmoid Curves'!G$8)/('Sigmoid Curves'!G$10))))</f>
        <v>4000000</v>
      </c>
      <c r="N71" s="12">
        <f ca="1">TotalSupply*N$6*MAX(0,MIN(1,IF(N$11="Linear",('Linear Curves'!H65-'Linear Curves'!H$8)/('Linear Curves'!H$10),('Sigmoid Curves'!H65-'Sigmoid Curves'!H$8)/('Sigmoid Curves'!H$10))))</f>
        <v>56000000</v>
      </c>
      <c r="O71" s="12">
        <f ca="1">TotalSupply*O$6*MAX(0,MIN(1,IF(O$11="Linear",('Linear Curves'!I65-'Linear Curves'!I$8)/('Linear Curves'!I$10),('Sigmoid Curves'!I65-'Sigmoid Curves'!I$8)/('Sigmoid Curves'!I$10))))</f>
        <v>48000000</v>
      </c>
      <c r="P71" s="12">
        <f ca="1">TotalSupply*P$6*MAX(0,MIN(1,IF(P$11="Linear",('Linear Curves'!I65-'Linear Curves'!I$8)/('Linear Curves'!I$10),('Sigmoid Curves'!I65-'Sigmoid Curves'!I$8)/('Sigmoid Curves'!I$10))))</f>
        <v>400000000</v>
      </c>
      <c r="Q71" s="12">
        <f ca="1">TotalSupply*Q$6*MAX(0,MIN(1,IF(Q$11="Linear",('Linear Curves'!J65-'Linear Curves'!J$8)/('Linear Curves'!J$10),('Sigmoid Curves'!J65-'Sigmoid Curves'!J$8)/('Sigmoid Curves'!J$10))))</f>
        <v>20000000</v>
      </c>
      <c r="R71" s="12">
        <f ca="1">TotalSupply*R$6*MAX(0,MIN(1,IF(R$11="Linear",('Linear Curves'!K65-'Linear Curves'!K$8)/('Linear Curves'!K$10),('Sigmoid Curves'!K65-'Sigmoid Curves'!K$8)/('Sigmoid Curves'!K$10))))</f>
        <v>28800000</v>
      </c>
      <c r="S71" s="12">
        <f ca="1">TotalSupply*S$6*MAX(0,MIN(1,IF(S$11="Linear",('Linear Curves'!L65-'Linear Curves'!L$8)/('Linear Curves'!L$10),('Sigmoid Curves'!L65-'Sigmoid Curves'!L$8)/('Sigmoid Curves'!L$10))))</f>
        <v>3200000</v>
      </c>
      <c r="T71" s="11"/>
      <c r="U71" s="11"/>
      <c r="V71" s="11"/>
      <c r="W71" s="11"/>
      <c r="X71" s="11"/>
      <c r="Y71" s="11"/>
      <c r="Z71" s="11"/>
      <c r="AA71" s="11"/>
      <c r="AB71" s="11"/>
      <c r="AC71" s="11"/>
      <c r="AD71" s="11"/>
      <c r="AE71" s="11"/>
      <c r="AF71" s="11"/>
      <c r="AG71" s="11"/>
    </row>
    <row r="72" customHeight="1" spans="1:33">
      <c r="A72" s="2">
        <v>53</v>
      </c>
      <c r="B72" s="3">
        <f ca="1">MIN(1,((1-G$19)/(MATCH(100%,G$19:G1056,0)-1)*A72)+G$19)</f>
        <v>1</v>
      </c>
      <c r="C72" s="3">
        <f ca="1" t="shared" si="4"/>
        <v>0</v>
      </c>
      <c r="D72" s="3">
        <f ca="1" t="shared" si="5"/>
        <v>0</v>
      </c>
      <c r="E72" s="3">
        <f ca="1" t="shared" si="6"/>
        <v>0</v>
      </c>
      <c r="F72" s="3">
        <f ca="1" t="shared" si="7"/>
        <v>0</v>
      </c>
      <c r="G72" s="3">
        <f ca="1">H72/TotalSupply</f>
        <v>1</v>
      </c>
      <c r="H72" s="11">
        <f ca="1" t="shared" si="3"/>
        <v>800000000</v>
      </c>
      <c r="I72" s="12">
        <f ca="1">TotalSupply*I$6*MAX(0,MIN(1,IF(I$11="Linear",('Linear Curves'!B66-'Linear Curves'!B$8)/('Linear Curves'!B$10),('Sigmoid Curves'!B66-'Sigmoid Curves'!B$8)/('Sigmoid Curves'!B$10))))</f>
        <v>104000000</v>
      </c>
      <c r="J72" s="12">
        <f ca="1">TotalSupply*J$6*MAX(0,MIN(1,IF(J$11="Linear",('Linear Curves'!C66-'Linear Curves'!C$8)/('Linear Curves'!C$10),('Sigmoid Curves'!C66-'Sigmoid Curves'!C$8)/('Sigmoid Curves'!C$10))))</f>
        <v>92000000</v>
      </c>
      <c r="K72" s="12">
        <f ca="1">TotalSupply*K$6*MAX(0,MIN(1,IF(K$11="Linear",('Linear Curves'!D66-'Linear Curves'!D$8)/('Linear Curves'!D$10),('Sigmoid Curves'!D66-'Sigmoid Curves'!D$8)/('Sigmoid Curves'!D$10))))</f>
        <v>32000000</v>
      </c>
      <c r="L72" s="12">
        <f ca="1">TotalSupply*L$6*MAX(0,MIN(1,IF(L$11="Linear",('Linear Curves'!F66-'Linear Curves'!F$8)/('Linear Curves'!F$10),('Sigmoid Curves'!F66-'Sigmoid Curves'!F$8)/('Sigmoid Curves'!F$10))))</f>
        <v>12000000</v>
      </c>
      <c r="M72" s="12">
        <f ca="1">TotalSupply*M$6*MAX(0,MIN(1,IF(M$11="Linear",('Linear Curves'!G66-'Linear Curves'!G$8)/('Linear Curves'!G$10),('Sigmoid Curves'!G66-'Sigmoid Curves'!G$8)/('Sigmoid Curves'!G$10))))</f>
        <v>4000000</v>
      </c>
      <c r="N72" s="12">
        <f ca="1">TotalSupply*N$6*MAX(0,MIN(1,IF(N$11="Linear",('Linear Curves'!H66-'Linear Curves'!H$8)/('Linear Curves'!H$10),('Sigmoid Curves'!H66-'Sigmoid Curves'!H$8)/('Sigmoid Curves'!H$10))))</f>
        <v>56000000</v>
      </c>
      <c r="O72" s="12">
        <f ca="1">TotalSupply*O$6*MAX(0,MIN(1,IF(O$11="Linear",('Linear Curves'!I66-'Linear Curves'!I$8)/('Linear Curves'!I$10),('Sigmoid Curves'!I66-'Sigmoid Curves'!I$8)/('Sigmoid Curves'!I$10))))</f>
        <v>48000000</v>
      </c>
      <c r="P72" s="12">
        <f ca="1">TotalSupply*P$6*MAX(0,MIN(1,IF(P$11="Linear",('Linear Curves'!I66-'Linear Curves'!I$8)/('Linear Curves'!I$10),('Sigmoid Curves'!I66-'Sigmoid Curves'!I$8)/('Sigmoid Curves'!I$10))))</f>
        <v>400000000</v>
      </c>
      <c r="Q72" s="12">
        <f ca="1">TotalSupply*Q$6*MAX(0,MIN(1,IF(Q$11="Linear",('Linear Curves'!J66-'Linear Curves'!J$8)/('Linear Curves'!J$10),('Sigmoid Curves'!J66-'Sigmoid Curves'!J$8)/('Sigmoid Curves'!J$10))))</f>
        <v>20000000</v>
      </c>
      <c r="R72" s="12">
        <f ca="1">TotalSupply*R$6*MAX(0,MIN(1,IF(R$11="Linear",('Linear Curves'!K66-'Linear Curves'!K$8)/('Linear Curves'!K$10),('Sigmoid Curves'!K66-'Sigmoid Curves'!K$8)/('Sigmoid Curves'!K$10))))</f>
        <v>28800000</v>
      </c>
      <c r="S72" s="12">
        <f ca="1">TotalSupply*S$6*MAX(0,MIN(1,IF(S$11="Linear",('Linear Curves'!L66-'Linear Curves'!L$8)/('Linear Curves'!L$10),('Sigmoid Curves'!L66-'Sigmoid Curves'!L$8)/('Sigmoid Curves'!L$10))))</f>
        <v>3200000</v>
      </c>
      <c r="T72" s="11"/>
      <c r="U72" s="11"/>
      <c r="V72" s="11"/>
      <c r="W72" s="11"/>
      <c r="X72" s="11"/>
      <c r="Y72" s="11"/>
      <c r="Z72" s="11"/>
      <c r="AA72" s="11"/>
      <c r="AB72" s="11"/>
      <c r="AC72" s="11"/>
      <c r="AD72" s="11"/>
      <c r="AE72" s="11"/>
      <c r="AF72" s="11"/>
      <c r="AG72" s="11"/>
    </row>
    <row r="73" customHeight="1" spans="1:33">
      <c r="A73" s="2">
        <v>54</v>
      </c>
      <c r="B73" s="3">
        <f ca="1">MIN(1,((1-G$19)/(MATCH(100%,G$19:G1057,0)-1)*A73)+G$19)</f>
        <v>1</v>
      </c>
      <c r="C73" s="3">
        <f ca="1" t="shared" si="4"/>
        <v>0</v>
      </c>
      <c r="D73" s="3">
        <f ca="1" t="shared" si="5"/>
        <v>0</v>
      </c>
      <c r="E73" s="3">
        <f ca="1" t="shared" si="6"/>
        <v>0</v>
      </c>
      <c r="F73" s="3">
        <f ca="1" t="shared" si="7"/>
        <v>0</v>
      </c>
      <c r="G73" s="3">
        <f ca="1">H73/TotalSupply</f>
        <v>1</v>
      </c>
      <c r="H73" s="11">
        <f ca="1" t="shared" si="3"/>
        <v>800000000</v>
      </c>
      <c r="I73" s="12">
        <f ca="1">TotalSupply*I$6*MAX(0,MIN(1,IF(I$11="Linear",('Linear Curves'!B67-'Linear Curves'!B$8)/('Linear Curves'!B$10),('Sigmoid Curves'!B67-'Sigmoid Curves'!B$8)/('Sigmoid Curves'!B$10))))</f>
        <v>104000000</v>
      </c>
      <c r="J73" s="12">
        <f ca="1">TotalSupply*J$6*MAX(0,MIN(1,IF(J$11="Linear",('Linear Curves'!C67-'Linear Curves'!C$8)/('Linear Curves'!C$10),('Sigmoid Curves'!C67-'Sigmoid Curves'!C$8)/('Sigmoid Curves'!C$10))))</f>
        <v>92000000</v>
      </c>
      <c r="K73" s="12">
        <f ca="1">TotalSupply*K$6*MAX(0,MIN(1,IF(K$11="Linear",('Linear Curves'!D67-'Linear Curves'!D$8)/('Linear Curves'!D$10),('Sigmoid Curves'!D67-'Sigmoid Curves'!D$8)/('Sigmoid Curves'!D$10))))</f>
        <v>32000000</v>
      </c>
      <c r="L73" s="12">
        <f ca="1">TotalSupply*L$6*MAX(0,MIN(1,IF(L$11="Linear",('Linear Curves'!F67-'Linear Curves'!F$8)/('Linear Curves'!F$10),('Sigmoid Curves'!F67-'Sigmoid Curves'!F$8)/('Sigmoid Curves'!F$10))))</f>
        <v>12000000</v>
      </c>
      <c r="M73" s="12">
        <f ca="1">TotalSupply*M$6*MAX(0,MIN(1,IF(M$11="Linear",('Linear Curves'!G67-'Linear Curves'!G$8)/('Linear Curves'!G$10),('Sigmoid Curves'!G67-'Sigmoid Curves'!G$8)/('Sigmoid Curves'!G$10))))</f>
        <v>4000000</v>
      </c>
      <c r="N73" s="12">
        <f ca="1">TotalSupply*N$6*MAX(0,MIN(1,IF(N$11="Linear",('Linear Curves'!H67-'Linear Curves'!H$8)/('Linear Curves'!H$10),('Sigmoid Curves'!H67-'Sigmoid Curves'!H$8)/('Sigmoid Curves'!H$10))))</f>
        <v>56000000</v>
      </c>
      <c r="O73" s="12">
        <f ca="1">TotalSupply*O$6*MAX(0,MIN(1,IF(O$11="Linear",('Linear Curves'!I67-'Linear Curves'!I$8)/('Linear Curves'!I$10),('Sigmoid Curves'!I67-'Sigmoid Curves'!I$8)/('Sigmoid Curves'!I$10))))</f>
        <v>48000000</v>
      </c>
      <c r="P73" s="12">
        <f ca="1">TotalSupply*P$6*MAX(0,MIN(1,IF(P$11="Linear",('Linear Curves'!I67-'Linear Curves'!I$8)/('Linear Curves'!I$10),('Sigmoid Curves'!I67-'Sigmoid Curves'!I$8)/('Sigmoid Curves'!I$10))))</f>
        <v>400000000</v>
      </c>
      <c r="Q73" s="12">
        <f ca="1">TotalSupply*Q$6*MAX(0,MIN(1,IF(Q$11="Linear",('Linear Curves'!J67-'Linear Curves'!J$8)/('Linear Curves'!J$10),('Sigmoid Curves'!J67-'Sigmoid Curves'!J$8)/('Sigmoid Curves'!J$10))))</f>
        <v>20000000</v>
      </c>
      <c r="R73" s="12">
        <f ca="1">TotalSupply*R$6*MAX(0,MIN(1,IF(R$11="Linear",('Linear Curves'!K67-'Linear Curves'!K$8)/('Linear Curves'!K$10),('Sigmoid Curves'!K67-'Sigmoid Curves'!K$8)/('Sigmoid Curves'!K$10))))</f>
        <v>28800000</v>
      </c>
      <c r="S73" s="12">
        <f ca="1">TotalSupply*S$6*MAX(0,MIN(1,IF(S$11="Linear",('Linear Curves'!L67-'Linear Curves'!L$8)/('Linear Curves'!L$10),('Sigmoid Curves'!L67-'Sigmoid Curves'!L$8)/('Sigmoid Curves'!L$10))))</f>
        <v>3200000</v>
      </c>
      <c r="T73" s="11"/>
      <c r="U73" s="11"/>
      <c r="V73" s="11"/>
      <c r="W73" s="11"/>
      <c r="X73" s="11"/>
      <c r="Y73" s="11"/>
      <c r="Z73" s="11"/>
      <c r="AA73" s="11"/>
      <c r="AB73" s="11"/>
      <c r="AC73" s="11"/>
      <c r="AD73" s="11"/>
      <c r="AE73" s="11"/>
      <c r="AF73" s="11"/>
      <c r="AG73" s="11"/>
    </row>
    <row r="74" customHeight="1" spans="1:33">
      <c r="A74" s="2">
        <v>55</v>
      </c>
      <c r="B74" s="3">
        <f ca="1">MIN(1,((1-G$19)/(MATCH(100%,G$19:G1058,0)-1)*A74)+G$19)</f>
        <v>1</v>
      </c>
      <c r="C74" s="3">
        <f ca="1" t="shared" si="4"/>
        <v>0</v>
      </c>
      <c r="D74" s="3">
        <f ca="1" t="shared" si="5"/>
        <v>0</v>
      </c>
      <c r="E74" s="3">
        <f ca="1" t="shared" si="6"/>
        <v>0</v>
      </c>
      <c r="F74" s="3">
        <f ca="1" t="shared" si="7"/>
        <v>0</v>
      </c>
      <c r="G74" s="3">
        <f ca="1">H74/TotalSupply</f>
        <v>1</v>
      </c>
      <c r="H74" s="11">
        <f ca="1" t="shared" si="3"/>
        <v>800000000</v>
      </c>
      <c r="I74" s="12">
        <f ca="1">TotalSupply*I$6*MAX(0,MIN(1,IF(I$11="Linear",('Linear Curves'!B68-'Linear Curves'!B$8)/('Linear Curves'!B$10),('Sigmoid Curves'!B68-'Sigmoid Curves'!B$8)/('Sigmoid Curves'!B$10))))</f>
        <v>104000000</v>
      </c>
      <c r="J74" s="12">
        <f ca="1">TotalSupply*J$6*MAX(0,MIN(1,IF(J$11="Linear",('Linear Curves'!C68-'Linear Curves'!C$8)/('Linear Curves'!C$10),('Sigmoid Curves'!C68-'Sigmoid Curves'!C$8)/('Sigmoid Curves'!C$10))))</f>
        <v>92000000</v>
      </c>
      <c r="K74" s="12">
        <f ca="1">TotalSupply*K$6*MAX(0,MIN(1,IF(K$11="Linear",('Linear Curves'!D68-'Linear Curves'!D$8)/('Linear Curves'!D$10),('Sigmoid Curves'!D68-'Sigmoid Curves'!D$8)/('Sigmoid Curves'!D$10))))</f>
        <v>32000000</v>
      </c>
      <c r="L74" s="12">
        <f ca="1">TotalSupply*L$6*MAX(0,MIN(1,IF(L$11="Linear",('Linear Curves'!F68-'Linear Curves'!F$8)/('Linear Curves'!F$10),('Sigmoid Curves'!F68-'Sigmoid Curves'!F$8)/('Sigmoid Curves'!F$10))))</f>
        <v>12000000</v>
      </c>
      <c r="M74" s="12">
        <f ca="1">TotalSupply*M$6*MAX(0,MIN(1,IF(M$11="Linear",('Linear Curves'!G68-'Linear Curves'!G$8)/('Linear Curves'!G$10),('Sigmoid Curves'!G68-'Sigmoid Curves'!G$8)/('Sigmoid Curves'!G$10))))</f>
        <v>4000000</v>
      </c>
      <c r="N74" s="12">
        <f ca="1">TotalSupply*N$6*MAX(0,MIN(1,IF(N$11="Linear",('Linear Curves'!H68-'Linear Curves'!H$8)/('Linear Curves'!H$10),('Sigmoid Curves'!H68-'Sigmoid Curves'!H$8)/('Sigmoid Curves'!H$10))))</f>
        <v>56000000</v>
      </c>
      <c r="O74" s="12">
        <f ca="1">TotalSupply*O$6*MAX(0,MIN(1,IF(O$11="Linear",('Linear Curves'!I68-'Linear Curves'!I$8)/('Linear Curves'!I$10),('Sigmoid Curves'!I68-'Sigmoid Curves'!I$8)/('Sigmoid Curves'!I$10))))</f>
        <v>48000000</v>
      </c>
      <c r="P74" s="12">
        <f ca="1">TotalSupply*P$6*MAX(0,MIN(1,IF(P$11="Linear",('Linear Curves'!I68-'Linear Curves'!I$8)/('Linear Curves'!I$10),('Sigmoid Curves'!I68-'Sigmoid Curves'!I$8)/('Sigmoid Curves'!I$10))))</f>
        <v>400000000</v>
      </c>
      <c r="Q74" s="12">
        <f ca="1">TotalSupply*Q$6*MAX(0,MIN(1,IF(Q$11="Linear",('Linear Curves'!J68-'Linear Curves'!J$8)/('Linear Curves'!J$10),('Sigmoid Curves'!J68-'Sigmoid Curves'!J$8)/('Sigmoid Curves'!J$10))))</f>
        <v>20000000</v>
      </c>
      <c r="R74" s="12">
        <f ca="1">TotalSupply*R$6*MAX(0,MIN(1,IF(R$11="Linear",('Linear Curves'!K68-'Linear Curves'!K$8)/('Linear Curves'!K$10),('Sigmoid Curves'!K68-'Sigmoid Curves'!K$8)/('Sigmoid Curves'!K$10))))</f>
        <v>28800000</v>
      </c>
      <c r="S74" s="12">
        <f ca="1">TotalSupply*S$6*MAX(0,MIN(1,IF(S$11="Linear",('Linear Curves'!L68-'Linear Curves'!L$8)/('Linear Curves'!L$10),('Sigmoid Curves'!L68-'Sigmoid Curves'!L$8)/('Sigmoid Curves'!L$10))))</f>
        <v>3200000</v>
      </c>
      <c r="T74" s="11"/>
      <c r="U74" s="11"/>
      <c r="V74" s="11"/>
      <c r="W74" s="11"/>
      <c r="X74" s="11"/>
      <c r="Y74" s="11"/>
      <c r="Z74" s="11"/>
      <c r="AA74" s="11"/>
      <c r="AB74" s="11"/>
      <c r="AC74" s="11"/>
      <c r="AD74" s="11"/>
      <c r="AE74" s="11"/>
      <c r="AF74" s="11"/>
      <c r="AG74" s="11"/>
    </row>
    <row r="75" customHeight="1" spans="1:33">
      <c r="A75" s="2">
        <v>56</v>
      </c>
      <c r="B75" s="3">
        <f ca="1">MIN(1,((1-G$19)/(MATCH(100%,G$19:G1059,0)-1)*A75)+G$19)</f>
        <v>1</v>
      </c>
      <c r="C75" s="3">
        <f ca="1" t="shared" si="4"/>
        <v>0</v>
      </c>
      <c r="D75" s="3">
        <f ca="1" t="shared" si="5"/>
        <v>0</v>
      </c>
      <c r="E75" s="3">
        <f ca="1" t="shared" si="6"/>
        <v>0</v>
      </c>
      <c r="F75" s="3">
        <f ca="1" t="shared" si="7"/>
        <v>0</v>
      </c>
      <c r="G75" s="3">
        <f ca="1">H75/TotalSupply</f>
        <v>1</v>
      </c>
      <c r="H75" s="11">
        <f ca="1" t="shared" si="3"/>
        <v>800000000</v>
      </c>
      <c r="I75" s="12">
        <f ca="1">TotalSupply*I$6*MAX(0,MIN(1,IF(I$11="Linear",('Linear Curves'!B69-'Linear Curves'!B$8)/('Linear Curves'!B$10),('Sigmoid Curves'!B69-'Sigmoid Curves'!B$8)/('Sigmoid Curves'!B$10))))</f>
        <v>104000000</v>
      </c>
      <c r="J75" s="12">
        <f ca="1">TotalSupply*J$6*MAX(0,MIN(1,IF(J$11="Linear",('Linear Curves'!C69-'Linear Curves'!C$8)/('Linear Curves'!C$10),('Sigmoid Curves'!C69-'Sigmoid Curves'!C$8)/('Sigmoid Curves'!C$10))))</f>
        <v>92000000</v>
      </c>
      <c r="K75" s="12">
        <f ca="1">TotalSupply*K$6*MAX(0,MIN(1,IF(K$11="Linear",('Linear Curves'!D69-'Linear Curves'!D$8)/('Linear Curves'!D$10),('Sigmoid Curves'!D69-'Sigmoid Curves'!D$8)/('Sigmoid Curves'!D$10))))</f>
        <v>32000000</v>
      </c>
      <c r="L75" s="12">
        <f ca="1">TotalSupply*L$6*MAX(0,MIN(1,IF(L$11="Linear",('Linear Curves'!F69-'Linear Curves'!F$8)/('Linear Curves'!F$10),('Sigmoid Curves'!F69-'Sigmoid Curves'!F$8)/('Sigmoid Curves'!F$10))))</f>
        <v>12000000</v>
      </c>
      <c r="M75" s="12">
        <f ca="1">TotalSupply*M$6*MAX(0,MIN(1,IF(M$11="Linear",('Linear Curves'!G69-'Linear Curves'!G$8)/('Linear Curves'!G$10),('Sigmoid Curves'!G69-'Sigmoid Curves'!G$8)/('Sigmoid Curves'!G$10))))</f>
        <v>4000000</v>
      </c>
      <c r="N75" s="12">
        <f ca="1">TotalSupply*N$6*MAX(0,MIN(1,IF(N$11="Linear",('Linear Curves'!H69-'Linear Curves'!H$8)/('Linear Curves'!H$10),('Sigmoid Curves'!H69-'Sigmoid Curves'!H$8)/('Sigmoid Curves'!H$10))))</f>
        <v>56000000</v>
      </c>
      <c r="O75" s="12">
        <f ca="1">TotalSupply*O$6*MAX(0,MIN(1,IF(O$11="Linear",('Linear Curves'!I69-'Linear Curves'!I$8)/('Linear Curves'!I$10),('Sigmoid Curves'!I69-'Sigmoid Curves'!I$8)/('Sigmoid Curves'!I$10))))</f>
        <v>48000000</v>
      </c>
      <c r="P75" s="12">
        <f ca="1">TotalSupply*P$6*MAX(0,MIN(1,IF(P$11="Linear",('Linear Curves'!I69-'Linear Curves'!I$8)/('Linear Curves'!I$10),('Sigmoid Curves'!I69-'Sigmoid Curves'!I$8)/('Sigmoid Curves'!I$10))))</f>
        <v>400000000</v>
      </c>
      <c r="Q75" s="12">
        <f ca="1">TotalSupply*Q$6*MAX(0,MIN(1,IF(Q$11="Linear",('Linear Curves'!J69-'Linear Curves'!J$8)/('Linear Curves'!J$10),('Sigmoid Curves'!J69-'Sigmoid Curves'!J$8)/('Sigmoid Curves'!J$10))))</f>
        <v>20000000</v>
      </c>
      <c r="R75" s="12">
        <f ca="1">TotalSupply*R$6*MAX(0,MIN(1,IF(R$11="Linear",('Linear Curves'!K69-'Linear Curves'!K$8)/('Linear Curves'!K$10),('Sigmoid Curves'!K69-'Sigmoid Curves'!K$8)/('Sigmoid Curves'!K$10))))</f>
        <v>28800000</v>
      </c>
      <c r="S75" s="12">
        <f ca="1">TotalSupply*S$6*MAX(0,MIN(1,IF(S$11="Linear",('Linear Curves'!L69-'Linear Curves'!L$8)/('Linear Curves'!L$10),('Sigmoid Curves'!L69-'Sigmoid Curves'!L$8)/('Sigmoid Curves'!L$10))))</f>
        <v>3200000</v>
      </c>
      <c r="T75" s="11"/>
      <c r="U75" s="11"/>
      <c r="V75" s="11"/>
      <c r="W75" s="11"/>
      <c r="X75" s="11"/>
      <c r="Y75" s="11"/>
      <c r="Z75" s="11"/>
      <c r="AA75" s="11"/>
      <c r="AB75" s="11"/>
      <c r="AC75" s="11"/>
      <c r="AD75" s="11"/>
      <c r="AE75" s="11"/>
      <c r="AF75" s="11"/>
      <c r="AG75" s="11"/>
    </row>
    <row r="76" customHeight="1" spans="1:33">
      <c r="A76" s="2">
        <v>57</v>
      </c>
      <c r="B76" s="3">
        <f ca="1">MIN(1,((1-G$19)/(MATCH(100%,G$19:G1060,0)-1)*A76)+G$19)</f>
        <v>1</v>
      </c>
      <c r="C76" s="3">
        <f ca="1" t="shared" si="4"/>
        <v>0</v>
      </c>
      <c r="D76" s="3">
        <f ca="1" t="shared" si="5"/>
        <v>0</v>
      </c>
      <c r="E76" s="3">
        <f ca="1" t="shared" si="6"/>
        <v>0</v>
      </c>
      <c r="F76" s="3">
        <f ca="1" t="shared" si="7"/>
        <v>0</v>
      </c>
      <c r="G76" s="3">
        <f ca="1">H76/TotalSupply</f>
        <v>1</v>
      </c>
      <c r="H76" s="11">
        <f ca="1" t="shared" si="3"/>
        <v>800000000</v>
      </c>
      <c r="I76" s="12">
        <f ca="1">TotalSupply*I$6*MAX(0,MIN(1,IF(I$11="Linear",('Linear Curves'!B70-'Linear Curves'!B$8)/('Linear Curves'!B$10),('Sigmoid Curves'!B70-'Sigmoid Curves'!B$8)/('Sigmoid Curves'!B$10))))</f>
        <v>104000000</v>
      </c>
      <c r="J76" s="12">
        <f ca="1">TotalSupply*J$6*MAX(0,MIN(1,IF(J$11="Linear",('Linear Curves'!C70-'Linear Curves'!C$8)/('Linear Curves'!C$10),('Sigmoid Curves'!C70-'Sigmoid Curves'!C$8)/('Sigmoid Curves'!C$10))))</f>
        <v>92000000</v>
      </c>
      <c r="K76" s="12">
        <f ca="1">TotalSupply*K$6*MAX(0,MIN(1,IF(K$11="Linear",('Linear Curves'!D70-'Linear Curves'!D$8)/('Linear Curves'!D$10),('Sigmoid Curves'!D70-'Sigmoid Curves'!D$8)/('Sigmoid Curves'!D$10))))</f>
        <v>32000000</v>
      </c>
      <c r="L76" s="12">
        <f ca="1">TotalSupply*L$6*MAX(0,MIN(1,IF(L$11="Linear",('Linear Curves'!F70-'Linear Curves'!F$8)/('Linear Curves'!F$10),('Sigmoid Curves'!F70-'Sigmoid Curves'!F$8)/('Sigmoid Curves'!F$10))))</f>
        <v>12000000</v>
      </c>
      <c r="M76" s="12">
        <f ca="1">TotalSupply*M$6*MAX(0,MIN(1,IF(M$11="Linear",('Linear Curves'!G70-'Linear Curves'!G$8)/('Linear Curves'!G$10),('Sigmoid Curves'!G70-'Sigmoid Curves'!G$8)/('Sigmoid Curves'!G$10))))</f>
        <v>4000000</v>
      </c>
      <c r="N76" s="12">
        <f ca="1">TotalSupply*N$6*MAX(0,MIN(1,IF(N$11="Linear",('Linear Curves'!H70-'Linear Curves'!H$8)/('Linear Curves'!H$10),('Sigmoid Curves'!H70-'Sigmoid Curves'!H$8)/('Sigmoid Curves'!H$10))))</f>
        <v>56000000</v>
      </c>
      <c r="O76" s="12">
        <f ca="1">TotalSupply*O$6*MAX(0,MIN(1,IF(O$11="Linear",('Linear Curves'!I70-'Linear Curves'!I$8)/('Linear Curves'!I$10),('Sigmoid Curves'!I70-'Sigmoid Curves'!I$8)/('Sigmoid Curves'!I$10))))</f>
        <v>48000000</v>
      </c>
      <c r="P76" s="12">
        <f ca="1">TotalSupply*P$6*MAX(0,MIN(1,IF(P$11="Linear",('Linear Curves'!I70-'Linear Curves'!I$8)/('Linear Curves'!I$10),('Sigmoid Curves'!I70-'Sigmoid Curves'!I$8)/('Sigmoid Curves'!I$10))))</f>
        <v>400000000</v>
      </c>
      <c r="Q76" s="12">
        <f ca="1">TotalSupply*Q$6*MAX(0,MIN(1,IF(Q$11="Linear",('Linear Curves'!J70-'Linear Curves'!J$8)/('Linear Curves'!J$10),('Sigmoid Curves'!J70-'Sigmoid Curves'!J$8)/('Sigmoid Curves'!J$10))))</f>
        <v>20000000</v>
      </c>
      <c r="R76" s="12">
        <f ca="1">TotalSupply*R$6*MAX(0,MIN(1,IF(R$11="Linear",('Linear Curves'!K70-'Linear Curves'!K$8)/('Linear Curves'!K$10),('Sigmoid Curves'!K70-'Sigmoid Curves'!K$8)/('Sigmoid Curves'!K$10))))</f>
        <v>28800000</v>
      </c>
      <c r="S76" s="12">
        <f ca="1">TotalSupply*S$6*MAX(0,MIN(1,IF(S$11="Linear",('Linear Curves'!L70-'Linear Curves'!L$8)/('Linear Curves'!L$10),('Sigmoid Curves'!L70-'Sigmoid Curves'!L$8)/('Sigmoid Curves'!L$10))))</f>
        <v>3200000</v>
      </c>
      <c r="T76" s="11"/>
      <c r="U76" s="11"/>
      <c r="V76" s="11"/>
      <c r="W76" s="11"/>
      <c r="X76" s="11"/>
      <c r="Y76" s="11"/>
      <c r="Z76" s="11"/>
      <c r="AA76" s="11"/>
      <c r="AB76" s="11"/>
      <c r="AC76" s="11"/>
      <c r="AD76" s="11"/>
      <c r="AE76" s="11"/>
      <c r="AF76" s="11"/>
      <c r="AG76" s="11"/>
    </row>
    <row r="77" customHeight="1" spans="1:33">
      <c r="A77" s="2">
        <v>58</v>
      </c>
      <c r="B77" s="3">
        <f ca="1">MIN(1,((1-G$19)/(MATCH(100%,G$19:G1061,0)-1)*A77)+G$19)</f>
        <v>1</v>
      </c>
      <c r="C77" s="3">
        <f ca="1" t="shared" si="4"/>
        <v>0</v>
      </c>
      <c r="D77" s="3">
        <f ca="1" t="shared" si="5"/>
        <v>0</v>
      </c>
      <c r="E77" s="3">
        <f ca="1" t="shared" si="6"/>
        <v>0</v>
      </c>
      <c r="F77" s="3">
        <f ca="1" t="shared" si="7"/>
        <v>0</v>
      </c>
      <c r="G77" s="3">
        <f ca="1">H77/TotalSupply</f>
        <v>1</v>
      </c>
      <c r="H77" s="11">
        <f ca="1" t="shared" si="3"/>
        <v>800000000</v>
      </c>
      <c r="I77" s="12">
        <f ca="1">TotalSupply*I$6*MAX(0,MIN(1,IF(I$11="Linear",('Linear Curves'!B71-'Linear Curves'!B$8)/('Linear Curves'!B$10),('Sigmoid Curves'!B71-'Sigmoid Curves'!B$8)/('Sigmoid Curves'!B$10))))</f>
        <v>104000000</v>
      </c>
      <c r="J77" s="12">
        <f ca="1">TotalSupply*J$6*MAX(0,MIN(1,IF(J$11="Linear",('Linear Curves'!C71-'Linear Curves'!C$8)/('Linear Curves'!C$10),('Sigmoid Curves'!C71-'Sigmoid Curves'!C$8)/('Sigmoid Curves'!C$10))))</f>
        <v>92000000</v>
      </c>
      <c r="K77" s="12">
        <f ca="1">TotalSupply*K$6*MAX(0,MIN(1,IF(K$11="Linear",('Linear Curves'!D71-'Linear Curves'!D$8)/('Linear Curves'!D$10),('Sigmoid Curves'!D71-'Sigmoid Curves'!D$8)/('Sigmoid Curves'!D$10))))</f>
        <v>32000000</v>
      </c>
      <c r="L77" s="12">
        <f ca="1">TotalSupply*L$6*MAX(0,MIN(1,IF(L$11="Linear",('Linear Curves'!F71-'Linear Curves'!F$8)/('Linear Curves'!F$10),('Sigmoid Curves'!F71-'Sigmoid Curves'!F$8)/('Sigmoid Curves'!F$10))))</f>
        <v>12000000</v>
      </c>
      <c r="M77" s="12">
        <f ca="1">TotalSupply*M$6*MAX(0,MIN(1,IF(M$11="Linear",('Linear Curves'!G71-'Linear Curves'!G$8)/('Linear Curves'!G$10),('Sigmoid Curves'!G71-'Sigmoid Curves'!G$8)/('Sigmoid Curves'!G$10))))</f>
        <v>4000000</v>
      </c>
      <c r="N77" s="12">
        <f ca="1">TotalSupply*N$6*MAX(0,MIN(1,IF(N$11="Linear",('Linear Curves'!H71-'Linear Curves'!H$8)/('Linear Curves'!H$10),('Sigmoid Curves'!H71-'Sigmoid Curves'!H$8)/('Sigmoid Curves'!H$10))))</f>
        <v>56000000</v>
      </c>
      <c r="O77" s="12">
        <f ca="1">TotalSupply*O$6*MAX(0,MIN(1,IF(O$11="Linear",('Linear Curves'!I71-'Linear Curves'!I$8)/('Linear Curves'!I$10),('Sigmoid Curves'!I71-'Sigmoid Curves'!I$8)/('Sigmoid Curves'!I$10))))</f>
        <v>48000000</v>
      </c>
      <c r="P77" s="12">
        <f ca="1">TotalSupply*P$6*MAX(0,MIN(1,IF(P$11="Linear",('Linear Curves'!I71-'Linear Curves'!I$8)/('Linear Curves'!I$10),('Sigmoid Curves'!I71-'Sigmoid Curves'!I$8)/('Sigmoid Curves'!I$10))))</f>
        <v>400000000</v>
      </c>
      <c r="Q77" s="12">
        <f ca="1">TotalSupply*Q$6*MAX(0,MIN(1,IF(Q$11="Linear",('Linear Curves'!J71-'Linear Curves'!J$8)/('Linear Curves'!J$10),('Sigmoid Curves'!J71-'Sigmoid Curves'!J$8)/('Sigmoid Curves'!J$10))))</f>
        <v>20000000</v>
      </c>
      <c r="R77" s="12">
        <f ca="1">TotalSupply*R$6*MAX(0,MIN(1,IF(R$11="Linear",('Linear Curves'!K71-'Linear Curves'!K$8)/('Linear Curves'!K$10),('Sigmoid Curves'!K71-'Sigmoid Curves'!K$8)/('Sigmoid Curves'!K$10))))</f>
        <v>28800000</v>
      </c>
      <c r="S77" s="12">
        <f ca="1">TotalSupply*S$6*MAX(0,MIN(1,IF(S$11="Linear",('Linear Curves'!L71-'Linear Curves'!L$8)/('Linear Curves'!L$10),('Sigmoid Curves'!L71-'Sigmoid Curves'!L$8)/('Sigmoid Curves'!L$10))))</f>
        <v>3200000</v>
      </c>
      <c r="T77" s="11"/>
      <c r="U77" s="11"/>
      <c r="V77" s="11"/>
      <c r="W77" s="11"/>
      <c r="X77" s="11"/>
      <c r="Y77" s="11"/>
      <c r="Z77" s="11"/>
      <c r="AA77" s="11"/>
      <c r="AB77" s="11"/>
      <c r="AC77" s="11"/>
      <c r="AD77" s="11"/>
      <c r="AE77" s="11"/>
      <c r="AF77" s="11"/>
      <c r="AG77" s="11"/>
    </row>
    <row r="78" customHeight="1" spans="1:33">
      <c r="A78" s="2">
        <v>59</v>
      </c>
      <c r="B78" s="3">
        <f ca="1">MIN(1,((1-G$19)/(MATCH(100%,G$19:G1062,0)-1)*A78)+G$19)</f>
        <v>1</v>
      </c>
      <c r="C78" s="3">
        <f ca="1" t="shared" si="4"/>
        <v>0</v>
      </c>
      <c r="D78" s="3">
        <f ca="1" t="shared" si="5"/>
        <v>0</v>
      </c>
      <c r="E78" s="3">
        <f ca="1" t="shared" si="6"/>
        <v>0</v>
      </c>
      <c r="F78" s="3">
        <f ca="1" t="shared" si="7"/>
        <v>0</v>
      </c>
      <c r="G78" s="3">
        <f ca="1">H78/TotalSupply</f>
        <v>1</v>
      </c>
      <c r="H78" s="11">
        <f ca="1" t="shared" si="3"/>
        <v>800000000</v>
      </c>
      <c r="I78" s="12">
        <f ca="1">TotalSupply*I$6*MAX(0,MIN(1,IF(I$11="Linear",('Linear Curves'!B72-'Linear Curves'!B$8)/('Linear Curves'!B$10),('Sigmoid Curves'!B72-'Sigmoid Curves'!B$8)/('Sigmoid Curves'!B$10))))</f>
        <v>104000000</v>
      </c>
      <c r="J78" s="12">
        <f ca="1">TotalSupply*J$6*MAX(0,MIN(1,IF(J$11="Linear",('Linear Curves'!C72-'Linear Curves'!C$8)/('Linear Curves'!C$10),('Sigmoid Curves'!C72-'Sigmoid Curves'!C$8)/('Sigmoid Curves'!C$10))))</f>
        <v>92000000</v>
      </c>
      <c r="K78" s="12">
        <f ca="1">TotalSupply*K$6*MAX(0,MIN(1,IF(K$11="Linear",('Linear Curves'!D72-'Linear Curves'!D$8)/('Linear Curves'!D$10),('Sigmoid Curves'!D72-'Sigmoid Curves'!D$8)/('Sigmoid Curves'!D$10))))</f>
        <v>32000000</v>
      </c>
      <c r="L78" s="12">
        <f ca="1">TotalSupply*L$6*MAX(0,MIN(1,IF(L$11="Linear",('Linear Curves'!F72-'Linear Curves'!F$8)/('Linear Curves'!F$10),('Sigmoid Curves'!F72-'Sigmoid Curves'!F$8)/('Sigmoid Curves'!F$10))))</f>
        <v>12000000</v>
      </c>
      <c r="M78" s="12">
        <f ca="1">TotalSupply*M$6*MAX(0,MIN(1,IF(M$11="Linear",('Linear Curves'!G72-'Linear Curves'!G$8)/('Linear Curves'!G$10),('Sigmoid Curves'!G72-'Sigmoid Curves'!G$8)/('Sigmoid Curves'!G$10))))</f>
        <v>4000000</v>
      </c>
      <c r="N78" s="12">
        <f ca="1">TotalSupply*N$6*MAX(0,MIN(1,IF(N$11="Linear",('Linear Curves'!H72-'Linear Curves'!H$8)/('Linear Curves'!H$10),('Sigmoid Curves'!H72-'Sigmoid Curves'!H$8)/('Sigmoid Curves'!H$10))))</f>
        <v>56000000</v>
      </c>
      <c r="O78" s="12">
        <f ca="1">TotalSupply*O$6*MAX(0,MIN(1,IF(O$11="Linear",('Linear Curves'!I72-'Linear Curves'!I$8)/('Linear Curves'!I$10),('Sigmoid Curves'!I72-'Sigmoid Curves'!I$8)/('Sigmoid Curves'!I$10))))</f>
        <v>48000000</v>
      </c>
      <c r="P78" s="12">
        <f ca="1">TotalSupply*P$6*MAX(0,MIN(1,IF(P$11="Linear",('Linear Curves'!I72-'Linear Curves'!I$8)/('Linear Curves'!I$10),('Sigmoid Curves'!I72-'Sigmoid Curves'!I$8)/('Sigmoid Curves'!I$10))))</f>
        <v>400000000</v>
      </c>
      <c r="Q78" s="12">
        <f ca="1">TotalSupply*Q$6*MAX(0,MIN(1,IF(Q$11="Linear",('Linear Curves'!J72-'Linear Curves'!J$8)/('Linear Curves'!J$10),('Sigmoid Curves'!J72-'Sigmoid Curves'!J$8)/('Sigmoid Curves'!J$10))))</f>
        <v>20000000</v>
      </c>
      <c r="R78" s="12">
        <f ca="1">TotalSupply*R$6*MAX(0,MIN(1,IF(R$11="Linear",('Linear Curves'!K72-'Linear Curves'!K$8)/('Linear Curves'!K$10),('Sigmoid Curves'!K72-'Sigmoid Curves'!K$8)/('Sigmoid Curves'!K$10))))</f>
        <v>28800000</v>
      </c>
      <c r="S78" s="12">
        <f ca="1">TotalSupply*S$6*MAX(0,MIN(1,IF(S$11="Linear",('Linear Curves'!L72-'Linear Curves'!L$8)/('Linear Curves'!L$10),('Sigmoid Curves'!L72-'Sigmoid Curves'!L$8)/('Sigmoid Curves'!L$10))))</f>
        <v>3200000</v>
      </c>
      <c r="T78" s="11"/>
      <c r="U78" s="11"/>
      <c r="V78" s="11"/>
      <c r="W78" s="11"/>
      <c r="X78" s="11"/>
      <c r="Y78" s="11"/>
      <c r="Z78" s="11"/>
      <c r="AA78" s="11"/>
      <c r="AB78" s="11"/>
      <c r="AC78" s="11"/>
      <c r="AD78" s="11"/>
      <c r="AE78" s="11"/>
      <c r="AF78" s="11"/>
      <c r="AG78" s="11"/>
    </row>
    <row r="79" customHeight="1" spans="1:33">
      <c r="A79" s="2">
        <v>60</v>
      </c>
      <c r="B79" s="3">
        <f ca="1">MIN(1,((1-G$19)/(MATCH(100%,G$19:G1063,0)-1)*A79)+G$19)</f>
        <v>1</v>
      </c>
      <c r="C79" s="3">
        <f ca="1" t="shared" si="4"/>
        <v>0</v>
      </c>
      <c r="D79" s="3">
        <f ca="1" t="shared" si="5"/>
        <v>0</v>
      </c>
      <c r="E79" s="3">
        <f ca="1" t="shared" si="6"/>
        <v>0</v>
      </c>
      <c r="F79" s="3">
        <f ca="1" t="shared" si="7"/>
        <v>0</v>
      </c>
      <c r="G79" s="3">
        <f ca="1">H79/TotalSupply</f>
        <v>1</v>
      </c>
      <c r="H79" s="11">
        <f ca="1" t="shared" si="3"/>
        <v>800000000</v>
      </c>
      <c r="I79" s="12">
        <f ca="1">TotalSupply*I$6*MAX(0,MIN(1,IF(I$11="Linear",('Linear Curves'!B73-'Linear Curves'!B$8)/('Linear Curves'!B$10),('Sigmoid Curves'!B73-'Sigmoid Curves'!B$8)/('Sigmoid Curves'!B$10))))</f>
        <v>104000000</v>
      </c>
      <c r="J79" s="12">
        <f ca="1">TotalSupply*J$6*MAX(0,MIN(1,IF(J$11="Linear",('Linear Curves'!C73-'Linear Curves'!C$8)/('Linear Curves'!C$10),('Sigmoid Curves'!C73-'Sigmoid Curves'!C$8)/('Sigmoid Curves'!C$10))))</f>
        <v>92000000</v>
      </c>
      <c r="K79" s="12">
        <f ca="1">TotalSupply*K$6*MAX(0,MIN(1,IF(K$11="Linear",('Linear Curves'!D73-'Linear Curves'!D$8)/('Linear Curves'!D$10),('Sigmoid Curves'!D73-'Sigmoid Curves'!D$8)/('Sigmoid Curves'!D$10))))</f>
        <v>32000000</v>
      </c>
      <c r="L79" s="12">
        <f ca="1">TotalSupply*L$6*MAX(0,MIN(1,IF(L$11="Linear",('Linear Curves'!F73-'Linear Curves'!F$8)/('Linear Curves'!F$10),('Sigmoid Curves'!F73-'Sigmoid Curves'!F$8)/('Sigmoid Curves'!F$10))))</f>
        <v>12000000</v>
      </c>
      <c r="M79" s="12">
        <f ca="1">TotalSupply*M$6*MAX(0,MIN(1,IF(M$11="Linear",('Linear Curves'!G73-'Linear Curves'!G$8)/('Linear Curves'!G$10),('Sigmoid Curves'!G73-'Sigmoid Curves'!G$8)/('Sigmoid Curves'!G$10))))</f>
        <v>4000000</v>
      </c>
      <c r="N79" s="12">
        <f ca="1">TotalSupply*N$6*MAX(0,MIN(1,IF(N$11="Linear",('Linear Curves'!H73-'Linear Curves'!H$8)/('Linear Curves'!H$10),('Sigmoid Curves'!H73-'Sigmoid Curves'!H$8)/('Sigmoid Curves'!H$10))))</f>
        <v>56000000</v>
      </c>
      <c r="O79" s="12">
        <f ca="1">TotalSupply*O$6*MAX(0,MIN(1,IF(O$11="Linear",('Linear Curves'!I73-'Linear Curves'!I$8)/('Linear Curves'!I$10),('Sigmoid Curves'!I73-'Sigmoid Curves'!I$8)/('Sigmoid Curves'!I$10))))</f>
        <v>48000000</v>
      </c>
      <c r="P79" s="12">
        <f ca="1">TotalSupply*P$6*MAX(0,MIN(1,IF(P$11="Linear",('Linear Curves'!I73-'Linear Curves'!I$8)/('Linear Curves'!I$10),('Sigmoid Curves'!I73-'Sigmoid Curves'!I$8)/('Sigmoid Curves'!I$10))))</f>
        <v>400000000</v>
      </c>
      <c r="Q79" s="12">
        <f ca="1">TotalSupply*Q$6*MAX(0,MIN(1,IF(Q$11="Linear",('Linear Curves'!J73-'Linear Curves'!J$8)/('Linear Curves'!J$10),('Sigmoid Curves'!J73-'Sigmoid Curves'!J$8)/('Sigmoid Curves'!J$10))))</f>
        <v>20000000</v>
      </c>
      <c r="R79" s="12">
        <f ca="1">TotalSupply*R$6*MAX(0,MIN(1,IF(R$11="Linear",('Linear Curves'!K73-'Linear Curves'!K$8)/('Linear Curves'!K$10),('Sigmoid Curves'!K73-'Sigmoid Curves'!K$8)/('Sigmoid Curves'!K$10))))</f>
        <v>28800000</v>
      </c>
      <c r="S79" s="12">
        <f ca="1">TotalSupply*S$6*MAX(0,MIN(1,IF(S$11="Linear",('Linear Curves'!L73-'Linear Curves'!L$8)/('Linear Curves'!L$10),('Sigmoid Curves'!L73-'Sigmoid Curves'!L$8)/('Sigmoid Curves'!L$10))))</f>
        <v>3200000</v>
      </c>
      <c r="T79" s="11"/>
      <c r="U79" s="11"/>
      <c r="V79" s="11"/>
      <c r="W79" s="11"/>
      <c r="X79" s="11"/>
      <c r="Y79" s="11"/>
      <c r="Z79" s="11"/>
      <c r="AA79" s="11"/>
      <c r="AB79" s="11"/>
      <c r="AC79" s="11"/>
      <c r="AD79" s="11"/>
      <c r="AE79" s="11"/>
      <c r="AF79" s="11"/>
      <c r="AG79" s="11"/>
    </row>
    <row r="80" customHeight="1" spans="2:33">
      <c r="B80" s="3"/>
      <c r="C80" s="3"/>
      <c r="D80" s="3"/>
      <c r="E80" s="3"/>
      <c r="F80" s="3"/>
      <c r="G80" s="3"/>
      <c r="H80" s="11"/>
      <c r="I80" s="12"/>
      <c r="J80" s="12"/>
      <c r="K80" s="12"/>
      <c r="L80" s="12"/>
      <c r="M80" s="12"/>
      <c r="N80" s="12"/>
      <c r="O80" s="12"/>
      <c r="P80" s="12"/>
      <c r="Q80" s="11"/>
      <c r="R80" s="11"/>
      <c r="S80" s="11"/>
      <c r="T80" s="11"/>
      <c r="U80" s="11"/>
      <c r="V80" s="11"/>
      <c r="W80" s="11"/>
      <c r="X80" s="11"/>
      <c r="Y80" s="11"/>
      <c r="Z80" s="11"/>
      <c r="AA80" s="11"/>
      <c r="AB80" s="11"/>
      <c r="AC80" s="11"/>
      <c r="AD80" s="11"/>
      <c r="AE80" s="11"/>
      <c r="AF80" s="11"/>
      <c r="AG80" s="11"/>
    </row>
    <row r="81" customHeight="1" spans="2:33">
      <c r="B81" s="3"/>
      <c r="C81" s="3"/>
      <c r="D81" s="3"/>
      <c r="E81" s="3"/>
      <c r="F81" s="3"/>
      <c r="G81" s="3"/>
      <c r="H81" s="11"/>
      <c r="I81" s="12"/>
      <c r="J81" s="12"/>
      <c r="K81" s="12"/>
      <c r="L81" s="12"/>
      <c r="M81" s="12"/>
      <c r="N81" s="12"/>
      <c r="O81" s="12"/>
      <c r="P81" s="12"/>
      <c r="Q81" s="11"/>
      <c r="R81" s="11"/>
      <c r="S81" s="11"/>
      <c r="T81" s="11"/>
      <c r="U81" s="11"/>
      <c r="V81" s="11"/>
      <c r="W81" s="11"/>
      <c r="X81" s="11"/>
      <c r="Y81" s="11"/>
      <c r="Z81" s="11"/>
      <c r="AA81" s="11"/>
      <c r="AB81" s="11"/>
      <c r="AC81" s="11"/>
      <c r="AD81" s="11"/>
      <c r="AE81" s="11"/>
      <c r="AF81" s="11"/>
      <c r="AG81" s="11"/>
    </row>
    <row r="82" customHeight="1" spans="2:33">
      <c r="B82" s="3"/>
      <c r="C82" s="3"/>
      <c r="D82" s="3"/>
      <c r="E82" s="3"/>
      <c r="F82" s="3"/>
      <c r="G82" s="3"/>
      <c r="H82" s="11"/>
      <c r="I82" s="12"/>
      <c r="J82" s="12"/>
      <c r="K82" s="12"/>
      <c r="L82" s="12"/>
      <c r="M82" s="12"/>
      <c r="N82" s="12"/>
      <c r="O82" s="12"/>
      <c r="P82" s="12"/>
      <c r="Q82" s="11"/>
      <c r="R82" s="11"/>
      <c r="S82" s="11"/>
      <c r="T82" s="11"/>
      <c r="U82" s="11"/>
      <c r="V82" s="11"/>
      <c r="W82" s="11"/>
      <c r="X82" s="11"/>
      <c r="Y82" s="11"/>
      <c r="Z82" s="11"/>
      <c r="AA82" s="11"/>
      <c r="AB82" s="11"/>
      <c r="AC82" s="11"/>
      <c r="AD82" s="11"/>
      <c r="AE82" s="11"/>
      <c r="AF82" s="11"/>
      <c r="AG82" s="11"/>
    </row>
    <row r="83" customHeight="1" spans="2:33">
      <c r="B83" s="3"/>
      <c r="C83" s="3"/>
      <c r="D83" s="3"/>
      <c r="E83" s="3"/>
      <c r="F83" s="3"/>
      <c r="G83" s="3"/>
      <c r="H83" s="11"/>
      <c r="I83" s="12"/>
      <c r="J83" s="12"/>
      <c r="K83" s="12"/>
      <c r="L83" s="12"/>
      <c r="M83" s="12"/>
      <c r="N83" s="12"/>
      <c r="O83" s="12"/>
      <c r="P83" s="12"/>
      <c r="Q83" s="11"/>
      <c r="R83" s="11"/>
      <c r="S83" s="11"/>
      <c r="T83" s="11"/>
      <c r="U83" s="11"/>
      <c r="V83" s="11"/>
      <c r="W83" s="11"/>
      <c r="X83" s="11"/>
      <c r="Y83" s="11"/>
      <c r="Z83" s="11"/>
      <c r="AA83" s="11"/>
      <c r="AB83" s="11"/>
      <c r="AC83" s="11"/>
      <c r="AD83" s="11"/>
      <c r="AE83" s="11"/>
      <c r="AF83" s="11"/>
      <c r="AG83" s="11"/>
    </row>
    <row r="84" customHeight="1" spans="2:33">
      <c r="B84" s="3"/>
      <c r="C84" s="3"/>
      <c r="D84" s="3"/>
      <c r="E84" s="3"/>
      <c r="F84" s="3"/>
      <c r="G84" s="3"/>
      <c r="H84" s="11"/>
      <c r="I84" s="12"/>
      <c r="J84" s="12"/>
      <c r="K84" s="12"/>
      <c r="L84" s="12"/>
      <c r="M84" s="12"/>
      <c r="N84" s="12"/>
      <c r="O84" s="12"/>
      <c r="P84" s="12"/>
      <c r="Q84" s="11"/>
      <c r="R84" s="11"/>
      <c r="S84" s="11"/>
      <c r="T84" s="11"/>
      <c r="U84" s="11"/>
      <c r="V84" s="11"/>
      <c r="W84" s="11"/>
      <c r="X84" s="11"/>
      <c r="Y84" s="11"/>
      <c r="Z84" s="11"/>
      <c r="AA84" s="11"/>
      <c r="AB84" s="11"/>
      <c r="AC84" s="11"/>
      <c r="AD84" s="11"/>
      <c r="AE84" s="11"/>
      <c r="AF84" s="11"/>
      <c r="AG84" s="11"/>
    </row>
    <row r="85" customHeight="1" spans="2:33">
      <c r="B85" s="3"/>
      <c r="C85" s="3"/>
      <c r="D85" s="3"/>
      <c r="E85" s="3"/>
      <c r="F85" s="3"/>
      <c r="G85" s="3"/>
      <c r="H85" s="11"/>
      <c r="I85" s="12"/>
      <c r="J85" s="12"/>
      <c r="K85" s="12"/>
      <c r="L85" s="12"/>
      <c r="M85" s="12"/>
      <c r="N85" s="12"/>
      <c r="O85" s="12"/>
      <c r="P85" s="12"/>
      <c r="Q85" s="11"/>
      <c r="R85" s="11"/>
      <c r="S85" s="11"/>
      <c r="T85" s="11"/>
      <c r="U85" s="11"/>
      <c r="V85" s="11"/>
      <c r="W85" s="11"/>
      <c r="X85" s="11"/>
      <c r="Y85" s="11"/>
      <c r="Z85" s="11"/>
      <c r="AA85" s="11"/>
      <c r="AB85" s="11"/>
      <c r="AC85" s="11"/>
      <c r="AD85" s="11"/>
      <c r="AE85" s="11"/>
      <c r="AF85" s="11"/>
      <c r="AG85" s="11"/>
    </row>
    <row r="86" customHeight="1" spans="2:33">
      <c r="B86" s="3"/>
      <c r="C86" s="3"/>
      <c r="D86" s="3"/>
      <c r="E86" s="3"/>
      <c r="F86" s="3"/>
      <c r="G86" s="3"/>
      <c r="H86" s="11"/>
      <c r="I86" s="12"/>
      <c r="J86" s="12"/>
      <c r="K86" s="12"/>
      <c r="L86" s="12"/>
      <c r="M86" s="12"/>
      <c r="N86" s="12"/>
      <c r="O86" s="12"/>
      <c r="P86" s="12"/>
      <c r="Q86" s="11"/>
      <c r="R86" s="11"/>
      <c r="S86" s="11"/>
      <c r="T86" s="11"/>
      <c r="U86" s="11"/>
      <c r="V86" s="11"/>
      <c r="W86" s="11"/>
      <c r="X86" s="11"/>
      <c r="Y86" s="11"/>
      <c r="Z86" s="11"/>
      <c r="AA86" s="11"/>
      <c r="AB86" s="11"/>
      <c r="AC86" s="11"/>
      <c r="AD86" s="11"/>
      <c r="AE86" s="11"/>
      <c r="AF86" s="11"/>
      <c r="AG86" s="11"/>
    </row>
    <row r="87" customHeight="1" spans="2:33">
      <c r="B87" s="3"/>
      <c r="C87" s="3"/>
      <c r="D87" s="3"/>
      <c r="E87" s="3"/>
      <c r="F87" s="3"/>
      <c r="G87" s="3"/>
      <c r="H87" s="11"/>
      <c r="I87" s="12"/>
      <c r="J87" s="12"/>
      <c r="K87" s="12"/>
      <c r="L87" s="12"/>
      <c r="M87" s="12"/>
      <c r="N87" s="12"/>
      <c r="O87" s="12"/>
      <c r="P87" s="12"/>
      <c r="Q87" s="11"/>
      <c r="R87" s="11"/>
      <c r="S87" s="11"/>
      <c r="T87" s="11"/>
      <c r="U87" s="11"/>
      <c r="V87" s="11"/>
      <c r="W87" s="11"/>
      <c r="X87" s="11"/>
      <c r="Y87" s="11"/>
      <c r="Z87" s="11"/>
      <c r="AA87" s="11"/>
      <c r="AB87" s="11"/>
      <c r="AC87" s="11"/>
      <c r="AD87" s="11"/>
      <c r="AE87" s="11"/>
      <c r="AF87" s="11"/>
      <c r="AG87" s="11"/>
    </row>
    <row r="88" customHeight="1" spans="2:33">
      <c r="B88" s="3"/>
      <c r="C88" s="3"/>
      <c r="D88" s="3"/>
      <c r="E88" s="3"/>
      <c r="F88" s="3"/>
      <c r="G88" s="3"/>
      <c r="H88" s="11"/>
      <c r="I88" s="12"/>
      <c r="J88" s="12"/>
      <c r="K88" s="12"/>
      <c r="L88" s="12"/>
      <c r="M88" s="12"/>
      <c r="N88" s="12"/>
      <c r="O88" s="12"/>
      <c r="P88" s="12"/>
      <c r="Q88" s="11"/>
      <c r="R88" s="11"/>
      <c r="S88" s="11"/>
      <c r="T88" s="11"/>
      <c r="U88" s="11"/>
      <c r="V88" s="11"/>
      <c r="W88" s="11"/>
      <c r="X88" s="11"/>
      <c r="Y88" s="11"/>
      <c r="Z88" s="11"/>
      <c r="AA88" s="11"/>
      <c r="AB88" s="11"/>
      <c r="AC88" s="11"/>
      <c r="AD88" s="11"/>
      <c r="AE88" s="11"/>
      <c r="AF88" s="11"/>
      <c r="AG88" s="11"/>
    </row>
    <row r="89" customHeight="1" spans="2:33">
      <c r="B89" s="3"/>
      <c r="C89" s="3"/>
      <c r="D89" s="3"/>
      <c r="E89" s="3"/>
      <c r="F89" s="3"/>
      <c r="G89" s="3"/>
      <c r="H89" s="11"/>
      <c r="I89" s="12"/>
      <c r="J89" s="12"/>
      <c r="K89" s="12"/>
      <c r="L89" s="12"/>
      <c r="M89" s="12"/>
      <c r="N89" s="12"/>
      <c r="O89" s="12"/>
      <c r="P89" s="12"/>
      <c r="Q89" s="11"/>
      <c r="R89" s="11"/>
      <c r="S89" s="11"/>
      <c r="T89" s="11"/>
      <c r="U89" s="11"/>
      <c r="V89" s="11"/>
      <c r="W89" s="11"/>
      <c r="X89" s="11"/>
      <c r="Y89" s="11"/>
      <c r="Z89" s="11"/>
      <c r="AA89" s="11"/>
      <c r="AB89" s="11"/>
      <c r="AC89" s="11"/>
      <c r="AD89" s="11"/>
      <c r="AE89" s="11"/>
      <c r="AF89" s="11"/>
      <c r="AG89" s="11"/>
    </row>
    <row r="90" customHeight="1" spans="2:33">
      <c r="B90" s="3"/>
      <c r="C90" s="3"/>
      <c r="D90" s="3"/>
      <c r="E90" s="3"/>
      <c r="F90" s="3"/>
      <c r="G90" s="3"/>
      <c r="H90" s="11"/>
      <c r="I90" s="12"/>
      <c r="J90" s="12"/>
      <c r="K90" s="12"/>
      <c r="L90" s="12"/>
      <c r="M90" s="12"/>
      <c r="N90" s="12"/>
      <c r="O90" s="12"/>
      <c r="P90" s="12"/>
      <c r="Q90" s="11"/>
      <c r="R90" s="11"/>
      <c r="S90" s="11"/>
      <c r="T90" s="11"/>
      <c r="U90" s="11"/>
      <c r="V90" s="11"/>
      <c r="W90" s="11"/>
      <c r="X90" s="11"/>
      <c r="Y90" s="11"/>
      <c r="Z90" s="11"/>
      <c r="AA90" s="11"/>
      <c r="AB90" s="11"/>
      <c r="AC90" s="11"/>
      <c r="AD90" s="11"/>
      <c r="AE90" s="11"/>
      <c r="AF90" s="11"/>
      <c r="AG90" s="11"/>
    </row>
    <row r="91" customHeight="1" spans="2:33">
      <c r="B91" s="3"/>
      <c r="C91" s="3"/>
      <c r="D91" s="3"/>
      <c r="E91" s="3"/>
      <c r="F91" s="3"/>
      <c r="G91" s="3"/>
      <c r="H91" s="11"/>
      <c r="I91" s="12"/>
      <c r="J91" s="12"/>
      <c r="K91" s="12"/>
      <c r="L91" s="12"/>
      <c r="M91" s="12"/>
      <c r="N91" s="12"/>
      <c r="O91" s="12"/>
      <c r="P91" s="12"/>
      <c r="Q91" s="11"/>
      <c r="R91" s="11"/>
      <c r="S91" s="11"/>
      <c r="T91" s="11"/>
      <c r="U91" s="11"/>
      <c r="V91" s="11"/>
      <c r="W91" s="11"/>
      <c r="X91" s="11"/>
      <c r="Y91" s="11"/>
      <c r="Z91" s="11"/>
      <c r="AA91" s="11"/>
      <c r="AB91" s="11"/>
      <c r="AC91" s="11"/>
      <c r="AD91" s="11"/>
      <c r="AE91" s="11"/>
      <c r="AF91" s="11"/>
      <c r="AG91" s="11"/>
    </row>
    <row r="92" customHeight="1" spans="2:33">
      <c r="B92" s="3"/>
      <c r="C92" s="3"/>
      <c r="D92" s="3"/>
      <c r="E92" s="3"/>
      <c r="F92" s="3"/>
      <c r="G92" s="3"/>
      <c r="H92" s="11"/>
      <c r="I92" s="12"/>
      <c r="J92" s="12"/>
      <c r="K92" s="12"/>
      <c r="L92" s="12"/>
      <c r="M92" s="12"/>
      <c r="N92" s="12"/>
      <c r="O92" s="12"/>
      <c r="P92" s="12"/>
      <c r="Q92" s="11"/>
      <c r="R92" s="11"/>
      <c r="S92" s="11"/>
      <c r="T92" s="11"/>
      <c r="U92" s="11"/>
      <c r="V92" s="11"/>
      <c r="W92" s="11"/>
      <c r="X92" s="11"/>
      <c r="Y92" s="11"/>
      <c r="Z92" s="11"/>
      <c r="AA92" s="11"/>
      <c r="AB92" s="11"/>
      <c r="AC92" s="11"/>
      <c r="AD92" s="11"/>
      <c r="AE92" s="11"/>
      <c r="AF92" s="11"/>
      <c r="AG92" s="11"/>
    </row>
    <row r="93" customHeight="1" spans="2:33">
      <c r="B93" s="3"/>
      <c r="C93" s="3"/>
      <c r="D93" s="3"/>
      <c r="E93" s="3"/>
      <c r="F93" s="3"/>
      <c r="G93" s="3"/>
      <c r="H93" s="11"/>
      <c r="I93" s="12"/>
      <c r="J93" s="12"/>
      <c r="K93" s="12"/>
      <c r="L93" s="12"/>
      <c r="M93" s="12"/>
      <c r="N93" s="12"/>
      <c r="O93" s="12"/>
      <c r="P93" s="12"/>
      <c r="Q93" s="11"/>
      <c r="R93" s="11"/>
      <c r="S93" s="11"/>
      <c r="T93" s="11"/>
      <c r="U93" s="11"/>
      <c r="V93" s="11"/>
      <c r="W93" s="11"/>
      <c r="X93" s="11"/>
      <c r="Y93" s="11"/>
      <c r="Z93" s="11"/>
      <c r="AA93" s="11"/>
      <c r="AB93" s="11"/>
      <c r="AC93" s="11"/>
      <c r="AD93" s="11"/>
      <c r="AE93" s="11"/>
      <c r="AF93" s="11"/>
      <c r="AG93" s="11"/>
    </row>
    <row r="94" customHeight="1" spans="2:33">
      <c r="B94" s="3"/>
      <c r="C94" s="3"/>
      <c r="D94" s="3"/>
      <c r="E94" s="3"/>
      <c r="F94" s="3"/>
      <c r="G94" s="3"/>
      <c r="H94" s="11"/>
      <c r="I94" s="12"/>
      <c r="J94" s="12"/>
      <c r="K94" s="12"/>
      <c r="L94" s="12"/>
      <c r="M94" s="12"/>
      <c r="N94" s="12"/>
      <c r="O94" s="12"/>
      <c r="P94" s="12"/>
      <c r="Q94" s="11"/>
      <c r="R94" s="11"/>
      <c r="S94" s="11"/>
      <c r="T94" s="11"/>
      <c r="U94" s="11"/>
      <c r="V94" s="11"/>
      <c r="W94" s="11"/>
      <c r="X94" s="11"/>
      <c r="Y94" s="11"/>
      <c r="Z94" s="11"/>
      <c r="AA94" s="11"/>
      <c r="AB94" s="11"/>
      <c r="AC94" s="11"/>
      <c r="AD94" s="11"/>
      <c r="AE94" s="11"/>
      <c r="AF94" s="11"/>
      <c r="AG94" s="11"/>
    </row>
    <row r="95" customHeight="1" spans="2:33">
      <c r="B95" s="3"/>
      <c r="C95" s="3"/>
      <c r="D95" s="3"/>
      <c r="E95" s="3"/>
      <c r="F95" s="3"/>
      <c r="G95" s="3"/>
      <c r="H95" s="11"/>
      <c r="I95" s="12"/>
      <c r="J95" s="12"/>
      <c r="K95" s="12"/>
      <c r="L95" s="12"/>
      <c r="M95" s="12"/>
      <c r="N95" s="12"/>
      <c r="O95" s="12"/>
      <c r="P95" s="12"/>
      <c r="Q95" s="11"/>
      <c r="R95" s="11"/>
      <c r="S95" s="11"/>
      <c r="T95" s="11"/>
      <c r="U95" s="11"/>
      <c r="V95" s="11"/>
      <c r="W95" s="11"/>
      <c r="X95" s="11"/>
      <c r="Y95" s="11"/>
      <c r="Z95" s="11"/>
      <c r="AA95" s="11"/>
      <c r="AB95" s="11"/>
      <c r="AC95" s="11"/>
      <c r="AD95" s="11"/>
      <c r="AE95" s="11"/>
      <c r="AF95" s="11"/>
      <c r="AG95" s="11"/>
    </row>
    <row r="96" customHeight="1" spans="2:33">
      <c r="B96" s="3"/>
      <c r="C96" s="3"/>
      <c r="D96" s="3"/>
      <c r="E96" s="3"/>
      <c r="F96" s="3"/>
      <c r="G96" s="3"/>
      <c r="H96" s="11"/>
      <c r="I96" s="12"/>
      <c r="J96" s="12"/>
      <c r="K96" s="12"/>
      <c r="L96" s="12"/>
      <c r="M96" s="12"/>
      <c r="N96" s="12"/>
      <c r="O96" s="12"/>
      <c r="P96" s="12"/>
      <c r="Q96" s="11"/>
      <c r="R96" s="11"/>
      <c r="S96" s="11"/>
      <c r="T96" s="11"/>
      <c r="U96" s="11"/>
      <c r="V96" s="11"/>
      <c r="W96" s="11"/>
      <c r="X96" s="11"/>
      <c r="Y96" s="11"/>
      <c r="Z96" s="11"/>
      <c r="AA96" s="11"/>
      <c r="AB96" s="11"/>
      <c r="AC96" s="11"/>
      <c r="AD96" s="11"/>
      <c r="AE96" s="11"/>
      <c r="AF96" s="11"/>
      <c r="AG96" s="11"/>
    </row>
    <row r="97" customHeight="1" spans="2:33">
      <c r="B97" s="3"/>
      <c r="C97" s="3"/>
      <c r="D97" s="3"/>
      <c r="E97" s="3"/>
      <c r="F97" s="3"/>
      <c r="G97" s="3"/>
      <c r="H97" s="11"/>
      <c r="I97" s="12"/>
      <c r="J97" s="12"/>
      <c r="K97" s="12"/>
      <c r="L97" s="12"/>
      <c r="M97" s="12"/>
      <c r="N97" s="12"/>
      <c r="O97" s="12"/>
      <c r="P97" s="12"/>
      <c r="Q97" s="11"/>
      <c r="R97" s="11"/>
      <c r="S97" s="11"/>
      <c r="T97" s="11"/>
      <c r="U97" s="11"/>
      <c r="V97" s="11"/>
      <c r="W97" s="11"/>
      <c r="X97" s="11"/>
      <c r="Y97" s="11"/>
      <c r="Z97" s="11"/>
      <c r="AA97" s="11"/>
      <c r="AB97" s="11"/>
      <c r="AC97" s="11"/>
      <c r="AD97" s="11"/>
      <c r="AE97" s="11"/>
      <c r="AF97" s="11"/>
      <c r="AG97" s="11"/>
    </row>
    <row r="98" customHeight="1" spans="2:33">
      <c r="B98" s="3"/>
      <c r="C98" s="3"/>
      <c r="D98" s="3"/>
      <c r="E98" s="3"/>
      <c r="F98" s="3"/>
      <c r="G98" s="3"/>
      <c r="H98" s="11"/>
      <c r="I98" s="12"/>
      <c r="J98" s="12"/>
      <c r="K98" s="12"/>
      <c r="L98" s="12"/>
      <c r="M98" s="12"/>
      <c r="N98" s="12"/>
      <c r="O98" s="12"/>
      <c r="P98" s="12"/>
      <c r="Q98" s="11"/>
      <c r="R98" s="11"/>
      <c r="S98" s="11"/>
      <c r="T98" s="11"/>
      <c r="U98" s="11"/>
      <c r="V98" s="11"/>
      <c r="W98" s="11"/>
      <c r="X98" s="11"/>
      <c r="Y98" s="11"/>
      <c r="Z98" s="11"/>
      <c r="AA98" s="11"/>
      <c r="AB98" s="11"/>
      <c r="AC98" s="11"/>
      <c r="AD98" s="11"/>
      <c r="AE98" s="11"/>
      <c r="AF98" s="11"/>
      <c r="AG98" s="11"/>
    </row>
    <row r="99" customHeight="1" spans="2:33">
      <c r="B99" s="3"/>
      <c r="C99" s="3"/>
      <c r="D99" s="3"/>
      <c r="E99" s="3"/>
      <c r="F99" s="3"/>
      <c r="G99" s="3"/>
      <c r="H99" s="11"/>
      <c r="I99" s="12"/>
      <c r="J99" s="12"/>
      <c r="K99" s="12"/>
      <c r="L99" s="12"/>
      <c r="M99" s="12"/>
      <c r="N99" s="12"/>
      <c r="O99" s="12"/>
      <c r="P99" s="12"/>
      <c r="Q99" s="11"/>
      <c r="R99" s="11"/>
      <c r="S99" s="11"/>
      <c r="T99" s="11"/>
      <c r="U99" s="11"/>
      <c r="V99" s="11"/>
      <c r="W99" s="11"/>
      <c r="X99" s="11"/>
      <c r="Y99" s="11"/>
      <c r="Z99" s="11"/>
      <c r="AA99" s="11"/>
      <c r="AB99" s="11"/>
      <c r="AC99" s="11"/>
      <c r="AD99" s="11"/>
      <c r="AE99" s="11"/>
      <c r="AF99" s="11"/>
      <c r="AG99" s="11"/>
    </row>
    <row r="100" customHeight="1" spans="2:33">
      <c r="B100" s="3"/>
      <c r="C100" s="3"/>
      <c r="D100" s="3"/>
      <c r="E100" s="3"/>
      <c r="F100" s="3"/>
      <c r="G100" s="3"/>
      <c r="H100" s="11"/>
      <c r="I100" s="12"/>
      <c r="J100" s="12"/>
      <c r="K100" s="12"/>
      <c r="L100" s="12"/>
      <c r="M100" s="12"/>
      <c r="N100" s="12"/>
      <c r="O100" s="12"/>
      <c r="P100" s="12"/>
      <c r="Q100" s="11"/>
      <c r="R100" s="11"/>
      <c r="S100" s="11"/>
      <c r="T100" s="11"/>
      <c r="U100" s="11"/>
      <c r="V100" s="11"/>
      <c r="W100" s="11"/>
      <c r="X100" s="11"/>
      <c r="Y100" s="11"/>
      <c r="Z100" s="11"/>
      <c r="AA100" s="11"/>
      <c r="AB100" s="11"/>
      <c r="AC100" s="11"/>
      <c r="AD100" s="11"/>
      <c r="AE100" s="11"/>
      <c r="AF100" s="11"/>
      <c r="AG100" s="11"/>
    </row>
    <row r="101" customHeight="1" spans="2:33">
      <c r="B101" s="3"/>
      <c r="C101" s="3"/>
      <c r="D101" s="3"/>
      <c r="E101" s="3"/>
      <c r="F101" s="3"/>
      <c r="G101" s="3"/>
      <c r="H101" s="11"/>
      <c r="I101" s="12"/>
      <c r="J101" s="12"/>
      <c r="K101" s="12"/>
      <c r="L101" s="12"/>
      <c r="M101" s="12"/>
      <c r="N101" s="12"/>
      <c r="O101" s="12"/>
      <c r="P101" s="12"/>
      <c r="Q101" s="11"/>
      <c r="R101" s="11"/>
      <c r="S101" s="11"/>
      <c r="T101" s="11"/>
      <c r="U101" s="11"/>
      <c r="V101" s="11"/>
      <c r="W101" s="11"/>
      <c r="X101" s="11"/>
      <c r="Y101" s="11"/>
      <c r="Z101" s="11"/>
      <c r="AA101" s="11"/>
      <c r="AB101" s="11"/>
      <c r="AC101" s="11"/>
      <c r="AD101" s="11"/>
      <c r="AE101" s="11"/>
      <c r="AF101" s="11"/>
      <c r="AG101" s="11"/>
    </row>
    <row r="102" customHeight="1" spans="2:33">
      <c r="B102" s="3"/>
      <c r="C102" s="3"/>
      <c r="D102" s="3"/>
      <c r="E102" s="3"/>
      <c r="F102" s="3"/>
      <c r="G102" s="3"/>
      <c r="H102" s="11"/>
      <c r="I102" s="12"/>
      <c r="J102" s="12"/>
      <c r="K102" s="12"/>
      <c r="L102" s="12"/>
      <c r="M102" s="12"/>
      <c r="N102" s="12"/>
      <c r="O102" s="12"/>
      <c r="P102" s="12"/>
      <c r="Q102" s="11"/>
      <c r="R102" s="11"/>
      <c r="S102" s="11"/>
      <c r="T102" s="11"/>
      <c r="U102" s="11"/>
      <c r="V102" s="11"/>
      <c r="W102" s="11"/>
      <c r="X102" s="11"/>
      <c r="Y102" s="11"/>
      <c r="Z102" s="11"/>
      <c r="AA102" s="11"/>
      <c r="AB102" s="11"/>
      <c r="AC102" s="11"/>
      <c r="AD102" s="11"/>
      <c r="AE102" s="11"/>
      <c r="AF102" s="11"/>
      <c r="AG102" s="11"/>
    </row>
    <row r="103" customHeight="1" spans="2:33">
      <c r="B103" s="3"/>
      <c r="C103" s="3"/>
      <c r="D103" s="3"/>
      <c r="E103" s="3"/>
      <c r="F103" s="3"/>
      <c r="G103" s="3"/>
      <c r="H103" s="11"/>
      <c r="I103" s="12"/>
      <c r="J103" s="12"/>
      <c r="K103" s="12"/>
      <c r="L103" s="12"/>
      <c r="M103" s="12"/>
      <c r="N103" s="12"/>
      <c r="O103" s="12"/>
      <c r="P103" s="12"/>
      <c r="Q103" s="11"/>
      <c r="R103" s="11"/>
      <c r="S103" s="11"/>
      <c r="T103" s="11"/>
      <c r="U103" s="11"/>
      <c r="V103" s="11"/>
      <c r="W103" s="11"/>
      <c r="X103" s="11"/>
      <c r="Y103" s="11"/>
      <c r="Z103" s="11"/>
      <c r="AA103" s="11"/>
      <c r="AB103" s="11"/>
      <c r="AC103" s="11"/>
      <c r="AD103" s="11"/>
      <c r="AE103" s="11"/>
      <c r="AF103" s="11"/>
      <c r="AG103" s="11"/>
    </row>
    <row r="104" customHeight="1" spans="2:33">
      <c r="B104" s="3"/>
      <c r="C104" s="3"/>
      <c r="D104" s="3"/>
      <c r="E104" s="3"/>
      <c r="F104" s="3"/>
      <c r="G104" s="3"/>
      <c r="H104" s="11"/>
      <c r="I104" s="12"/>
      <c r="J104" s="12"/>
      <c r="K104" s="12"/>
      <c r="L104" s="12"/>
      <c r="M104" s="12"/>
      <c r="N104" s="12"/>
      <c r="O104" s="12"/>
      <c r="P104" s="12"/>
      <c r="Q104" s="11"/>
      <c r="R104" s="11"/>
      <c r="S104" s="11"/>
      <c r="T104" s="11"/>
      <c r="U104" s="11"/>
      <c r="V104" s="11"/>
      <c r="W104" s="11"/>
      <c r="X104" s="11"/>
      <c r="Y104" s="11"/>
      <c r="Z104" s="11"/>
      <c r="AA104" s="11"/>
      <c r="AB104" s="11"/>
      <c r="AC104" s="11"/>
      <c r="AD104" s="11"/>
      <c r="AE104" s="11"/>
      <c r="AF104" s="11"/>
      <c r="AG104" s="11"/>
    </row>
    <row r="105" customHeight="1" spans="2:33">
      <c r="B105" s="3"/>
      <c r="C105" s="3"/>
      <c r="D105" s="3"/>
      <c r="E105" s="3"/>
      <c r="F105" s="3"/>
      <c r="G105" s="3"/>
      <c r="H105" s="11"/>
      <c r="I105" s="12"/>
      <c r="J105" s="12"/>
      <c r="K105" s="12"/>
      <c r="L105" s="12"/>
      <c r="M105" s="12"/>
      <c r="N105" s="12"/>
      <c r="O105" s="12"/>
      <c r="P105" s="12"/>
      <c r="Q105" s="11"/>
      <c r="R105" s="11"/>
      <c r="S105" s="11"/>
      <c r="T105" s="11"/>
      <c r="U105" s="11"/>
      <c r="V105" s="11"/>
      <c r="W105" s="11"/>
      <c r="X105" s="11"/>
      <c r="Y105" s="11"/>
      <c r="Z105" s="11"/>
      <c r="AA105" s="11"/>
      <c r="AB105" s="11"/>
      <c r="AC105" s="11"/>
      <c r="AD105" s="11"/>
      <c r="AE105" s="11"/>
      <c r="AF105" s="11"/>
      <c r="AG105" s="11"/>
    </row>
    <row r="106" customHeight="1" spans="2:33">
      <c r="B106" s="3"/>
      <c r="C106" s="3"/>
      <c r="D106" s="3"/>
      <c r="E106" s="3"/>
      <c r="F106" s="3"/>
      <c r="G106" s="3"/>
      <c r="H106" s="11"/>
      <c r="I106" s="12"/>
      <c r="J106" s="12"/>
      <c r="K106" s="12"/>
      <c r="L106" s="12"/>
      <c r="M106" s="12"/>
      <c r="N106" s="12"/>
      <c r="O106" s="12"/>
      <c r="P106" s="12"/>
      <c r="Q106" s="11"/>
      <c r="R106" s="11"/>
      <c r="S106" s="11"/>
      <c r="T106" s="11"/>
      <c r="U106" s="11"/>
      <c r="V106" s="11"/>
      <c r="W106" s="11"/>
      <c r="X106" s="11"/>
      <c r="Y106" s="11"/>
      <c r="Z106" s="11"/>
      <c r="AA106" s="11"/>
      <c r="AB106" s="11"/>
      <c r="AC106" s="11"/>
      <c r="AD106" s="11"/>
      <c r="AE106" s="11"/>
      <c r="AF106" s="11"/>
      <c r="AG106" s="11"/>
    </row>
    <row r="107" customHeight="1" spans="2:33">
      <c r="B107" s="3"/>
      <c r="C107" s="3"/>
      <c r="D107" s="3"/>
      <c r="E107" s="3"/>
      <c r="F107" s="3"/>
      <c r="G107" s="3"/>
      <c r="H107" s="11"/>
      <c r="I107" s="12"/>
      <c r="J107" s="12"/>
      <c r="K107" s="12"/>
      <c r="L107" s="12"/>
      <c r="M107" s="12"/>
      <c r="N107" s="12"/>
      <c r="O107" s="12"/>
      <c r="P107" s="12"/>
      <c r="Q107" s="11"/>
      <c r="R107" s="11"/>
      <c r="S107" s="11"/>
      <c r="T107" s="11"/>
      <c r="U107" s="11"/>
      <c r="V107" s="11"/>
      <c r="W107" s="11"/>
      <c r="X107" s="11"/>
      <c r="Y107" s="11"/>
      <c r="Z107" s="11"/>
      <c r="AA107" s="11"/>
      <c r="AB107" s="11"/>
      <c r="AC107" s="11"/>
      <c r="AD107" s="11"/>
      <c r="AE107" s="11"/>
      <c r="AF107" s="11"/>
      <c r="AG107" s="11"/>
    </row>
    <row r="108" customHeight="1" spans="2:33">
      <c r="B108" s="3"/>
      <c r="C108" s="3"/>
      <c r="D108" s="3"/>
      <c r="E108" s="3"/>
      <c r="F108" s="3"/>
      <c r="G108" s="3"/>
      <c r="H108" s="11"/>
      <c r="I108" s="12"/>
      <c r="J108" s="12"/>
      <c r="K108" s="12"/>
      <c r="L108" s="12"/>
      <c r="M108" s="12"/>
      <c r="N108" s="12"/>
      <c r="O108" s="12"/>
      <c r="P108" s="12"/>
      <c r="Q108" s="11"/>
      <c r="R108" s="11"/>
      <c r="S108" s="11"/>
      <c r="T108" s="11"/>
      <c r="U108" s="11"/>
      <c r="V108" s="11"/>
      <c r="W108" s="11"/>
      <c r="X108" s="11"/>
      <c r="Y108" s="11"/>
      <c r="Z108" s="11"/>
      <c r="AA108" s="11"/>
      <c r="AB108" s="11"/>
      <c r="AC108" s="11"/>
      <c r="AD108" s="11"/>
      <c r="AE108" s="11"/>
      <c r="AF108" s="11"/>
      <c r="AG108" s="11"/>
    </row>
    <row r="109" customHeight="1" spans="2:33">
      <c r="B109" s="3"/>
      <c r="C109" s="3"/>
      <c r="D109" s="3"/>
      <c r="E109" s="3"/>
      <c r="F109" s="3"/>
      <c r="G109" s="3"/>
      <c r="H109" s="11"/>
      <c r="I109" s="12"/>
      <c r="J109" s="12"/>
      <c r="K109" s="12"/>
      <c r="L109" s="12"/>
      <c r="M109" s="12"/>
      <c r="N109" s="12"/>
      <c r="O109" s="12"/>
      <c r="P109" s="12"/>
      <c r="Q109" s="11"/>
      <c r="R109" s="11"/>
      <c r="S109" s="11"/>
      <c r="T109" s="11"/>
      <c r="U109" s="11"/>
      <c r="V109" s="11"/>
      <c r="W109" s="11"/>
      <c r="X109" s="11"/>
      <c r="Y109" s="11"/>
      <c r="Z109" s="11"/>
      <c r="AA109" s="11"/>
      <c r="AB109" s="11"/>
      <c r="AC109" s="11"/>
      <c r="AD109" s="11"/>
      <c r="AE109" s="11"/>
      <c r="AF109" s="11"/>
      <c r="AG109" s="11"/>
    </row>
    <row r="110" customHeight="1" spans="2:33">
      <c r="B110" s="3"/>
      <c r="C110" s="3"/>
      <c r="D110" s="3"/>
      <c r="E110" s="3"/>
      <c r="F110" s="3"/>
      <c r="G110" s="3"/>
      <c r="H110" s="11"/>
      <c r="I110" s="12"/>
      <c r="J110" s="12"/>
      <c r="K110" s="12"/>
      <c r="L110" s="12"/>
      <c r="M110" s="12"/>
      <c r="N110" s="12"/>
      <c r="O110" s="12"/>
      <c r="P110" s="12"/>
      <c r="Q110" s="11"/>
      <c r="R110" s="11"/>
      <c r="S110" s="11"/>
      <c r="T110" s="11"/>
      <c r="U110" s="11"/>
      <c r="V110" s="11"/>
      <c r="W110" s="11"/>
      <c r="X110" s="11"/>
      <c r="Y110" s="11"/>
      <c r="Z110" s="11"/>
      <c r="AA110" s="11"/>
      <c r="AB110" s="11"/>
      <c r="AC110" s="11"/>
      <c r="AD110" s="11"/>
      <c r="AE110" s="11"/>
      <c r="AF110" s="11"/>
      <c r="AG110" s="11"/>
    </row>
    <row r="111" customHeight="1" spans="2:33">
      <c r="B111" s="3"/>
      <c r="C111" s="3"/>
      <c r="D111" s="3"/>
      <c r="E111" s="3"/>
      <c r="F111" s="3"/>
      <c r="G111" s="3"/>
      <c r="H111" s="11"/>
      <c r="I111" s="12"/>
      <c r="J111" s="12"/>
      <c r="K111" s="12"/>
      <c r="L111" s="12"/>
      <c r="M111" s="12"/>
      <c r="N111" s="12"/>
      <c r="O111" s="12"/>
      <c r="P111" s="12"/>
      <c r="Q111" s="11"/>
      <c r="R111" s="11"/>
      <c r="S111" s="11"/>
      <c r="T111" s="11"/>
      <c r="U111" s="11"/>
      <c r="V111" s="11"/>
      <c r="W111" s="11"/>
      <c r="X111" s="11"/>
      <c r="Y111" s="11"/>
      <c r="Z111" s="11"/>
      <c r="AA111" s="11"/>
      <c r="AB111" s="11"/>
      <c r="AC111" s="11"/>
      <c r="AD111" s="11"/>
      <c r="AE111" s="11"/>
      <c r="AF111" s="11"/>
      <c r="AG111" s="11"/>
    </row>
    <row r="112" customHeight="1" spans="2:33">
      <c r="B112" s="3"/>
      <c r="C112" s="3"/>
      <c r="D112" s="3"/>
      <c r="E112" s="3"/>
      <c r="F112" s="3"/>
      <c r="G112" s="3"/>
      <c r="H112" s="11"/>
      <c r="I112" s="12"/>
      <c r="J112" s="12"/>
      <c r="K112" s="12"/>
      <c r="L112" s="12"/>
      <c r="M112" s="12"/>
      <c r="N112" s="12"/>
      <c r="O112" s="12"/>
      <c r="P112" s="12"/>
      <c r="Q112" s="11"/>
      <c r="R112" s="11"/>
      <c r="S112" s="11"/>
      <c r="T112" s="11"/>
      <c r="U112" s="11"/>
      <c r="V112" s="11"/>
      <c r="W112" s="11"/>
      <c r="X112" s="11"/>
      <c r="Y112" s="11"/>
      <c r="Z112" s="11"/>
      <c r="AA112" s="11"/>
      <c r="AB112" s="11"/>
      <c r="AC112" s="11"/>
      <c r="AD112" s="11"/>
      <c r="AE112" s="11"/>
      <c r="AF112" s="11"/>
      <c r="AG112" s="11"/>
    </row>
    <row r="113" customHeight="1" spans="2:33">
      <c r="B113" s="3"/>
      <c r="C113" s="3"/>
      <c r="D113" s="3"/>
      <c r="E113" s="3"/>
      <c r="F113" s="3"/>
      <c r="G113" s="3"/>
      <c r="H113" s="11"/>
      <c r="I113" s="12"/>
      <c r="J113" s="12"/>
      <c r="K113" s="12"/>
      <c r="L113" s="12"/>
      <c r="M113" s="12"/>
      <c r="N113" s="12"/>
      <c r="O113" s="12"/>
      <c r="P113" s="12"/>
      <c r="Q113" s="11"/>
      <c r="R113" s="11"/>
      <c r="S113" s="11"/>
      <c r="T113" s="11"/>
      <c r="U113" s="11"/>
      <c r="V113" s="11"/>
      <c r="W113" s="11"/>
      <c r="X113" s="11"/>
      <c r="Y113" s="11"/>
      <c r="Z113" s="11"/>
      <c r="AA113" s="11"/>
      <c r="AB113" s="11"/>
      <c r="AC113" s="11"/>
      <c r="AD113" s="11"/>
      <c r="AE113" s="11"/>
      <c r="AF113" s="11"/>
      <c r="AG113" s="11"/>
    </row>
    <row r="114" customHeight="1" spans="2:33">
      <c r="B114" s="3"/>
      <c r="C114" s="3"/>
      <c r="D114" s="3"/>
      <c r="E114" s="3"/>
      <c r="F114" s="3"/>
      <c r="G114" s="3"/>
      <c r="H114" s="11"/>
      <c r="I114" s="12"/>
      <c r="J114" s="12"/>
      <c r="K114" s="12"/>
      <c r="L114" s="12"/>
      <c r="M114" s="12"/>
      <c r="N114" s="12"/>
      <c r="O114" s="12"/>
      <c r="P114" s="12"/>
      <c r="Q114" s="11"/>
      <c r="R114" s="11"/>
      <c r="S114" s="11"/>
      <c r="T114" s="11"/>
      <c r="U114" s="11"/>
      <c r="V114" s="11"/>
      <c r="W114" s="11"/>
      <c r="X114" s="11"/>
      <c r="Y114" s="11"/>
      <c r="Z114" s="11"/>
      <c r="AA114" s="11"/>
      <c r="AB114" s="11"/>
      <c r="AC114" s="11"/>
      <c r="AD114" s="11"/>
      <c r="AE114" s="11"/>
      <c r="AF114" s="11"/>
      <c r="AG114" s="11"/>
    </row>
    <row r="115" customHeight="1" spans="2:33">
      <c r="B115" s="3"/>
      <c r="C115" s="3"/>
      <c r="D115" s="3"/>
      <c r="E115" s="3"/>
      <c r="F115" s="3"/>
      <c r="G115" s="3"/>
      <c r="H115" s="11"/>
      <c r="I115" s="12"/>
      <c r="J115" s="12"/>
      <c r="K115" s="12"/>
      <c r="L115" s="12"/>
      <c r="M115" s="12"/>
      <c r="N115" s="12"/>
      <c r="O115" s="12"/>
      <c r="P115" s="12"/>
      <c r="Q115" s="11"/>
      <c r="R115" s="11"/>
      <c r="S115" s="11"/>
      <c r="T115" s="11"/>
      <c r="U115" s="11"/>
      <c r="V115" s="11"/>
      <c r="W115" s="11"/>
      <c r="X115" s="11"/>
      <c r="Y115" s="11"/>
      <c r="Z115" s="11"/>
      <c r="AA115" s="11"/>
      <c r="AB115" s="11"/>
      <c r="AC115" s="11"/>
      <c r="AD115" s="11"/>
      <c r="AE115" s="11"/>
      <c r="AF115" s="11"/>
      <c r="AG115" s="11"/>
    </row>
    <row r="116" customHeight="1" spans="2:33">
      <c r="B116" s="3"/>
      <c r="C116" s="3"/>
      <c r="D116" s="3"/>
      <c r="E116" s="3"/>
      <c r="F116" s="3"/>
      <c r="G116" s="3"/>
      <c r="H116" s="11"/>
      <c r="I116" s="12"/>
      <c r="J116" s="12"/>
      <c r="K116" s="12"/>
      <c r="L116" s="12"/>
      <c r="M116" s="12"/>
      <c r="N116" s="12"/>
      <c r="O116" s="12"/>
      <c r="P116" s="12"/>
      <c r="Q116" s="11"/>
      <c r="R116" s="11"/>
      <c r="S116" s="11"/>
      <c r="T116" s="11"/>
      <c r="U116" s="11"/>
      <c r="V116" s="11"/>
      <c r="W116" s="11"/>
      <c r="X116" s="11"/>
      <c r="Y116" s="11"/>
      <c r="Z116" s="11"/>
      <c r="AA116" s="11"/>
      <c r="AB116" s="11"/>
      <c r="AC116" s="11"/>
      <c r="AD116" s="11"/>
      <c r="AE116" s="11"/>
      <c r="AF116" s="11"/>
      <c r="AG116" s="11"/>
    </row>
    <row r="117" customHeight="1" spans="2:33">
      <c r="B117" s="3"/>
      <c r="C117" s="3"/>
      <c r="D117" s="3"/>
      <c r="E117" s="3"/>
      <c r="F117" s="3"/>
      <c r="G117" s="3"/>
      <c r="H117" s="11"/>
      <c r="I117" s="12"/>
      <c r="J117" s="12"/>
      <c r="K117" s="12"/>
      <c r="L117" s="12"/>
      <c r="M117" s="12"/>
      <c r="N117" s="12"/>
      <c r="O117" s="12"/>
      <c r="P117" s="12"/>
      <c r="Q117" s="11"/>
      <c r="R117" s="11"/>
      <c r="S117" s="11"/>
      <c r="T117" s="11"/>
      <c r="U117" s="11"/>
      <c r="V117" s="11"/>
      <c r="W117" s="11"/>
      <c r="X117" s="11"/>
      <c r="Y117" s="11"/>
      <c r="Z117" s="11"/>
      <c r="AA117" s="11"/>
      <c r="AB117" s="11"/>
      <c r="AC117" s="11"/>
      <c r="AD117" s="11"/>
      <c r="AE117" s="11"/>
      <c r="AF117" s="11"/>
      <c r="AG117" s="11"/>
    </row>
    <row r="118" customHeight="1" spans="2:33">
      <c r="B118" s="3"/>
      <c r="C118" s="3"/>
      <c r="D118" s="3"/>
      <c r="E118" s="3"/>
      <c r="F118" s="3"/>
      <c r="G118" s="3"/>
      <c r="H118" s="11"/>
      <c r="I118" s="12"/>
      <c r="J118" s="12"/>
      <c r="K118" s="12"/>
      <c r="L118" s="12"/>
      <c r="M118" s="12"/>
      <c r="N118" s="12"/>
      <c r="O118" s="12"/>
      <c r="P118" s="12"/>
      <c r="Q118" s="11"/>
      <c r="R118" s="11"/>
      <c r="S118" s="11"/>
      <c r="T118" s="11"/>
      <c r="U118" s="11"/>
      <c r="V118" s="11"/>
      <c r="W118" s="11"/>
      <c r="X118" s="11"/>
      <c r="Y118" s="11"/>
      <c r="Z118" s="11"/>
      <c r="AA118" s="11"/>
      <c r="AB118" s="11"/>
      <c r="AC118" s="11"/>
      <c r="AD118" s="11"/>
      <c r="AE118" s="11"/>
      <c r="AF118" s="11"/>
      <c r="AG118" s="11"/>
    </row>
    <row r="119" customHeight="1" spans="2:33">
      <c r="B119" s="3"/>
      <c r="C119" s="3"/>
      <c r="D119" s="3"/>
      <c r="E119" s="3"/>
      <c r="F119" s="3"/>
      <c r="G119" s="3"/>
      <c r="H119" s="11"/>
      <c r="I119" s="12"/>
      <c r="J119" s="12"/>
      <c r="K119" s="12"/>
      <c r="L119" s="12"/>
      <c r="M119" s="12"/>
      <c r="N119" s="12"/>
      <c r="O119" s="12"/>
      <c r="P119" s="12"/>
      <c r="Q119" s="11"/>
      <c r="R119" s="11"/>
      <c r="S119" s="11"/>
      <c r="T119" s="11"/>
      <c r="U119" s="11"/>
      <c r="V119" s="11"/>
      <c r="W119" s="11"/>
      <c r="X119" s="11"/>
      <c r="Y119" s="11"/>
      <c r="Z119" s="11"/>
      <c r="AA119" s="11"/>
      <c r="AB119" s="11"/>
      <c r="AC119" s="11"/>
      <c r="AD119" s="11"/>
      <c r="AE119" s="11"/>
      <c r="AF119" s="11"/>
      <c r="AG119" s="11"/>
    </row>
    <row r="120" customHeight="1" spans="2:33">
      <c r="B120" s="3"/>
      <c r="C120" s="3"/>
      <c r="D120" s="3"/>
      <c r="E120" s="3"/>
      <c r="F120" s="3"/>
      <c r="G120" s="3"/>
      <c r="H120" s="11"/>
      <c r="I120" s="12"/>
      <c r="J120" s="12"/>
      <c r="K120" s="12"/>
      <c r="L120" s="12"/>
      <c r="M120" s="12"/>
      <c r="N120" s="12"/>
      <c r="O120" s="12"/>
      <c r="P120" s="12"/>
      <c r="Q120" s="11"/>
      <c r="R120" s="11"/>
      <c r="S120" s="11"/>
      <c r="T120" s="11"/>
      <c r="U120" s="11"/>
      <c r="V120" s="11"/>
      <c r="W120" s="11"/>
      <c r="X120" s="11"/>
      <c r="Y120" s="11"/>
      <c r="Z120" s="11"/>
      <c r="AA120" s="11"/>
      <c r="AB120" s="11"/>
      <c r="AC120" s="11"/>
      <c r="AD120" s="11"/>
      <c r="AE120" s="11"/>
      <c r="AF120" s="11"/>
      <c r="AG120" s="11"/>
    </row>
    <row r="121" customHeight="1" spans="2:33">
      <c r="B121" s="3"/>
      <c r="C121" s="3"/>
      <c r="D121" s="3"/>
      <c r="E121" s="3"/>
      <c r="F121" s="3"/>
      <c r="G121" s="3"/>
      <c r="H121" s="11"/>
      <c r="I121" s="12"/>
      <c r="J121" s="12"/>
      <c r="K121" s="12"/>
      <c r="L121" s="12"/>
      <c r="M121" s="12"/>
      <c r="N121" s="12"/>
      <c r="O121" s="12"/>
      <c r="P121" s="12"/>
      <c r="Q121" s="11"/>
      <c r="R121" s="11"/>
      <c r="S121" s="11"/>
      <c r="T121" s="11"/>
      <c r="U121" s="11"/>
      <c r="V121" s="11"/>
      <c r="W121" s="11"/>
      <c r="X121" s="11"/>
      <c r="Y121" s="11"/>
      <c r="Z121" s="11"/>
      <c r="AA121" s="11"/>
      <c r="AB121" s="11"/>
      <c r="AC121" s="11"/>
      <c r="AD121" s="11"/>
      <c r="AE121" s="11"/>
      <c r="AF121" s="11"/>
      <c r="AG121" s="11"/>
    </row>
    <row r="122" customHeight="1" spans="2:33">
      <c r="B122" s="3"/>
      <c r="C122" s="3"/>
      <c r="D122" s="3"/>
      <c r="E122" s="3"/>
      <c r="F122" s="3"/>
      <c r="G122" s="3"/>
      <c r="H122" s="11"/>
      <c r="I122" s="12"/>
      <c r="J122" s="12"/>
      <c r="K122" s="12"/>
      <c r="L122" s="12"/>
      <c r="M122" s="12"/>
      <c r="N122" s="12"/>
      <c r="O122" s="12"/>
      <c r="P122" s="12"/>
      <c r="Q122" s="11"/>
      <c r="R122" s="11"/>
      <c r="S122" s="11"/>
      <c r="T122" s="11"/>
      <c r="U122" s="11"/>
      <c r="V122" s="11"/>
      <c r="W122" s="11"/>
      <c r="X122" s="11"/>
      <c r="Y122" s="11"/>
      <c r="Z122" s="11"/>
      <c r="AA122" s="11"/>
      <c r="AB122" s="11"/>
      <c r="AC122" s="11"/>
      <c r="AD122" s="11"/>
      <c r="AE122" s="11"/>
      <c r="AF122" s="11"/>
      <c r="AG122" s="11"/>
    </row>
    <row r="123" customHeight="1" spans="2:33">
      <c r="B123" s="3"/>
      <c r="C123" s="3"/>
      <c r="D123" s="3"/>
      <c r="E123" s="3"/>
      <c r="F123" s="3"/>
      <c r="G123" s="3"/>
      <c r="H123" s="11"/>
      <c r="I123" s="12"/>
      <c r="J123" s="12"/>
      <c r="K123" s="12"/>
      <c r="L123" s="12"/>
      <c r="M123" s="12"/>
      <c r="N123" s="12"/>
      <c r="O123" s="12"/>
      <c r="P123" s="12"/>
      <c r="Q123" s="11"/>
      <c r="R123" s="11"/>
      <c r="S123" s="11"/>
      <c r="T123" s="11"/>
      <c r="U123" s="11"/>
      <c r="V123" s="11"/>
      <c r="W123" s="11"/>
      <c r="X123" s="11"/>
      <c r="Y123" s="11"/>
      <c r="Z123" s="11"/>
      <c r="AA123" s="11"/>
      <c r="AB123" s="11"/>
      <c r="AC123" s="11"/>
      <c r="AD123" s="11"/>
      <c r="AE123" s="11"/>
      <c r="AF123" s="11"/>
      <c r="AG123" s="11"/>
    </row>
    <row r="124" customHeight="1" spans="2:33">
      <c r="B124" s="3"/>
      <c r="C124" s="3"/>
      <c r="D124" s="3"/>
      <c r="E124" s="3"/>
      <c r="F124" s="3"/>
      <c r="G124" s="3"/>
      <c r="H124" s="11"/>
      <c r="I124" s="12"/>
      <c r="J124" s="12"/>
      <c r="K124" s="12"/>
      <c r="L124" s="12"/>
      <c r="M124" s="12"/>
      <c r="N124" s="12"/>
      <c r="O124" s="12"/>
      <c r="P124" s="12"/>
      <c r="Q124" s="11"/>
      <c r="R124" s="11"/>
      <c r="S124" s="11"/>
      <c r="T124" s="11"/>
      <c r="U124" s="11"/>
      <c r="V124" s="11"/>
      <c r="W124" s="11"/>
      <c r="X124" s="11"/>
      <c r="Y124" s="11"/>
      <c r="Z124" s="11"/>
      <c r="AA124" s="11"/>
      <c r="AB124" s="11"/>
      <c r="AC124" s="11"/>
      <c r="AD124" s="11"/>
      <c r="AE124" s="11"/>
      <c r="AF124" s="11"/>
      <c r="AG124" s="11"/>
    </row>
    <row r="125" customHeight="1" spans="2:33">
      <c r="B125" s="3"/>
      <c r="C125" s="3"/>
      <c r="D125" s="3"/>
      <c r="E125" s="3"/>
      <c r="F125" s="3"/>
      <c r="G125" s="3"/>
      <c r="H125" s="11"/>
      <c r="I125" s="12"/>
      <c r="J125" s="12"/>
      <c r="K125" s="12"/>
      <c r="L125" s="12"/>
      <c r="M125" s="12"/>
      <c r="N125" s="12"/>
      <c r="O125" s="12"/>
      <c r="P125" s="12"/>
      <c r="Q125" s="11"/>
      <c r="R125" s="11"/>
      <c r="S125" s="11"/>
      <c r="T125" s="11"/>
      <c r="U125" s="11"/>
      <c r="V125" s="11"/>
      <c r="W125" s="11"/>
      <c r="X125" s="11"/>
      <c r="Y125" s="11"/>
      <c r="Z125" s="11"/>
      <c r="AA125" s="11"/>
      <c r="AB125" s="11"/>
      <c r="AC125" s="11"/>
      <c r="AD125" s="11"/>
      <c r="AE125" s="11"/>
      <c r="AF125" s="11"/>
      <c r="AG125" s="11"/>
    </row>
    <row r="126" customHeight="1" spans="2:33">
      <c r="B126" s="3"/>
      <c r="C126" s="3"/>
      <c r="D126" s="3"/>
      <c r="E126" s="3"/>
      <c r="F126" s="3"/>
      <c r="G126" s="3"/>
      <c r="H126" s="11"/>
      <c r="I126" s="12"/>
      <c r="J126" s="12"/>
      <c r="K126" s="12"/>
      <c r="L126" s="12"/>
      <c r="M126" s="12"/>
      <c r="N126" s="12"/>
      <c r="O126" s="12"/>
      <c r="P126" s="12"/>
      <c r="Q126" s="11"/>
      <c r="R126" s="11"/>
      <c r="S126" s="11"/>
      <c r="T126" s="11"/>
      <c r="U126" s="11"/>
      <c r="V126" s="11"/>
      <c r="W126" s="11"/>
      <c r="X126" s="11"/>
      <c r="Y126" s="11"/>
      <c r="Z126" s="11"/>
      <c r="AA126" s="11"/>
      <c r="AB126" s="11"/>
      <c r="AC126" s="11"/>
      <c r="AD126" s="11"/>
      <c r="AE126" s="11"/>
      <c r="AF126" s="11"/>
      <c r="AG126" s="11"/>
    </row>
    <row r="127" customHeight="1" spans="2:33">
      <c r="B127" s="3"/>
      <c r="C127" s="3"/>
      <c r="D127" s="3"/>
      <c r="E127" s="3"/>
      <c r="F127" s="3"/>
      <c r="G127" s="3"/>
      <c r="H127" s="11"/>
      <c r="I127" s="12"/>
      <c r="J127" s="12"/>
      <c r="K127" s="12"/>
      <c r="L127" s="12"/>
      <c r="M127" s="12"/>
      <c r="N127" s="12"/>
      <c r="O127" s="12"/>
      <c r="P127" s="12"/>
      <c r="Q127" s="11"/>
      <c r="R127" s="11"/>
      <c r="S127" s="11"/>
      <c r="T127" s="11"/>
      <c r="U127" s="11"/>
      <c r="V127" s="11"/>
      <c r="W127" s="11"/>
      <c r="X127" s="11"/>
      <c r="Y127" s="11"/>
      <c r="Z127" s="11"/>
      <c r="AA127" s="11"/>
      <c r="AB127" s="11"/>
      <c r="AC127" s="11"/>
      <c r="AD127" s="11"/>
      <c r="AE127" s="11"/>
      <c r="AF127" s="11"/>
      <c r="AG127" s="11"/>
    </row>
    <row r="128" customHeight="1" spans="2:33">
      <c r="B128" s="3"/>
      <c r="C128" s="3"/>
      <c r="D128" s="3"/>
      <c r="E128" s="3"/>
      <c r="F128" s="3"/>
      <c r="G128" s="3"/>
      <c r="H128" s="11"/>
      <c r="I128" s="12"/>
      <c r="J128" s="12"/>
      <c r="K128" s="12"/>
      <c r="L128" s="12"/>
      <c r="M128" s="12"/>
      <c r="N128" s="12"/>
      <c r="O128" s="12"/>
      <c r="P128" s="12"/>
      <c r="Q128" s="11"/>
      <c r="R128" s="11"/>
      <c r="S128" s="11"/>
      <c r="T128" s="11"/>
      <c r="U128" s="11"/>
      <c r="V128" s="11"/>
      <c r="W128" s="11"/>
      <c r="X128" s="11"/>
      <c r="Y128" s="11"/>
      <c r="Z128" s="11"/>
      <c r="AA128" s="11"/>
      <c r="AB128" s="11"/>
      <c r="AC128" s="11"/>
      <c r="AD128" s="11"/>
      <c r="AE128" s="11"/>
      <c r="AF128" s="11"/>
      <c r="AG128" s="11"/>
    </row>
    <row r="129" customHeight="1" spans="2:33">
      <c r="B129" s="3"/>
      <c r="C129" s="3"/>
      <c r="D129" s="3"/>
      <c r="E129" s="3"/>
      <c r="F129" s="3"/>
      <c r="G129" s="3"/>
      <c r="H129" s="11"/>
      <c r="I129" s="12"/>
      <c r="J129" s="12"/>
      <c r="K129" s="12"/>
      <c r="L129" s="12"/>
      <c r="M129" s="12"/>
      <c r="N129" s="12"/>
      <c r="O129" s="12"/>
      <c r="P129" s="12"/>
      <c r="Q129" s="11"/>
      <c r="R129" s="11"/>
      <c r="S129" s="11"/>
      <c r="T129" s="11"/>
      <c r="U129" s="11"/>
      <c r="V129" s="11"/>
      <c r="W129" s="11"/>
      <c r="X129" s="11"/>
      <c r="Y129" s="11"/>
      <c r="Z129" s="11"/>
      <c r="AA129" s="11"/>
      <c r="AB129" s="11"/>
      <c r="AC129" s="11"/>
      <c r="AD129" s="11"/>
      <c r="AE129" s="11"/>
      <c r="AF129" s="11"/>
      <c r="AG129" s="11"/>
    </row>
    <row r="130" customHeight="1" spans="2:33">
      <c r="B130" s="3"/>
      <c r="C130" s="3"/>
      <c r="D130" s="3"/>
      <c r="E130" s="3"/>
      <c r="F130" s="3"/>
      <c r="G130" s="3"/>
      <c r="H130" s="11"/>
      <c r="I130" s="12"/>
      <c r="J130" s="12"/>
      <c r="K130" s="12"/>
      <c r="L130" s="12"/>
      <c r="M130" s="12"/>
      <c r="N130" s="12"/>
      <c r="O130" s="12"/>
      <c r="P130" s="12"/>
      <c r="Q130" s="11"/>
      <c r="R130" s="11"/>
      <c r="S130" s="11"/>
      <c r="T130" s="11"/>
      <c r="U130" s="11"/>
      <c r="V130" s="11"/>
      <c r="W130" s="11"/>
      <c r="X130" s="11"/>
      <c r="Y130" s="11"/>
      <c r="Z130" s="11"/>
      <c r="AA130" s="11"/>
      <c r="AB130" s="11"/>
      <c r="AC130" s="11"/>
      <c r="AD130" s="11"/>
      <c r="AE130" s="11"/>
      <c r="AF130" s="11"/>
      <c r="AG130" s="11"/>
    </row>
    <row r="131" customHeight="1" spans="2:33">
      <c r="B131" s="3"/>
      <c r="C131" s="3"/>
      <c r="D131" s="3"/>
      <c r="E131" s="3"/>
      <c r="F131" s="3"/>
      <c r="G131" s="3"/>
      <c r="H131" s="11"/>
      <c r="I131" s="12"/>
      <c r="J131" s="12"/>
      <c r="K131" s="12"/>
      <c r="L131" s="12"/>
      <c r="M131" s="12"/>
      <c r="N131" s="12"/>
      <c r="O131" s="12"/>
      <c r="P131" s="12"/>
      <c r="Q131" s="11"/>
      <c r="R131" s="11"/>
      <c r="S131" s="11"/>
      <c r="T131" s="11"/>
      <c r="U131" s="11"/>
      <c r="V131" s="11"/>
      <c r="W131" s="11"/>
      <c r="X131" s="11"/>
      <c r="Y131" s="11"/>
      <c r="Z131" s="11"/>
      <c r="AA131" s="11"/>
      <c r="AB131" s="11"/>
      <c r="AC131" s="11"/>
      <c r="AD131" s="11"/>
      <c r="AE131" s="11"/>
      <c r="AF131" s="11"/>
      <c r="AG131" s="11"/>
    </row>
    <row r="132" customHeight="1" spans="2:33">
      <c r="B132" s="3"/>
      <c r="C132" s="3"/>
      <c r="D132" s="3"/>
      <c r="E132" s="3"/>
      <c r="F132" s="3"/>
      <c r="G132" s="3"/>
      <c r="H132" s="11"/>
      <c r="I132" s="12"/>
      <c r="J132" s="12"/>
      <c r="K132" s="12"/>
      <c r="L132" s="12"/>
      <c r="M132" s="12"/>
      <c r="N132" s="12"/>
      <c r="O132" s="12"/>
      <c r="P132" s="12"/>
      <c r="Q132" s="11"/>
      <c r="R132" s="11"/>
      <c r="S132" s="11"/>
      <c r="T132" s="11"/>
      <c r="U132" s="11"/>
      <c r="V132" s="11"/>
      <c r="W132" s="11"/>
      <c r="X132" s="11"/>
      <c r="Y132" s="11"/>
      <c r="Z132" s="11"/>
      <c r="AA132" s="11"/>
      <c r="AB132" s="11"/>
      <c r="AC132" s="11"/>
      <c r="AD132" s="11"/>
      <c r="AE132" s="11"/>
      <c r="AF132" s="11"/>
      <c r="AG132" s="11"/>
    </row>
    <row r="133" customHeight="1" spans="2:33">
      <c r="B133" s="3"/>
      <c r="C133" s="3"/>
      <c r="D133" s="3"/>
      <c r="E133" s="3"/>
      <c r="F133" s="3"/>
      <c r="G133" s="3"/>
      <c r="H133" s="11"/>
      <c r="I133" s="12"/>
      <c r="J133" s="12"/>
      <c r="K133" s="12"/>
      <c r="L133" s="12"/>
      <c r="M133" s="12"/>
      <c r="N133" s="12"/>
      <c r="O133" s="12"/>
      <c r="P133" s="12"/>
      <c r="Q133" s="11"/>
      <c r="R133" s="11"/>
      <c r="S133" s="11"/>
      <c r="T133" s="11"/>
      <c r="U133" s="11"/>
      <c r="V133" s="11"/>
      <c r="W133" s="11"/>
      <c r="X133" s="11"/>
      <c r="Y133" s="11"/>
      <c r="Z133" s="11"/>
      <c r="AA133" s="11"/>
      <c r="AB133" s="11"/>
      <c r="AC133" s="11"/>
      <c r="AD133" s="11"/>
      <c r="AE133" s="11"/>
      <c r="AF133" s="11"/>
      <c r="AG133" s="11"/>
    </row>
    <row r="134" customHeight="1" spans="2:33">
      <c r="B134" s="3"/>
      <c r="C134" s="3"/>
      <c r="D134" s="3"/>
      <c r="E134" s="3"/>
      <c r="F134" s="3"/>
      <c r="G134" s="3"/>
      <c r="H134" s="11"/>
      <c r="I134" s="12"/>
      <c r="J134" s="12"/>
      <c r="K134" s="12"/>
      <c r="L134" s="12"/>
      <c r="M134" s="12"/>
      <c r="N134" s="12"/>
      <c r="O134" s="12"/>
      <c r="P134" s="12"/>
      <c r="Q134" s="11"/>
      <c r="R134" s="11"/>
      <c r="S134" s="11"/>
      <c r="T134" s="11"/>
      <c r="U134" s="11"/>
      <c r="V134" s="11"/>
      <c r="W134" s="11"/>
      <c r="X134" s="11"/>
      <c r="Y134" s="11"/>
      <c r="Z134" s="11"/>
      <c r="AA134" s="11"/>
      <c r="AB134" s="11"/>
      <c r="AC134" s="11"/>
      <c r="AD134" s="11"/>
      <c r="AE134" s="11"/>
      <c r="AF134" s="11"/>
      <c r="AG134" s="11"/>
    </row>
    <row r="135" customHeight="1" spans="2:33">
      <c r="B135" s="3"/>
      <c r="C135" s="3"/>
      <c r="D135" s="3"/>
      <c r="E135" s="3"/>
      <c r="F135" s="3"/>
      <c r="G135" s="3"/>
      <c r="H135" s="11"/>
      <c r="I135" s="12"/>
      <c r="J135" s="12"/>
      <c r="K135" s="12"/>
      <c r="L135" s="12"/>
      <c r="M135" s="12"/>
      <c r="N135" s="12"/>
      <c r="O135" s="12"/>
      <c r="P135" s="12"/>
      <c r="Q135" s="11"/>
      <c r="R135" s="11"/>
      <c r="S135" s="11"/>
      <c r="T135" s="11"/>
      <c r="U135" s="11"/>
      <c r="V135" s="11"/>
      <c r="W135" s="11"/>
      <c r="X135" s="11"/>
      <c r="Y135" s="11"/>
      <c r="Z135" s="11"/>
      <c r="AA135" s="11"/>
      <c r="AB135" s="11"/>
      <c r="AC135" s="11"/>
      <c r="AD135" s="11"/>
      <c r="AE135" s="11"/>
      <c r="AF135" s="11"/>
      <c r="AG135" s="11"/>
    </row>
    <row r="136" customHeight="1" spans="2:33">
      <c r="B136" s="3"/>
      <c r="C136" s="3"/>
      <c r="D136" s="3"/>
      <c r="E136" s="3"/>
      <c r="F136" s="3"/>
      <c r="G136" s="3"/>
      <c r="H136" s="11"/>
      <c r="I136" s="12"/>
      <c r="J136" s="12"/>
      <c r="K136" s="12"/>
      <c r="L136" s="12"/>
      <c r="M136" s="12"/>
      <c r="N136" s="12"/>
      <c r="O136" s="12"/>
      <c r="P136" s="12"/>
      <c r="Q136" s="11"/>
      <c r="R136" s="11"/>
      <c r="S136" s="11"/>
      <c r="T136" s="11"/>
      <c r="U136" s="11"/>
      <c r="V136" s="11"/>
      <c r="W136" s="11"/>
      <c r="X136" s="11"/>
      <c r="Y136" s="11"/>
      <c r="Z136" s="11"/>
      <c r="AA136" s="11"/>
      <c r="AB136" s="11"/>
      <c r="AC136" s="11"/>
      <c r="AD136" s="11"/>
      <c r="AE136" s="11"/>
      <c r="AF136" s="11"/>
      <c r="AG136" s="11"/>
    </row>
    <row r="137" customHeight="1" spans="2:33">
      <c r="B137" s="3"/>
      <c r="C137" s="3"/>
      <c r="D137" s="3"/>
      <c r="E137" s="3"/>
      <c r="F137" s="3"/>
      <c r="G137" s="3"/>
      <c r="H137" s="11"/>
      <c r="I137" s="12"/>
      <c r="J137" s="12"/>
      <c r="K137" s="12"/>
      <c r="L137" s="12"/>
      <c r="M137" s="12"/>
      <c r="N137" s="12"/>
      <c r="O137" s="12"/>
      <c r="P137" s="12"/>
      <c r="Q137" s="11"/>
      <c r="R137" s="11"/>
      <c r="S137" s="11"/>
      <c r="T137" s="11"/>
      <c r="U137" s="11"/>
      <c r="V137" s="11"/>
      <c r="W137" s="11"/>
      <c r="X137" s="11"/>
      <c r="Y137" s="11"/>
      <c r="Z137" s="11"/>
      <c r="AA137" s="11"/>
      <c r="AB137" s="11"/>
      <c r="AC137" s="11"/>
      <c r="AD137" s="11"/>
      <c r="AE137" s="11"/>
      <c r="AF137" s="11"/>
      <c r="AG137" s="11"/>
    </row>
    <row r="138" customHeight="1" spans="2:33">
      <c r="B138" s="3"/>
      <c r="C138" s="3"/>
      <c r="D138" s="3"/>
      <c r="E138" s="3"/>
      <c r="F138" s="3"/>
      <c r="G138" s="3"/>
      <c r="H138" s="11"/>
      <c r="I138" s="12"/>
      <c r="J138" s="12"/>
      <c r="K138" s="12"/>
      <c r="L138" s="12"/>
      <c r="M138" s="12"/>
      <c r="N138" s="12"/>
      <c r="O138" s="12"/>
      <c r="P138" s="12"/>
      <c r="Q138" s="11"/>
      <c r="R138" s="11"/>
      <c r="S138" s="11"/>
      <c r="T138" s="11"/>
      <c r="U138" s="11"/>
      <c r="V138" s="11"/>
      <c r="W138" s="11"/>
      <c r="X138" s="11"/>
      <c r="Y138" s="11"/>
      <c r="Z138" s="11"/>
      <c r="AA138" s="11"/>
      <c r="AB138" s="11"/>
      <c r="AC138" s="11"/>
      <c r="AD138" s="11"/>
      <c r="AE138" s="11"/>
      <c r="AF138" s="11"/>
      <c r="AG138" s="11"/>
    </row>
    <row r="139" customHeight="1" spans="2:33">
      <c r="B139" s="3"/>
      <c r="C139" s="3"/>
      <c r="D139" s="3"/>
      <c r="E139" s="3"/>
      <c r="F139" s="3"/>
      <c r="G139" s="3"/>
      <c r="H139" s="11"/>
      <c r="I139" s="12"/>
      <c r="J139" s="12"/>
      <c r="K139" s="12"/>
      <c r="L139" s="12"/>
      <c r="M139" s="12"/>
      <c r="N139" s="12"/>
      <c r="O139" s="12"/>
      <c r="P139" s="12"/>
      <c r="Q139" s="11"/>
      <c r="R139" s="11"/>
      <c r="S139" s="11"/>
      <c r="T139" s="11"/>
      <c r="U139" s="11"/>
      <c r="V139" s="11"/>
      <c r="W139" s="11"/>
      <c r="X139" s="11"/>
      <c r="Y139" s="11"/>
      <c r="Z139" s="11"/>
      <c r="AA139" s="11"/>
      <c r="AB139" s="11"/>
      <c r="AC139" s="11"/>
      <c r="AD139" s="11"/>
      <c r="AE139" s="11"/>
      <c r="AF139" s="11"/>
      <c r="AG139" s="11"/>
    </row>
    <row r="140" customHeight="1" spans="9:16">
      <c r="I140" s="13"/>
      <c r="J140" s="13"/>
      <c r="K140" s="13"/>
      <c r="L140" s="13"/>
      <c r="M140" s="13"/>
      <c r="N140" s="13"/>
      <c r="O140" s="13"/>
      <c r="P140" s="13"/>
    </row>
    <row r="141" customHeight="1" spans="9:16">
      <c r="I141" s="13"/>
      <c r="J141" s="13"/>
      <c r="K141" s="13"/>
      <c r="L141" s="13"/>
      <c r="M141" s="13"/>
      <c r="N141" s="13"/>
      <c r="O141" s="13"/>
      <c r="P141" s="13"/>
    </row>
    <row r="142" customHeight="1" spans="9:16">
      <c r="I142" s="13"/>
      <c r="J142" s="13"/>
      <c r="K142" s="13"/>
      <c r="L142" s="13"/>
      <c r="M142" s="13"/>
      <c r="N142" s="13"/>
      <c r="O142" s="13"/>
      <c r="P142" s="13"/>
    </row>
    <row r="143" customHeight="1" spans="9:16">
      <c r="I143" s="13"/>
      <c r="J143" s="13"/>
      <c r="K143" s="13"/>
      <c r="L143" s="13"/>
      <c r="M143" s="13"/>
      <c r="N143" s="13"/>
      <c r="O143" s="13"/>
      <c r="P143" s="13"/>
    </row>
    <row r="144" customHeight="1" spans="9:16">
      <c r="I144" s="13"/>
      <c r="J144" s="13"/>
      <c r="K144" s="13"/>
      <c r="L144" s="13"/>
      <c r="M144" s="13"/>
      <c r="N144" s="13"/>
      <c r="O144" s="13"/>
      <c r="P144" s="13"/>
    </row>
    <row r="145" customHeight="1" spans="9:16">
      <c r="I145" s="13"/>
      <c r="J145" s="13"/>
      <c r="K145" s="13"/>
      <c r="L145" s="13"/>
      <c r="M145" s="13"/>
      <c r="N145" s="13"/>
      <c r="O145" s="13"/>
      <c r="P145" s="13"/>
    </row>
    <row r="146" customHeight="1" spans="9:16">
      <c r="I146" s="13"/>
      <c r="J146" s="13"/>
      <c r="K146" s="13"/>
      <c r="L146" s="13"/>
      <c r="M146" s="13"/>
      <c r="N146" s="13"/>
      <c r="O146" s="13"/>
      <c r="P146" s="13"/>
    </row>
    <row r="147" customHeight="1" spans="9:16">
      <c r="I147" s="13"/>
      <c r="J147" s="13"/>
      <c r="K147" s="13"/>
      <c r="L147" s="13"/>
      <c r="M147" s="13"/>
      <c r="N147" s="13"/>
      <c r="O147" s="13"/>
      <c r="P147" s="13"/>
    </row>
    <row r="148" customHeight="1" spans="9:16">
      <c r="I148" s="13"/>
      <c r="J148" s="13"/>
      <c r="K148" s="13"/>
      <c r="L148" s="13"/>
      <c r="M148" s="13"/>
      <c r="N148" s="13"/>
      <c r="O148" s="13"/>
      <c r="P148" s="13"/>
    </row>
    <row r="149" customHeight="1" spans="9:16">
      <c r="I149" s="13"/>
      <c r="J149" s="13"/>
      <c r="K149" s="13"/>
      <c r="L149" s="13"/>
      <c r="M149" s="13"/>
      <c r="N149" s="13"/>
      <c r="O149" s="13"/>
      <c r="P149" s="13"/>
    </row>
    <row r="150" customHeight="1" spans="9:16">
      <c r="I150" s="13"/>
      <c r="J150" s="13"/>
      <c r="K150" s="13"/>
      <c r="L150" s="13"/>
      <c r="M150" s="13"/>
      <c r="N150" s="13"/>
      <c r="O150" s="13"/>
      <c r="P150" s="13"/>
    </row>
    <row r="151" customHeight="1" spans="9:16">
      <c r="I151" s="13"/>
      <c r="J151" s="13"/>
      <c r="K151" s="13"/>
      <c r="L151" s="13"/>
      <c r="M151" s="13"/>
      <c r="N151" s="13"/>
      <c r="O151" s="13"/>
      <c r="P151" s="13"/>
    </row>
    <row r="152" customHeight="1" spans="9:16">
      <c r="I152" s="13"/>
      <c r="J152" s="13"/>
      <c r="K152" s="13"/>
      <c r="L152" s="13"/>
      <c r="M152" s="13"/>
      <c r="N152" s="13"/>
      <c r="O152" s="13"/>
      <c r="P152" s="13"/>
    </row>
    <row r="153" customHeight="1" spans="9:16">
      <c r="I153" s="13"/>
      <c r="J153" s="13"/>
      <c r="K153" s="13"/>
      <c r="L153" s="13"/>
      <c r="M153" s="13"/>
      <c r="N153" s="13"/>
      <c r="O153" s="13"/>
      <c r="P153" s="13"/>
    </row>
    <row r="154" customHeight="1" spans="9:16">
      <c r="I154" s="13"/>
      <c r="J154" s="13"/>
      <c r="K154" s="13"/>
      <c r="L154" s="13"/>
      <c r="M154" s="13"/>
      <c r="N154" s="13"/>
      <c r="O154" s="13"/>
      <c r="P154" s="13"/>
    </row>
    <row r="155" customHeight="1" spans="9:16">
      <c r="I155" s="13"/>
      <c r="J155" s="13"/>
      <c r="K155" s="13"/>
      <c r="L155" s="13"/>
      <c r="M155" s="13"/>
      <c r="N155" s="13"/>
      <c r="O155" s="13"/>
      <c r="P155" s="13"/>
    </row>
    <row r="156" customHeight="1" spans="9:16">
      <c r="I156" s="13"/>
      <c r="J156" s="13"/>
      <c r="K156" s="13"/>
      <c r="L156" s="13"/>
      <c r="M156" s="13"/>
      <c r="N156" s="13"/>
      <c r="O156" s="13"/>
      <c r="P156" s="13"/>
    </row>
    <row r="157" customHeight="1" spans="9:16">
      <c r="I157" s="13"/>
      <c r="J157" s="13"/>
      <c r="K157" s="13"/>
      <c r="L157" s="13"/>
      <c r="M157" s="13"/>
      <c r="N157" s="13"/>
      <c r="O157" s="13"/>
      <c r="P157" s="13"/>
    </row>
    <row r="158" customHeight="1" spans="9:16">
      <c r="I158" s="13"/>
      <c r="J158" s="13"/>
      <c r="K158" s="13"/>
      <c r="L158" s="13"/>
      <c r="M158" s="13"/>
      <c r="N158" s="13"/>
      <c r="O158" s="13"/>
      <c r="P158" s="13"/>
    </row>
    <row r="159" customHeight="1" spans="9:16">
      <c r="I159" s="13"/>
      <c r="J159" s="13"/>
      <c r="K159" s="13"/>
      <c r="L159" s="13"/>
      <c r="M159" s="13"/>
      <c r="N159" s="13"/>
      <c r="O159" s="13"/>
      <c r="P159" s="13"/>
    </row>
    <row r="160" customHeight="1" spans="9:16">
      <c r="I160" s="13"/>
      <c r="J160" s="13"/>
      <c r="K160" s="13"/>
      <c r="L160" s="13"/>
      <c r="M160" s="13"/>
      <c r="N160" s="13"/>
      <c r="O160" s="13"/>
      <c r="P160" s="13"/>
    </row>
    <row r="161" customHeight="1" spans="9:16">
      <c r="I161" s="13"/>
      <c r="J161" s="13"/>
      <c r="K161" s="13"/>
      <c r="L161" s="13"/>
      <c r="M161" s="13"/>
      <c r="N161" s="13"/>
      <c r="O161" s="13"/>
      <c r="P161" s="13"/>
    </row>
    <row r="162" customHeight="1" spans="9:16">
      <c r="I162" s="13"/>
      <c r="J162" s="13"/>
      <c r="K162" s="13"/>
      <c r="L162" s="13"/>
      <c r="M162" s="13"/>
      <c r="N162" s="13"/>
      <c r="O162" s="13"/>
      <c r="P162" s="13"/>
    </row>
    <row r="163" customHeight="1" spans="9:16">
      <c r="I163" s="13"/>
      <c r="J163" s="13"/>
      <c r="K163" s="13"/>
      <c r="L163" s="13"/>
      <c r="M163" s="13"/>
      <c r="N163" s="13"/>
      <c r="O163" s="13"/>
      <c r="P163" s="13"/>
    </row>
    <row r="164" customHeight="1" spans="9:16">
      <c r="I164" s="13"/>
      <c r="J164" s="13"/>
      <c r="K164" s="13"/>
      <c r="L164" s="13"/>
      <c r="M164" s="13"/>
      <c r="N164" s="13"/>
      <c r="O164" s="13"/>
      <c r="P164" s="13"/>
    </row>
    <row r="165" customHeight="1" spans="9:16">
      <c r="I165" s="13"/>
      <c r="J165" s="13"/>
      <c r="K165" s="13"/>
      <c r="L165" s="13"/>
      <c r="M165" s="13"/>
      <c r="N165" s="13"/>
      <c r="O165" s="13"/>
      <c r="P165" s="13"/>
    </row>
    <row r="166" customHeight="1" spans="9:16">
      <c r="I166" s="13"/>
      <c r="J166" s="13"/>
      <c r="K166" s="13"/>
      <c r="L166" s="13"/>
      <c r="M166" s="13"/>
      <c r="N166" s="13"/>
      <c r="O166" s="13"/>
      <c r="P166" s="13"/>
    </row>
    <row r="167" customHeight="1" spans="9:16">
      <c r="I167" s="13"/>
      <c r="J167" s="13"/>
      <c r="K167" s="13"/>
      <c r="L167" s="13"/>
      <c r="M167" s="13"/>
      <c r="N167" s="13"/>
      <c r="O167" s="13"/>
      <c r="P167" s="13"/>
    </row>
    <row r="168" customHeight="1" spans="9:16">
      <c r="I168" s="13"/>
      <c r="J168" s="13"/>
      <c r="K168" s="13"/>
      <c r="L168" s="13"/>
      <c r="M168" s="13"/>
      <c r="N168" s="13"/>
      <c r="O168" s="13"/>
      <c r="P168" s="13"/>
    </row>
    <row r="169" customHeight="1" spans="9:16">
      <c r="I169" s="13"/>
      <c r="J169" s="13"/>
      <c r="K169" s="13"/>
      <c r="L169" s="13"/>
      <c r="M169" s="13"/>
      <c r="N169" s="13"/>
      <c r="O169" s="13"/>
      <c r="P169" s="13"/>
    </row>
    <row r="170" customHeight="1" spans="9:16">
      <c r="I170" s="13"/>
      <c r="J170" s="13"/>
      <c r="K170" s="13"/>
      <c r="L170" s="13"/>
      <c r="M170" s="13"/>
      <c r="N170" s="13"/>
      <c r="O170" s="13"/>
      <c r="P170" s="13"/>
    </row>
    <row r="171" customHeight="1" spans="9:16">
      <c r="I171" s="13"/>
      <c r="J171" s="13"/>
      <c r="K171" s="13"/>
      <c r="L171" s="13"/>
      <c r="M171" s="13"/>
      <c r="N171" s="13"/>
      <c r="O171" s="13"/>
      <c r="P171" s="13"/>
    </row>
    <row r="172" customHeight="1" spans="9:16">
      <c r="I172" s="13"/>
      <c r="J172" s="13"/>
      <c r="K172" s="13"/>
      <c r="L172" s="13"/>
      <c r="M172" s="13"/>
      <c r="N172" s="13"/>
      <c r="O172" s="13"/>
      <c r="P172" s="13"/>
    </row>
    <row r="173" customHeight="1" spans="9:16">
      <c r="I173" s="13"/>
      <c r="J173" s="13"/>
      <c r="K173" s="13"/>
      <c r="L173" s="13"/>
      <c r="M173" s="13"/>
      <c r="N173" s="13"/>
      <c r="O173" s="13"/>
      <c r="P173" s="13"/>
    </row>
    <row r="174" customHeight="1" spans="9:16">
      <c r="I174" s="13"/>
      <c r="J174" s="13"/>
      <c r="K174" s="13"/>
      <c r="L174" s="13"/>
      <c r="M174" s="13"/>
      <c r="N174" s="13"/>
      <c r="O174" s="13"/>
      <c r="P174" s="13"/>
    </row>
    <row r="175" customHeight="1" spans="9:16">
      <c r="I175" s="13"/>
      <c r="J175" s="13"/>
      <c r="K175" s="13"/>
      <c r="L175" s="13"/>
      <c r="M175" s="13"/>
      <c r="N175" s="13"/>
      <c r="O175" s="13"/>
      <c r="P175" s="13"/>
    </row>
    <row r="176" customHeight="1" spans="9:16">
      <c r="I176" s="13"/>
      <c r="J176" s="13"/>
      <c r="K176" s="13"/>
      <c r="L176" s="13"/>
      <c r="M176" s="13"/>
      <c r="N176" s="13"/>
      <c r="O176" s="13"/>
      <c r="P176" s="13"/>
    </row>
    <row r="177" customHeight="1" spans="9:16">
      <c r="I177" s="13"/>
      <c r="J177" s="13"/>
      <c r="K177" s="13"/>
      <c r="L177" s="13"/>
      <c r="M177" s="13"/>
      <c r="N177" s="13"/>
      <c r="O177" s="13"/>
      <c r="P177" s="13"/>
    </row>
    <row r="178" customHeight="1" spans="9:16">
      <c r="I178" s="13"/>
      <c r="J178" s="13"/>
      <c r="K178" s="13"/>
      <c r="L178" s="13"/>
      <c r="M178" s="13"/>
      <c r="N178" s="13"/>
      <c r="O178" s="13"/>
      <c r="P178" s="13"/>
    </row>
    <row r="179" customHeight="1" spans="9:16">
      <c r="I179" s="13"/>
      <c r="J179" s="13"/>
      <c r="K179" s="13"/>
      <c r="L179" s="13"/>
      <c r="M179" s="13"/>
      <c r="N179" s="13"/>
      <c r="O179" s="13"/>
      <c r="P179" s="13"/>
    </row>
    <row r="180" customHeight="1" spans="9:16">
      <c r="I180" s="13"/>
      <c r="J180" s="13"/>
      <c r="K180" s="13"/>
      <c r="L180" s="13"/>
      <c r="M180" s="13"/>
      <c r="N180" s="13"/>
      <c r="O180" s="13"/>
      <c r="P180" s="13"/>
    </row>
    <row r="181" customHeight="1" spans="9:16">
      <c r="I181" s="13"/>
      <c r="J181" s="13"/>
      <c r="K181" s="13"/>
      <c r="L181" s="13"/>
      <c r="M181" s="13"/>
      <c r="N181" s="13"/>
      <c r="O181" s="13"/>
      <c r="P181" s="13"/>
    </row>
    <row r="182" customHeight="1" spans="9:16">
      <c r="I182" s="13"/>
      <c r="J182" s="13"/>
      <c r="K182" s="13"/>
      <c r="L182" s="13"/>
      <c r="M182" s="13"/>
      <c r="N182" s="13"/>
      <c r="O182" s="13"/>
      <c r="P182" s="13"/>
    </row>
    <row r="183" customHeight="1" spans="9:16">
      <c r="I183" s="13"/>
      <c r="J183" s="13"/>
      <c r="K183" s="13"/>
      <c r="L183" s="13"/>
      <c r="M183" s="13"/>
      <c r="N183" s="13"/>
      <c r="O183" s="13"/>
      <c r="P183" s="13"/>
    </row>
    <row r="184" customHeight="1" spans="9:16">
      <c r="I184" s="13"/>
      <c r="J184" s="13"/>
      <c r="K184" s="13"/>
      <c r="L184" s="13"/>
      <c r="M184" s="13"/>
      <c r="N184" s="13"/>
      <c r="O184" s="13"/>
      <c r="P184" s="13"/>
    </row>
    <row r="185" customHeight="1" spans="9:16">
      <c r="I185" s="13"/>
      <c r="J185" s="13"/>
      <c r="K185" s="13"/>
      <c r="L185" s="13"/>
      <c r="M185" s="13"/>
      <c r="N185" s="13"/>
      <c r="O185" s="13"/>
      <c r="P185" s="13"/>
    </row>
    <row r="186" customHeight="1" spans="9:16">
      <c r="I186" s="13"/>
      <c r="J186" s="13"/>
      <c r="K186" s="13"/>
      <c r="L186" s="13"/>
      <c r="M186" s="13"/>
      <c r="N186" s="13"/>
      <c r="O186" s="13"/>
      <c r="P186" s="13"/>
    </row>
    <row r="187" customHeight="1" spans="9:16">
      <c r="I187" s="13"/>
      <c r="J187" s="13"/>
      <c r="K187" s="13"/>
      <c r="L187" s="13"/>
      <c r="M187" s="13"/>
      <c r="N187" s="13"/>
      <c r="O187" s="13"/>
      <c r="P187" s="13"/>
    </row>
    <row r="188" customHeight="1" spans="9:16">
      <c r="I188" s="13"/>
      <c r="J188" s="13"/>
      <c r="K188" s="13"/>
      <c r="L188" s="13"/>
      <c r="M188" s="13"/>
      <c r="N188" s="13"/>
      <c r="O188" s="13"/>
      <c r="P188" s="13"/>
    </row>
    <row r="189" customHeight="1" spans="9:16">
      <c r="I189" s="13"/>
      <c r="J189" s="13"/>
      <c r="K189" s="13"/>
      <c r="L189" s="13"/>
      <c r="M189" s="13"/>
      <c r="N189" s="13"/>
      <c r="O189" s="13"/>
      <c r="P189" s="13"/>
    </row>
    <row r="190" customHeight="1" spans="9:16">
      <c r="I190" s="13"/>
      <c r="J190" s="13"/>
      <c r="K190" s="13"/>
      <c r="L190" s="13"/>
      <c r="M190" s="13"/>
      <c r="N190" s="13"/>
      <c r="O190" s="13"/>
      <c r="P190" s="13"/>
    </row>
    <row r="191" customHeight="1" spans="9:16">
      <c r="I191" s="13"/>
      <c r="J191" s="13"/>
      <c r="K191" s="13"/>
      <c r="L191" s="13"/>
      <c r="M191" s="13"/>
      <c r="N191" s="13"/>
      <c r="O191" s="13"/>
      <c r="P191" s="13"/>
    </row>
    <row r="192" customHeight="1" spans="9:16">
      <c r="I192" s="13"/>
      <c r="J192" s="13"/>
      <c r="K192" s="13"/>
      <c r="L192" s="13"/>
      <c r="M192" s="13"/>
      <c r="N192" s="13"/>
      <c r="O192" s="13"/>
      <c r="P192" s="13"/>
    </row>
    <row r="193" customHeight="1" spans="9:16">
      <c r="I193" s="13"/>
      <c r="J193" s="13"/>
      <c r="K193" s="13"/>
      <c r="L193" s="13"/>
      <c r="M193" s="13"/>
      <c r="N193" s="13"/>
      <c r="O193" s="13"/>
      <c r="P193" s="13"/>
    </row>
    <row r="194" customHeight="1" spans="9:16">
      <c r="I194" s="13"/>
      <c r="J194" s="13"/>
      <c r="K194" s="13"/>
      <c r="L194" s="13"/>
      <c r="M194" s="13"/>
      <c r="N194" s="13"/>
      <c r="O194" s="13"/>
      <c r="P194" s="13"/>
    </row>
    <row r="195" customHeight="1" spans="9:16">
      <c r="I195" s="13"/>
      <c r="J195" s="13"/>
      <c r="K195" s="13"/>
      <c r="L195" s="13"/>
      <c r="M195" s="13"/>
      <c r="N195" s="13"/>
      <c r="O195" s="13"/>
      <c r="P195" s="13"/>
    </row>
    <row r="196" customHeight="1" spans="9:16">
      <c r="I196" s="13"/>
      <c r="J196" s="13"/>
      <c r="K196" s="13"/>
      <c r="L196" s="13"/>
      <c r="M196" s="13"/>
      <c r="N196" s="13"/>
      <c r="O196" s="13"/>
      <c r="P196" s="13"/>
    </row>
    <row r="197" customHeight="1" spans="9:16">
      <c r="I197" s="13"/>
      <c r="J197" s="13"/>
      <c r="K197" s="13"/>
      <c r="L197" s="13"/>
      <c r="M197" s="13"/>
      <c r="N197" s="13"/>
      <c r="O197" s="13"/>
      <c r="P197" s="13"/>
    </row>
    <row r="198" customHeight="1" spans="9:16">
      <c r="I198" s="13"/>
      <c r="J198" s="13"/>
      <c r="K198" s="13"/>
      <c r="L198" s="13"/>
      <c r="M198" s="13"/>
      <c r="N198" s="13"/>
      <c r="O198" s="13"/>
      <c r="P198" s="13"/>
    </row>
    <row r="199" customHeight="1" spans="9:16">
      <c r="I199" s="13"/>
      <c r="J199" s="13"/>
      <c r="K199" s="13"/>
      <c r="L199" s="13"/>
      <c r="M199" s="13"/>
      <c r="N199" s="13"/>
      <c r="O199" s="13"/>
      <c r="P199" s="13"/>
    </row>
    <row r="200" customHeight="1" spans="9:16">
      <c r="I200" s="13"/>
      <c r="J200" s="13"/>
      <c r="K200" s="13"/>
      <c r="L200" s="13"/>
      <c r="M200" s="13"/>
      <c r="N200" s="13"/>
      <c r="O200" s="13"/>
      <c r="P200" s="13"/>
    </row>
    <row r="201" customHeight="1" spans="9:16">
      <c r="I201" s="13"/>
      <c r="J201" s="13"/>
      <c r="K201" s="13"/>
      <c r="L201" s="13"/>
      <c r="M201" s="13"/>
      <c r="N201" s="13"/>
      <c r="O201" s="13"/>
      <c r="P201" s="13"/>
    </row>
    <row r="202" customHeight="1" spans="9:16">
      <c r="I202" s="13"/>
      <c r="J202" s="13"/>
      <c r="K202" s="13"/>
      <c r="L202" s="13"/>
      <c r="M202" s="13"/>
      <c r="N202" s="13"/>
      <c r="O202" s="13"/>
      <c r="P202" s="13"/>
    </row>
    <row r="203" customHeight="1" spans="9:16">
      <c r="I203" s="13"/>
      <c r="J203" s="13"/>
      <c r="K203" s="13"/>
      <c r="L203" s="13"/>
      <c r="M203" s="13"/>
      <c r="N203" s="13"/>
      <c r="O203" s="13"/>
      <c r="P203" s="13"/>
    </row>
    <row r="204" customHeight="1" spans="9:16">
      <c r="I204" s="13"/>
      <c r="J204" s="13"/>
      <c r="K204" s="13"/>
      <c r="L204" s="13"/>
      <c r="M204" s="13"/>
      <c r="N204" s="13"/>
      <c r="O204" s="13"/>
      <c r="P204" s="13"/>
    </row>
    <row r="205" customHeight="1" spans="9:16">
      <c r="I205" s="13"/>
      <c r="J205" s="13"/>
      <c r="K205" s="13"/>
      <c r="L205" s="13"/>
      <c r="M205" s="13"/>
      <c r="N205" s="13"/>
      <c r="O205" s="13"/>
      <c r="P205" s="13"/>
    </row>
    <row r="206" customHeight="1" spans="9:16">
      <c r="I206" s="13"/>
      <c r="J206" s="13"/>
      <c r="K206" s="13"/>
      <c r="L206" s="13"/>
      <c r="M206" s="13"/>
      <c r="N206" s="13"/>
      <c r="O206" s="13"/>
      <c r="P206" s="13"/>
    </row>
    <row r="207" customHeight="1" spans="9:16">
      <c r="I207" s="13"/>
      <c r="J207" s="13"/>
      <c r="K207" s="13"/>
      <c r="L207" s="13"/>
      <c r="M207" s="13"/>
      <c r="N207" s="13"/>
      <c r="O207" s="13"/>
      <c r="P207" s="13"/>
    </row>
    <row r="208" customHeight="1" spans="9:16">
      <c r="I208" s="13"/>
      <c r="J208" s="13"/>
      <c r="K208" s="13"/>
      <c r="L208" s="13"/>
      <c r="M208" s="13"/>
      <c r="N208" s="13"/>
      <c r="O208" s="13"/>
      <c r="P208" s="13"/>
    </row>
    <row r="209" customHeight="1" spans="9:16">
      <c r="I209" s="13"/>
      <c r="J209" s="13"/>
      <c r="K209" s="13"/>
      <c r="L209" s="13"/>
      <c r="M209" s="13"/>
      <c r="N209" s="13"/>
      <c r="O209" s="13"/>
      <c r="P209" s="13"/>
    </row>
    <row r="210" customHeight="1" spans="9:16">
      <c r="I210" s="13"/>
      <c r="J210" s="13"/>
      <c r="K210" s="13"/>
      <c r="L210" s="13"/>
      <c r="M210" s="13"/>
      <c r="N210" s="13"/>
      <c r="O210" s="13"/>
      <c r="P210" s="13"/>
    </row>
    <row r="211" customHeight="1" spans="9:16">
      <c r="I211" s="13"/>
      <c r="J211" s="13"/>
      <c r="K211" s="13"/>
      <c r="L211" s="13"/>
      <c r="M211" s="13"/>
      <c r="N211" s="13"/>
      <c r="O211" s="13"/>
      <c r="P211" s="13"/>
    </row>
    <row r="212" customHeight="1" spans="9:16">
      <c r="I212" s="13"/>
      <c r="J212" s="13"/>
      <c r="K212" s="13"/>
      <c r="L212" s="13"/>
      <c r="M212" s="13"/>
      <c r="N212" s="13"/>
      <c r="O212" s="13"/>
      <c r="P212" s="13"/>
    </row>
    <row r="213" customHeight="1" spans="9:16">
      <c r="I213" s="13"/>
      <c r="J213" s="13"/>
      <c r="K213" s="13"/>
      <c r="L213" s="13"/>
      <c r="M213" s="13"/>
      <c r="N213" s="13"/>
      <c r="O213" s="13"/>
      <c r="P213" s="13"/>
    </row>
    <row r="214" customHeight="1" spans="9:16">
      <c r="I214" s="13"/>
      <c r="J214" s="13"/>
      <c r="K214" s="13"/>
      <c r="L214" s="13"/>
      <c r="M214" s="13"/>
      <c r="N214" s="13"/>
      <c r="O214" s="13"/>
      <c r="P214" s="13"/>
    </row>
    <row r="215" customHeight="1" spans="9:16">
      <c r="I215" s="13"/>
      <c r="J215" s="13"/>
      <c r="K215" s="13"/>
      <c r="L215" s="13"/>
      <c r="M215" s="13"/>
      <c r="N215" s="13"/>
      <c r="O215" s="13"/>
      <c r="P215" s="13"/>
    </row>
    <row r="216" customHeight="1" spans="9:16">
      <c r="I216" s="13"/>
      <c r="J216" s="13"/>
      <c r="K216" s="13"/>
      <c r="L216" s="13"/>
      <c r="M216" s="13"/>
      <c r="N216" s="13"/>
      <c r="O216" s="13"/>
      <c r="P216" s="13"/>
    </row>
    <row r="217" customHeight="1" spans="9:16">
      <c r="I217" s="13"/>
      <c r="J217" s="13"/>
      <c r="K217" s="13"/>
      <c r="L217" s="13"/>
      <c r="M217" s="13"/>
      <c r="N217" s="13"/>
      <c r="O217" s="13"/>
      <c r="P217" s="13"/>
    </row>
    <row r="218" customHeight="1" spans="9:16">
      <c r="I218" s="13"/>
      <c r="J218" s="13"/>
      <c r="K218" s="13"/>
      <c r="L218" s="13"/>
      <c r="M218" s="13"/>
      <c r="N218" s="13"/>
      <c r="O218" s="13"/>
      <c r="P218" s="13"/>
    </row>
    <row r="219" customHeight="1" spans="9:16">
      <c r="I219" s="13"/>
      <c r="J219" s="13"/>
      <c r="K219" s="13"/>
      <c r="L219" s="13"/>
      <c r="M219" s="13"/>
      <c r="N219" s="13"/>
      <c r="O219" s="13"/>
      <c r="P219" s="13"/>
    </row>
    <row r="220" customHeight="1" spans="9:16">
      <c r="I220" s="13"/>
      <c r="J220" s="13"/>
      <c r="K220" s="13"/>
      <c r="L220" s="13"/>
      <c r="M220" s="13"/>
      <c r="N220" s="13"/>
      <c r="O220" s="13"/>
      <c r="P220" s="13"/>
    </row>
    <row r="221" customHeight="1" spans="9:16">
      <c r="I221" s="13"/>
      <c r="J221" s="13"/>
      <c r="K221" s="13"/>
      <c r="L221" s="13"/>
      <c r="M221" s="13"/>
      <c r="N221" s="13"/>
      <c r="O221" s="13"/>
      <c r="P221" s="13"/>
    </row>
    <row r="222" customHeight="1" spans="9:16">
      <c r="I222" s="13"/>
      <c r="J222" s="13"/>
      <c r="K222" s="13"/>
      <c r="L222" s="13"/>
      <c r="M222" s="13"/>
      <c r="N222" s="13"/>
      <c r="O222" s="13"/>
      <c r="P222" s="13"/>
    </row>
    <row r="223" customHeight="1" spans="9:16">
      <c r="I223" s="13"/>
      <c r="J223" s="13"/>
      <c r="K223" s="13"/>
      <c r="L223" s="13"/>
      <c r="M223" s="13"/>
      <c r="N223" s="13"/>
      <c r="O223" s="13"/>
      <c r="P223" s="13"/>
    </row>
    <row r="224" customHeight="1" spans="9:16">
      <c r="I224" s="13"/>
      <c r="J224" s="13"/>
      <c r="K224" s="13"/>
      <c r="L224" s="13"/>
      <c r="M224" s="13"/>
      <c r="N224" s="13"/>
      <c r="O224" s="13"/>
      <c r="P224" s="13"/>
    </row>
    <row r="225" customHeight="1" spans="9:16">
      <c r="I225" s="13"/>
      <c r="J225" s="13"/>
      <c r="K225" s="13"/>
      <c r="L225" s="13"/>
      <c r="M225" s="13"/>
      <c r="N225" s="13"/>
      <c r="O225" s="13"/>
      <c r="P225" s="13"/>
    </row>
    <row r="226" customHeight="1" spans="9:16">
      <c r="I226" s="13"/>
      <c r="J226" s="13"/>
      <c r="K226" s="13"/>
      <c r="L226" s="13"/>
      <c r="M226" s="13"/>
      <c r="N226" s="13"/>
      <c r="O226" s="13"/>
      <c r="P226" s="13"/>
    </row>
    <row r="227" customHeight="1" spans="9:16">
      <c r="I227" s="13"/>
      <c r="J227" s="13"/>
      <c r="K227" s="13"/>
      <c r="L227" s="13"/>
      <c r="M227" s="13"/>
      <c r="N227" s="13"/>
      <c r="O227" s="13"/>
      <c r="P227" s="13"/>
    </row>
    <row r="228" customHeight="1" spans="9:16">
      <c r="I228" s="13"/>
      <c r="J228" s="13"/>
      <c r="K228" s="13"/>
      <c r="L228" s="13"/>
      <c r="M228" s="13"/>
      <c r="N228" s="13"/>
      <c r="O228" s="13"/>
      <c r="P228" s="13"/>
    </row>
    <row r="229" customHeight="1" spans="9:16">
      <c r="I229" s="13"/>
      <c r="J229" s="13"/>
      <c r="K229" s="13"/>
      <c r="L229" s="13"/>
      <c r="M229" s="13"/>
      <c r="N229" s="13"/>
      <c r="O229" s="13"/>
      <c r="P229" s="13"/>
    </row>
    <row r="230" customHeight="1" spans="9:16">
      <c r="I230" s="13"/>
      <c r="J230" s="13"/>
      <c r="K230" s="13"/>
      <c r="L230" s="13"/>
      <c r="M230" s="13"/>
      <c r="N230" s="13"/>
      <c r="O230" s="13"/>
      <c r="P230" s="13"/>
    </row>
    <row r="231" customHeight="1" spans="9:16">
      <c r="I231" s="13"/>
      <c r="J231" s="13"/>
      <c r="K231" s="13"/>
      <c r="L231" s="13"/>
      <c r="M231" s="13"/>
      <c r="N231" s="13"/>
      <c r="O231" s="13"/>
      <c r="P231" s="13"/>
    </row>
    <row r="232" customHeight="1" spans="9:16">
      <c r="I232" s="13"/>
      <c r="J232" s="13"/>
      <c r="K232" s="13"/>
      <c r="L232" s="13"/>
      <c r="M232" s="13"/>
      <c r="N232" s="13"/>
      <c r="O232" s="13"/>
      <c r="P232" s="13"/>
    </row>
    <row r="233" customHeight="1" spans="9:16">
      <c r="I233" s="13"/>
      <c r="J233" s="13"/>
      <c r="K233" s="13"/>
      <c r="L233" s="13"/>
      <c r="M233" s="13"/>
      <c r="N233" s="13"/>
      <c r="O233" s="13"/>
      <c r="P233" s="13"/>
    </row>
    <row r="234" customHeight="1" spans="9:16">
      <c r="I234" s="13"/>
      <c r="J234" s="13"/>
      <c r="K234" s="13"/>
      <c r="L234" s="13"/>
      <c r="M234" s="13"/>
      <c r="N234" s="13"/>
      <c r="O234" s="13"/>
      <c r="P234" s="13"/>
    </row>
    <row r="235" customHeight="1" spans="9:16">
      <c r="I235" s="13"/>
      <c r="J235" s="13"/>
      <c r="K235" s="13"/>
      <c r="L235" s="13"/>
      <c r="M235" s="13"/>
      <c r="N235" s="13"/>
      <c r="O235" s="13"/>
      <c r="P235" s="13"/>
    </row>
    <row r="236" customHeight="1" spans="9:16">
      <c r="I236" s="13"/>
      <c r="J236" s="13"/>
      <c r="K236" s="13"/>
      <c r="L236" s="13"/>
      <c r="M236" s="13"/>
      <c r="N236" s="13"/>
      <c r="O236" s="13"/>
      <c r="P236" s="13"/>
    </row>
    <row r="237" customHeight="1" spans="9:16">
      <c r="I237" s="13"/>
      <c r="J237" s="13"/>
      <c r="K237" s="13"/>
      <c r="L237" s="13"/>
      <c r="M237" s="13"/>
      <c r="N237" s="13"/>
      <c r="O237" s="13"/>
      <c r="P237" s="13"/>
    </row>
    <row r="238" customHeight="1" spans="9:16">
      <c r="I238" s="13"/>
      <c r="J238" s="13"/>
      <c r="K238" s="13"/>
      <c r="L238" s="13"/>
      <c r="M238" s="13"/>
      <c r="N238" s="13"/>
      <c r="O238" s="13"/>
      <c r="P238" s="13"/>
    </row>
    <row r="239" customHeight="1" spans="9:16">
      <c r="I239" s="13"/>
      <c r="J239" s="13"/>
      <c r="K239" s="13"/>
      <c r="L239" s="13"/>
      <c r="M239" s="13"/>
      <c r="N239" s="13"/>
      <c r="O239" s="13"/>
      <c r="P239" s="13"/>
    </row>
    <row r="240" customHeight="1" spans="9:16">
      <c r="I240" s="13"/>
      <c r="J240" s="13"/>
      <c r="K240" s="13"/>
      <c r="L240" s="13"/>
      <c r="M240" s="13"/>
      <c r="N240" s="13"/>
      <c r="O240" s="13"/>
      <c r="P240" s="13"/>
    </row>
    <row r="241" customHeight="1" spans="9:16">
      <c r="I241" s="13"/>
      <c r="J241" s="13"/>
      <c r="K241" s="13"/>
      <c r="L241" s="13"/>
      <c r="M241" s="13"/>
      <c r="N241" s="13"/>
      <c r="O241" s="13"/>
      <c r="P241" s="13"/>
    </row>
    <row r="242" customHeight="1" spans="9:16">
      <c r="I242" s="13"/>
      <c r="J242" s="13"/>
      <c r="K242" s="13"/>
      <c r="L242" s="13"/>
      <c r="M242" s="13"/>
      <c r="N242" s="13"/>
      <c r="O242" s="13"/>
      <c r="P242" s="13"/>
    </row>
    <row r="243" customHeight="1" spans="9:16">
      <c r="I243" s="13"/>
      <c r="J243" s="13"/>
      <c r="K243" s="13"/>
      <c r="L243" s="13"/>
      <c r="M243" s="13"/>
      <c r="N243" s="13"/>
      <c r="O243" s="13"/>
      <c r="P243" s="13"/>
    </row>
    <row r="244" customHeight="1" spans="9:16">
      <c r="I244" s="13"/>
      <c r="J244" s="13"/>
      <c r="K244" s="13"/>
      <c r="L244" s="13"/>
      <c r="M244" s="13"/>
      <c r="N244" s="13"/>
      <c r="O244" s="13"/>
      <c r="P244" s="13"/>
    </row>
    <row r="245" customHeight="1" spans="9:16">
      <c r="I245" s="13"/>
      <c r="J245" s="13"/>
      <c r="K245" s="13"/>
      <c r="L245" s="13"/>
      <c r="M245" s="13"/>
      <c r="N245" s="13"/>
      <c r="O245" s="13"/>
      <c r="P245" s="13"/>
    </row>
    <row r="246" customHeight="1" spans="9:16">
      <c r="I246" s="13"/>
      <c r="J246" s="13"/>
      <c r="K246" s="13"/>
      <c r="L246" s="13"/>
      <c r="M246" s="13"/>
      <c r="N246" s="13"/>
      <c r="O246" s="13"/>
      <c r="P246" s="13"/>
    </row>
    <row r="247" customHeight="1" spans="9:16">
      <c r="I247" s="13"/>
      <c r="J247" s="13"/>
      <c r="K247" s="13"/>
      <c r="L247" s="13"/>
      <c r="M247" s="13"/>
      <c r="N247" s="13"/>
      <c r="O247" s="13"/>
      <c r="P247" s="13"/>
    </row>
    <row r="248" customHeight="1" spans="9:16">
      <c r="I248" s="13"/>
      <c r="J248" s="13"/>
      <c r="K248" s="13"/>
      <c r="L248" s="13"/>
      <c r="M248" s="13"/>
      <c r="N248" s="13"/>
      <c r="O248" s="13"/>
      <c r="P248" s="13"/>
    </row>
    <row r="249" customHeight="1" spans="9:16">
      <c r="I249" s="13"/>
      <c r="J249" s="13"/>
      <c r="K249" s="13"/>
      <c r="L249" s="13"/>
      <c r="M249" s="13"/>
      <c r="N249" s="13"/>
      <c r="O249" s="13"/>
      <c r="P249" s="13"/>
    </row>
    <row r="250" customHeight="1" spans="9:16">
      <c r="I250" s="13"/>
      <c r="J250" s="13"/>
      <c r="K250" s="13"/>
      <c r="L250" s="13"/>
      <c r="M250" s="13"/>
      <c r="N250" s="13"/>
      <c r="O250" s="13"/>
      <c r="P250" s="13"/>
    </row>
    <row r="251" customHeight="1" spans="9:16">
      <c r="I251" s="13"/>
      <c r="J251" s="13"/>
      <c r="K251" s="13"/>
      <c r="L251" s="13"/>
      <c r="M251" s="13"/>
      <c r="N251" s="13"/>
      <c r="O251" s="13"/>
      <c r="P251" s="13"/>
    </row>
    <row r="252" customHeight="1" spans="9:16">
      <c r="I252" s="13"/>
      <c r="J252" s="13"/>
      <c r="K252" s="13"/>
      <c r="L252" s="13"/>
      <c r="M252" s="13"/>
      <c r="N252" s="13"/>
      <c r="O252" s="13"/>
      <c r="P252" s="13"/>
    </row>
    <row r="253" customHeight="1" spans="9:16">
      <c r="I253" s="13"/>
      <c r="J253" s="13"/>
      <c r="K253" s="13"/>
      <c r="L253" s="13"/>
      <c r="M253" s="13"/>
      <c r="N253" s="13"/>
      <c r="O253" s="13"/>
      <c r="P253" s="13"/>
    </row>
    <row r="254" customHeight="1" spans="9:16">
      <c r="I254" s="13"/>
      <c r="J254" s="13"/>
      <c r="K254" s="13"/>
      <c r="L254" s="13"/>
      <c r="M254" s="13"/>
      <c r="N254" s="13"/>
      <c r="O254" s="13"/>
      <c r="P254" s="13"/>
    </row>
    <row r="255" customHeight="1" spans="9:16">
      <c r="I255" s="13"/>
      <c r="J255" s="13"/>
      <c r="K255" s="13"/>
      <c r="L255" s="13"/>
      <c r="M255" s="13"/>
      <c r="N255" s="13"/>
      <c r="O255" s="13"/>
      <c r="P255" s="13"/>
    </row>
    <row r="256" customHeight="1" spans="9:16">
      <c r="I256" s="13"/>
      <c r="J256" s="13"/>
      <c r="K256" s="13"/>
      <c r="L256" s="13"/>
      <c r="M256" s="13"/>
      <c r="N256" s="13"/>
      <c r="O256" s="13"/>
      <c r="P256" s="13"/>
    </row>
    <row r="257" customHeight="1" spans="9:16">
      <c r="I257" s="13"/>
      <c r="J257" s="13"/>
      <c r="K257" s="13"/>
      <c r="L257" s="13"/>
      <c r="M257" s="13"/>
      <c r="N257" s="13"/>
      <c r="O257" s="13"/>
      <c r="P257" s="13"/>
    </row>
    <row r="258" customHeight="1" spans="9:16">
      <c r="I258" s="13"/>
      <c r="J258" s="13"/>
      <c r="K258" s="13"/>
      <c r="L258" s="13"/>
      <c r="M258" s="13"/>
      <c r="N258" s="13"/>
      <c r="O258" s="13"/>
      <c r="P258" s="13"/>
    </row>
    <row r="259" customHeight="1" spans="9:16">
      <c r="I259" s="13"/>
      <c r="J259" s="13"/>
      <c r="K259" s="13"/>
      <c r="L259" s="13"/>
      <c r="M259" s="13"/>
      <c r="N259" s="13"/>
      <c r="O259" s="13"/>
      <c r="P259" s="13"/>
    </row>
    <row r="260" customHeight="1" spans="9:16">
      <c r="I260" s="13"/>
      <c r="J260" s="13"/>
      <c r="K260" s="13"/>
      <c r="L260" s="13"/>
      <c r="M260" s="13"/>
      <c r="N260" s="13"/>
      <c r="O260" s="13"/>
      <c r="P260" s="13"/>
    </row>
    <row r="261" customHeight="1" spans="9:16">
      <c r="I261" s="13"/>
      <c r="J261" s="13"/>
      <c r="K261" s="13"/>
      <c r="L261" s="13"/>
      <c r="M261" s="13"/>
      <c r="N261" s="13"/>
      <c r="O261" s="13"/>
      <c r="P261" s="13"/>
    </row>
    <row r="262" customHeight="1" spans="9:16">
      <c r="I262" s="13"/>
      <c r="J262" s="13"/>
      <c r="K262" s="13"/>
      <c r="L262" s="13"/>
      <c r="M262" s="13"/>
      <c r="N262" s="13"/>
      <c r="O262" s="13"/>
      <c r="P262" s="13"/>
    </row>
    <row r="263" customHeight="1" spans="9:16">
      <c r="I263" s="13"/>
      <c r="J263" s="13"/>
      <c r="K263" s="13"/>
      <c r="L263" s="13"/>
      <c r="M263" s="13"/>
      <c r="N263" s="13"/>
      <c r="O263" s="13"/>
      <c r="P263" s="13"/>
    </row>
    <row r="264" customHeight="1" spans="9:16">
      <c r="I264" s="13"/>
      <c r="J264" s="13"/>
      <c r="K264" s="13"/>
      <c r="L264" s="13"/>
      <c r="M264" s="13"/>
      <c r="N264" s="13"/>
      <c r="O264" s="13"/>
      <c r="P264" s="13"/>
    </row>
    <row r="265" customHeight="1" spans="9:16">
      <c r="I265" s="13"/>
      <c r="J265" s="13"/>
      <c r="K265" s="13"/>
      <c r="L265" s="13"/>
      <c r="M265" s="13"/>
      <c r="N265" s="13"/>
      <c r="O265" s="13"/>
      <c r="P265" s="13"/>
    </row>
    <row r="266" customHeight="1" spans="9:16">
      <c r="I266" s="13"/>
      <c r="J266" s="13"/>
      <c r="K266" s="13"/>
      <c r="L266" s="13"/>
      <c r="M266" s="13"/>
      <c r="N266" s="13"/>
      <c r="O266" s="13"/>
      <c r="P266" s="13"/>
    </row>
    <row r="267" customHeight="1" spans="9:16">
      <c r="I267" s="13"/>
      <c r="J267" s="13"/>
      <c r="K267" s="13"/>
      <c r="L267" s="13"/>
      <c r="M267" s="13"/>
      <c r="N267" s="13"/>
      <c r="O267" s="13"/>
      <c r="P267" s="13"/>
    </row>
    <row r="268" customHeight="1" spans="9:16">
      <c r="I268" s="13"/>
      <c r="J268" s="13"/>
      <c r="K268" s="13"/>
      <c r="L268" s="13"/>
      <c r="M268" s="13"/>
      <c r="N268" s="13"/>
      <c r="O268" s="13"/>
      <c r="P268" s="13"/>
    </row>
    <row r="269" customHeight="1" spans="9:16">
      <c r="I269" s="13"/>
      <c r="J269" s="13"/>
      <c r="K269" s="13"/>
      <c r="L269" s="13"/>
      <c r="M269" s="13"/>
      <c r="N269" s="13"/>
      <c r="O269" s="13"/>
      <c r="P269" s="13"/>
    </row>
    <row r="270" customHeight="1" spans="9:16">
      <c r="I270" s="13"/>
      <c r="J270" s="13"/>
      <c r="K270" s="13"/>
      <c r="L270" s="13"/>
      <c r="M270" s="13"/>
      <c r="N270" s="13"/>
      <c r="O270" s="13"/>
      <c r="P270" s="13"/>
    </row>
    <row r="271" customHeight="1" spans="9:16">
      <c r="I271" s="13"/>
      <c r="J271" s="13"/>
      <c r="K271" s="13"/>
      <c r="L271" s="13"/>
      <c r="M271" s="13"/>
      <c r="N271" s="13"/>
      <c r="O271" s="13"/>
      <c r="P271" s="13"/>
    </row>
    <row r="272" customHeight="1" spans="9:16">
      <c r="I272" s="13"/>
      <c r="J272" s="13"/>
      <c r="K272" s="13"/>
      <c r="L272" s="13"/>
      <c r="M272" s="13"/>
      <c r="N272" s="13"/>
      <c r="O272" s="13"/>
      <c r="P272" s="13"/>
    </row>
    <row r="273" customHeight="1" spans="9:16">
      <c r="I273" s="13"/>
      <c r="J273" s="13"/>
      <c r="K273" s="13"/>
      <c r="L273" s="13"/>
      <c r="M273" s="13"/>
      <c r="N273" s="13"/>
      <c r="O273" s="13"/>
      <c r="P273" s="13"/>
    </row>
    <row r="274" customHeight="1" spans="9:16">
      <c r="I274" s="13"/>
      <c r="J274" s="13"/>
      <c r="K274" s="13"/>
      <c r="L274" s="13"/>
      <c r="M274" s="13"/>
      <c r="N274" s="13"/>
      <c r="O274" s="13"/>
      <c r="P274" s="13"/>
    </row>
    <row r="275" customHeight="1" spans="9:16">
      <c r="I275" s="13"/>
      <c r="J275" s="13"/>
      <c r="K275" s="13"/>
      <c r="L275" s="13"/>
      <c r="M275" s="13"/>
      <c r="N275" s="13"/>
      <c r="O275" s="13"/>
      <c r="P275" s="13"/>
    </row>
    <row r="276" customHeight="1" spans="9:16">
      <c r="I276" s="13"/>
      <c r="J276" s="13"/>
      <c r="K276" s="13"/>
      <c r="L276" s="13"/>
      <c r="M276" s="13"/>
      <c r="N276" s="13"/>
      <c r="O276" s="13"/>
      <c r="P276" s="13"/>
    </row>
    <row r="277" customHeight="1" spans="9:16">
      <c r="I277" s="13"/>
      <c r="J277" s="13"/>
      <c r="K277" s="13"/>
      <c r="L277" s="13"/>
      <c r="M277" s="13"/>
      <c r="N277" s="13"/>
      <c r="O277" s="13"/>
      <c r="P277" s="13"/>
    </row>
    <row r="278" customHeight="1" spans="9:16">
      <c r="I278" s="13"/>
      <c r="J278" s="13"/>
      <c r="K278" s="13"/>
      <c r="L278" s="13"/>
      <c r="M278" s="13"/>
      <c r="N278" s="13"/>
      <c r="O278" s="13"/>
      <c r="P278" s="13"/>
    </row>
    <row r="279" customHeight="1" spans="9:16">
      <c r="I279" s="13"/>
      <c r="J279" s="13"/>
      <c r="K279" s="13"/>
      <c r="L279" s="13"/>
      <c r="M279" s="13"/>
      <c r="N279" s="13"/>
      <c r="O279" s="13"/>
      <c r="P279" s="13"/>
    </row>
    <row r="280" customHeight="1" spans="9:16">
      <c r="I280" s="13"/>
      <c r="J280" s="13"/>
      <c r="K280" s="13"/>
      <c r="L280" s="13"/>
      <c r="M280" s="13"/>
      <c r="N280" s="13"/>
      <c r="O280" s="13"/>
      <c r="P280" s="13"/>
    </row>
    <row r="281" customHeight="1" spans="9:16">
      <c r="I281" s="13"/>
      <c r="J281" s="13"/>
      <c r="K281" s="13"/>
      <c r="L281" s="13"/>
      <c r="M281" s="13"/>
      <c r="N281" s="13"/>
      <c r="O281" s="13"/>
      <c r="P281" s="13"/>
    </row>
    <row r="282" customHeight="1" spans="9:16">
      <c r="I282" s="13"/>
      <c r="J282" s="13"/>
      <c r="K282" s="13"/>
      <c r="L282" s="13"/>
      <c r="M282" s="13"/>
      <c r="N282" s="13"/>
      <c r="O282" s="13"/>
      <c r="P282" s="13"/>
    </row>
    <row r="283" customHeight="1" spans="9:16">
      <c r="I283" s="13"/>
      <c r="J283" s="13"/>
      <c r="K283" s="13"/>
      <c r="L283" s="13"/>
      <c r="M283" s="13"/>
      <c r="N283" s="13"/>
      <c r="O283" s="13"/>
      <c r="P283" s="13"/>
    </row>
    <row r="284" customHeight="1" spans="9:16">
      <c r="I284" s="13"/>
      <c r="J284" s="13"/>
      <c r="K284" s="13"/>
      <c r="L284" s="13"/>
      <c r="M284" s="13"/>
      <c r="N284" s="13"/>
      <c r="O284" s="13"/>
      <c r="P284" s="13"/>
    </row>
    <row r="285" customHeight="1" spans="9:16">
      <c r="I285" s="13"/>
      <c r="J285" s="13"/>
      <c r="K285" s="13"/>
      <c r="L285" s="13"/>
      <c r="M285" s="13"/>
      <c r="N285" s="13"/>
      <c r="O285" s="13"/>
      <c r="P285" s="13"/>
    </row>
    <row r="286" customHeight="1" spans="9:16">
      <c r="I286" s="13"/>
      <c r="J286" s="13"/>
      <c r="K286" s="13"/>
      <c r="L286" s="13"/>
      <c r="M286" s="13"/>
      <c r="N286" s="13"/>
      <c r="O286" s="13"/>
      <c r="P286" s="13"/>
    </row>
    <row r="287" customHeight="1" spans="9:16">
      <c r="I287" s="13"/>
      <c r="J287" s="13"/>
      <c r="K287" s="13"/>
      <c r="L287" s="13"/>
      <c r="M287" s="13"/>
      <c r="N287" s="13"/>
      <c r="O287" s="13"/>
      <c r="P287" s="13"/>
    </row>
    <row r="288" customHeight="1" spans="9:16">
      <c r="I288" s="13"/>
      <c r="J288" s="13"/>
      <c r="K288" s="13"/>
      <c r="L288" s="13"/>
      <c r="M288" s="13"/>
      <c r="N288" s="13"/>
      <c r="O288" s="13"/>
      <c r="P288" s="13"/>
    </row>
    <row r="289" customHeight="1" spans="9:16">
      <c r="I289" s="13"/>
      <c r="J289" s="13"/>
      <c r="K289" s="13"/>
      <c r="L289" s="13"/>
      <c r="M289" s="13"/>
      <c r="N289" s="13"/>
      <c r="O289" s="13"/>
      <c r="P289" s="13"/>
    </row>
    <row r="290" customHeight="1" spans="9:16">
      <c r="I290" s="13"/>
      <c r="J290" s="13"/>
      <c r="K290" s="13"/>
      <c r="L290" s="13"/>
      <c r="M290" s="13"/>
      <c r="N290" s="13"/>
      <c r="O290" s="13"/>
      <c r="P290" s="13"/>
    </row>
    <row r="291" customHeight="1" spans="9:16">
      <c r="I291" s="13"/>
      <c r="J291" s="13"/>
      <c r="K291" s="13"/>
      <c r="L291" s="13"/>
      <c r="M291" s="13"/>
      <c r="N291" s="13"/>
      <c r="O291" s="13"/>
      <c r="P291" s="13"/>
    </row>
    <row r="292" customHeight="1" spans="9:16">
      <c r="I292" s="13"/>
      <c r="J292" s="13"/>
      <c r="K292" s="13"/>
      <c r="L292" s="13"/>
      <c r="M292" s="13"/>
      <c r="N292" s="13"/>
      <c r="O292" s="13"/>
      <c r="P292" s="13"/>
    </row>
    <row r="293" customHeight="1" spans="9:16">
      <c r="I293" s="13"/>
      <c r="J293" s="13"/>
      <c r="K293" s="13"/>
      <c r="L293" s="13"/>
      <c r="M293" s="13"/>
      <c r="N293" s="13"/>
      <c r="O293" s="13"/>
      <c r="P293" s="13"/>
    </row>
    <row r="294" customHeight="1" spans="9:16">
      <c r="I294" s="13"/>
      <c r="J294" s="13"/>
      <c r="K294" s="13"/>
      <c r="L294" s="13"/>
      <c r="M294" s="13"/>
      <c r="N294" s="13"/>
      <c r="O294" s="13"/>
      <c r="P294" s="13"/>
    </row>
    <row r="295" customHeight="1" spans="9:16">
      <c r="I295" s="13"/>
      <c r="J295" s="13"/>
      <c r="K295" s="13"/>
      <c r="L295" s="13"/>
      <c r="M295" s="13"/>
      <c r="N295" s="13"/>
      <c r="O295" s="13"/>
      <c r="P295" s="13"/>
    </row>
    <row r="296" customHeight="1" spans="9:16">
      <c r="I296" s="13"/>
      <c r="J296" s="13"/>
      <c r="K296" s="13"/>
      <c r="L296" s="13"/>
      <c r="M296" s="13"/>
      <c r="N296" s="13"/>
      <c r="O296" s="13"/>
      <c r="P296" s="13"/>
    </row>
    <row r="297" customHeight="1" spans="9:16">
      <c r="I297" s="13"/>
      <c r="J297" s="13"/>
      <c r="K297" s="13"/>
      <c r="L297" s="13"/>
      <c r="M297" s="13"/>
      <c r="N297" s="13"/>
      <c r="O297" s="13"/>
      <c r="P297" s="13"/>
    </row>
    <row r="298" customHeight="1" spans="9:16">
      <c r="I298" s="13"/>
      <c r="J298" s="13"/>
      <c r="K298" s="13"/>
      <c r="L298" s="13"/>
      <c r="M298" s="13"/>
      <c r="N298" s="13"/>
      <c r="O298" s="13"/>
      <c r="P298" s="13"/>
    </row>
    <row r="299" customHeight="1" spans="9:16">
      <c r="I299" s="13"/>
      <c r="J299" s="13"/>
      <c r="K299" s="13"/>
      <c r="L299" s="13"/>
      <c r="M299" s="13"/>
      <c r="N299" s="13"/>
      <c r="O299" s="13"/>
      <c r="P299" s="13"/>
    </row>
    <row r="300" customHeight="1" spans="9:16">
      <c r="I300" s="13"/>
      <c r="J300" s="13"/>
      <c r="K300" s="13"/>
      <c r="L300" s="13"/>
      <c r="M300" s="13"/>
      <c r="N300" s="13"/>
      <c r="O300" s="13"/>
      <c r="P300" s="13"/>
    </row>
    <row r="301" customHeight="1" spans="9:16">
      <c r="I301" s="13"/>
      <c r="J301" s="13"/>
      <c r="K301" s="13"/>
      <c r="L301" s="13"/>
      <c r="M301" s="13"/>
      <c r="N301" s="13"/>
      <c r="O301" s="13"/>
      <c r="P301" s="13"/>
    </row>
    <row r="302" customHeight="1" spans="9:16">
      <c r="I302" s="13"/>
      <c r="J302" s="13"/>
      <c r="K302" s="13"/>
      <c r="L302" s="13"/>
      <c r="M302" s="13"/>
      <c r="N302" s="13"/>
      <c r="O302" s="13"/>
      <c r="P302" s="13"/>
    </row>
    <row r="303" customHeight="1" spans="9:16">
      <c r="I303" s="13"/>
      <c r="J303" s="13"/>
      <c r="K303" s="13"/>
      <c r="L303" s="13"/>
      <c r="M303" s="13"/>
      <c r="N303" s="13"/>
      <c r="O303" s="13"/>
      <c r="P303" s="13"/>
    </row>
    <row r="304" customHeight="1" spans="9:16">
      <c r="I304" s="13"/>
      <c r="J304" s="13"/>
      <c r="K304" s="13"/>
      <c r="L304" s="13"/>
      <c r="M304" s="13"/>
      <c r="N304" s="13"/>
      <c r="O304" s="13"/>
      <c r="P304" s="13"/>
    </row>
    <row r="305" customHeight="1" spans="9:16">
      <c r="I305" s="13"/>
      <c r="J305" s="13"/>
      <c r="K305" s="13"/>
      <c r="L305" s="13"/>
      <c r="M305" s="13"/>
      <c r="N305" s="13"/>
      <c r="O305" s="13"/>
      <c r="P305" s="13"/>
    </row>
    <row r="306" customHeight="1" spans="9:16">
      <c r="I306" s="13"/>
      <c r="J306" s="13"/>
      <c r="K306" s="13"/>
      <c r="L306" s="13"/>
      <c r="M306" s="13"/>
      <c r="N306" s="13"/>
      <c r="O306" s="13"/>
      <c r="P306" s="13"/>
    </row>
    <row r="307" customHeight="1" spans="9:16">
      <c r="I307" s="13"/>
      <c r="J307" s="13"/>
      <c r="K307" s="13"/>
      <c r="L307" s="13"/>
      <c r="M307" s="13"/>
      <c r="N307" s="13"/>
      <c r="O307" s="13"/>
      <c r="P307" s="13"/>
    </row>
    <row r="308" customHeight="1" spans="9:16">
      <c r="I308" s="13"/>
      <c r="J308" s="13"/>
      <c r="K308" s="13"/>
      <c r="L308" s="13"/>
      <c r="M308" s="13"/>
      <c r="N308" s="13"/>
      <c r="O308" s="13"/>
      <c r="P308" s="13"/>
    </row>
    <row r="309" customHeight="1" spans="9:16">
      <c r="I309" s="13"/>
      <c r="J309" s="13"/>
      <c r="K309" s="13"/>
      <c r="L309" s="13"/>
      <c r="M309" s="13"/>
      <c r="N309" s="13"/>
      <c r="O309" s="13"/>
      <c r="P309" s="13"/>
    </row>
    <row r="310" customHeight="1" spans="9:16">
      <c r="I310" s="13"/>
      <c r="J310" s="13"/>
      <c r="K310" s="13"/>
      <c r="L310" s="13"/>
      <c r="M310" s="13"/>
      <c r="N310" s="13"/>
      <c r="O310" s="13"/>
      <c r="P310" s="13"/>
    </row>
    <row r="311" customHeight="1" spans="9:16">
      <c r="I311" s="13"/>
      <c r="J311" s="13"/>
      <c r="K311" s="13"/>
      <c r="L311" s="13"/>
      <c r="M311" s="13"/>
      <c r="N311" s="13"/>
      <c r="O311" s="13"/>
      <c r="P311" s="13"/>
    </row>
    <row r="312" customHeight="1" spans="9:16">
      <c r="I312" s="13"/>
      <c r="J312" s="13"/>
      <c r="K312" s="13"/>
      <c r="L312" s="13"/>
      <c r="M312" s="13"/>
      <c r="N312" s="13"/>
      <c r="O312" s="13"/>
      <c r="P312" s="13"/>
    </row>
    <row r="313" customHeight="1" spans="9:16">
      <c r="I313" s="13"/>
      <c r="J313" s="13"/>
      <c r="K313" s="13"/>
      <c r="L313" s="13"/>
      <c r="M313" s="13"/>
      <c r="N313" s="13"/>
      <c r="O313" s="13"/>
      <c r="P313" s="13"/>
    </row>
    <row r="314" customHeight="1" spans="9:16">
      <c r="I314" s="13"/>
      <c r="J314" s="13"/>
      <c r="K314" s="13"/>
      <c r="L314" s="13"/>
      <c r="M314" s="13"/>
      <c r="N314" s="13"/>
      <c r="O314" s="13"/>
      <c r="P314" s="13"/>
    </row>
    <row r="315" customHeight="1" spans="9:16">
      <c r="I315" s="13"/>
      <c r="J315" s="13"/>
      <c r="K315" s="13"/>
      <c r="L315" s="13"/>
      <c r="M315" s="13"/>
      <c r="N315" s="13"/>
      <c r="O315" s="13"/>
      <c r="P315" s="13"/>
    </row>
    <row r="316" customHeight="1" spans="9:16">
      <c r="I316" s="13"/>
      <c r="J316" s="13"/>
      <c r="K316" s="13"/>
      <c r="L316" s="13"/>
      <c r="M316" s="13"/>
      <c r="N316" s="13"/>
      <c r="O316" s="13"/>
      <c r="P316" s="13"/>
    </row>
    <row r="317" customHeight="1" spans="9:16">
      <c r="I317" s="13"/>
      <c r="J317" s="13"/>
      <c r="K317" s="13"/>
      <c r="L317" s="13"/>
      <c r="M317" s="13"/>
      <c r="N317" s="13"/>
      <c r="O317" s="13"/>
      <c r="P317" s="13"/>
    </row>
    <row r="318" customHeight="1" spans="9:16">
      <c r="I318" s="13"/>
      <c r="J318" s="13"/>
      <c r="K318" s="13"/>
      <c r="L318" s="13"/>
      <c r="M318" s="13"/>
      <c r="N318" s="13"/>
      <c r="O318" s="13"/>
      <c r="P318" s="13"/>
    </row>
    <row r="319" customHeight="1" spans="9:16">
      <c r="I319" s="13"/>
      <c r="J319" s="13"/>
      <c r="K319" s="13"/>
      <c r="L319" s="13"/>
      <c r="M319" s="13"/>
      <c r="N319" s="13"/>
      <c r="O319" s="13"/>
      <c r="P319" s="13"/>
    </row>
    <row r="320" customHeight="1" spans="9:16">
      <c r="I320" s="13"/>
      <c r="J320" s="13"/>
      <c r="K320" s="13"/>
      <c r="L320" s="13"/>
      <c r="M320" s="13"/>
      <c r="N320" s="13"/>
      <c r="O320" s="13"/>
      <c r="P320" s="13"/>
    </row>
    <row r="321" customHeight="1" spans="9:16">
      <c r="I321" s="13"/>
      <c r="J321" s="13"/>
      <c r="K321" s="13"/>
      <c r="L321" s="13"/>
      <c r="M321" s="13"/>
      <c r="N321" s="13"/>
      <c r="O321" s="13"/>
      <c r="P321" s="13"/>
    </row>
    <row r="322" customHeight="1" spans="9:16">
      <c r="I322" s="13"/>
      <c r="J322" s="13"/>
      <c r="K322" s="13"/>
      <c r="L322" s="13"/>
      <c r="M322" s="13"/>
      <c r="N322" s="13"/>
      <c r="O322" s="13"/>
      <c r="P322" s="13"/>
    </row>
    <row r="323" customHeight="1" spans="9:16">
      <c r="I323" s="13"/>
      <c r="J323" s="13"/>
      <c r="K323" s="13"/>
      <c r="L323" s="13"/>
      <c r="M323" s="13"/>
      <c r="N323" s="13"/>
      <c r="O323" s="13"/>
      <c r="P323" s="13"/>
    </row>
    <row r="324" customHeight="1" spans="9:16">
      <c r="I324" s="13"/>
      <c r="J324" s="13"/>
      <c r="K324" s="13"/>
      <c r="L324" s="13"/>
      <c r="M324" s="13"/>
      <c r="N324" s="13"/>
      <c r="O324" s="13"/>
      <c r="P324" s="13"/>
    </row>
    <row r="325" customHeight="1" spans="9:16">
      <c r="I325" s="13"/>
      <c r="J325" s="13"/>
      <c r="K325" s="13"/>
      <c r="L325" s="13"/>
      <c r="M325" s="13"/>
      <c r="N325" s="13"/>
      <c r="O325" s="13"/>
      <c r="P325" s="13"/>
    </row>
    <row r="326" customHeight="1" spans="9:16">
      <c r="I326" s="13"/>
      <c r="J326" s="13"/>
      <c r="K326" s="13"/>
      <c r="L326" s="13"/>
      <c r="M326" s="13"/>
      <c r="N326" s="13"/>
      <c r="O326" s="13"/>
      <c r="P326" s="13"/>
    </row>
    <row r="327" customHeight="1" spans="9:16">
      <c r="I327" s="13"/>
      <c r="J327" s="13"/>
      <c r="K327" s="13"/>
      <c r="L327" s="13"/>
      <c r="M327" s="13"/>
      <c r="N327" s="13"/>
      <c r="O327" s="13"/>
      <c r="P327" s="13"/>
    </row>
    <row r="328" customHeight="1" spans="9:16">
      <c r="I328" s="13"/>
      <c r="J328" s="13"/>
      <c r="K328" s="13"/>
      <c r="L328" s="13"/>
      <c r="M328" s="13"/>
      <c r="N328" s="13"/>
      <c r="O328" s="13"/>
      <c r="P328" s="13"/>
    </row>
    <row r="329" customHeight="1" spans="9:16">
      <c r="I329" s="13"/>
      <c r="J329" s="13"/>
      <c r="K329" s="13"/>
      <c r="L329" s="13"/>
      <c r="M329" s="13"/>
      <c r="N329" s="13"/>
      <c r="O329" s="13"/>
      <c r="P329" s="13"/>
    </row>
    <row r="330" customHeight="1" spans="9:16">
      <c r="I330" s="13"/>
      <c r="J330" s="13"/>
      <c r="K330" s="13"/>
      <c r="L330" s="13"/>
      <c r="M330" s="13"/>
      <c r="N330" s="13"/>
      <c r="O330" s="13"/>
      <c r="P330" s="13"/>
    </row>
    <row r="331" customHeight="1" spans="9:16">
      <c r="I331" s="13"/>
      <c r="J331" s="13"/>
      <c r="K331" s="13"/>
      <c r="L331" s="13"/>
      <c r="M331" s="13"/>
      <c r="N331" s="13"/>
      <c r="O331" s="13"/>
      <c r="P331" s="13"/>
    </row>
    <row r="332" customHeight="1" spans="9:16">
      <c r="I332" s="13"/>
      <c r="J332" s="13"/>
      <c r="K332" s="13"/>
      <c r="L332" s="13"/>
      <c r="M332" s="13"/>
      <c r="N332" s="13"/>
      <c r="O332" s="13"/>
      <c r="P332" s="13"/>
    </row>
    <row r="333" customHeight="1" spans="9:16">
      <c r="I333" s="13"/>
      <c r="J333" s="13"/>
      <c r="K333" s="13"/>
      <c r="L333" s="13"/>
      <c r="M333" s="13"/>
      <c r="N333" s="13"/>
      <c r="O333" s="13"/>
      <c r="P333" s="13"/>
    </row>
    <row r="334" customHeight="1" spans="9:16">
      <c r="I334" s="13"/>
      <c r="J334" s="13"/>
      <c r="K334" s="13"/>
      <c r="L334" s="13"/>
      <c r="M334" s="13"/>
      <c r="N334" s="13"/>
      <c r="O334" s="13"/>
      <c r="P334" s="13"/>
    </row>
    <row r="335" customHeight="1" spans="9:16">
      <c r="I335" s="13"/>
      <c r="J335" s="13"/>
      <c r="K335" s="13"/>
      <c r="L335" s="13"/>
      <c r="M335" s="13"/>
      <c r="N335" s="13"/>
      <c r="O335" s="13"/>
      <c r="P335" s="13"/>
    </row>
    <row r="336" customHeight="1" spans="9:16">
      <c r="I336" s="13"/>
      <c r="J336" s="13"/>
      <c r="K336" s="13"/>
      <c r="L336" s="13"/>
      <c r="M336" s="13"/>
      <c r="N336" s="13"/>
      <c r="O336" s="13"/>
      <c r="P336" s="13"/>
    </row>
    <row r="337" customHeight="1" spans="9:16">
      <c r="I337" s="13"/>
      <c r="J337" s="13"/>
      <c r="K337" s="13"/>
      <c r="L337" s="13"/>
      <c r="M337" s="13"/>
      <c r="N337" s="13"/>
      <c r="O337" s="13"/>
      <c r="P337" s="13"/>
    </row>
    <row r="338" customHeight="1" spans="9:16">
      <c r="I338" s="13"/>
      <c r="J338" s="13"/>
      <c r="K338" s="13"/>
      <c r="L338" s="13"/>
      <c r="M338" s="13"/>
      <c r="N338" s="13"/>
      <c r="O338" s="13"/>
      <c r="P338" s="13"/>
    </row>
    <row r="339" customHeight="1" spans="9:16">
      <c r="I339" s="13"/>
      <c r="J339" s="13"/>
      <c r="K339" s="13"/>
      <c r="L339" s="13"/>
      <c r="M339" s="13"/>
      <c r="N339" s="13"/>
      <c r="O339" s="13"/>
      <c r="P339" s="13"/>
    </row>
    <row r="340" customHeight="1" spans="9:16">
      <c r="I340" s="13"/>
      <c r="J340" s="13"/>
      <c r="K340" s="13"/>
      <c r="L340" s="13"/>
      <c r="M340" s="13"/>
      <c r="N340" s="13"/>
      <c r="O340" s="13"/>
      <c r="P340" s="13"/>
    </row>
    <row r="341" customHeight="1" spans="9:16">
      <c r="I341" s="13"/>
      <c r="J341" s="13"/>
      <c r="K341" s="13"/>
      <c r="L341" s="13"/>
      <c r="M341" s="13"/>
      <c r="N341" s="13"/>
      <c r="O341" s="13"/>
      <c r="P341" s="13"/>
    </row>
    <row r="342" customHeight="1" spans="9:16">
      <c r="I342" s="13"/>
      <c r="J342" s="13"/>
      <c r="K342" s="13"/>
      <c r="L342" s="13"/>
      <c r="M342" s="13"/>
      <c r="N342" s="13"/>
      <c r="O342" s="13"/>
      <c r="P342" s="13"/>
    </row>
    <row r="343" customHeight="1" spans="9:16">
      <c r="I343" s="13"/>
      <c r="J343" s="13"/>
      <c r="K343" s="13"/>
      <c r="L343" s="13"/>
      <c r="M343" s="13"/>
      <c r="N343" s="13"/>
      <c r="O343" s="13"/>
      <c r="P343" s="13"/>
    </row>
    <row r="344" customHeight="1" spans="9:16">
      <c r="I344" s="13"/>
      <c r="J344" s="13"/>
      <c r="K344" s="13"/>
      <c r="L344" s="13"/>
      <c r="M344" s="13"/>
      <c r="N344" s="13"/>
      <c r="O344" s="13"/>
      <c r="P344" s="13"/>
    </row>
    <row r="345" customHeight="1" spans="9:16">
      <c r="I345" s="13"/>
      <c r="J345" s="13"/>
      <c r="K345" s="13"/>
      <c r="L345" s="13"/>
      <c r="M345" s="13"/>
      <c r="N345" s="13"/>
      <c r="O345" s="13"/>
      <c r="P345" s="13"/>
    </row>
    <row r="346" customHeight="1" spans="9:16">
      <c r="I346" s="13"/>
      <c r="J346" s="13"/>
      <c r="K346" s="13"/>
      <c r="L346" s="13"/>
      <c r="M346" s="13"/>
      <c r="N346" s="13"/>
      <c r="O346" s="13"/>
      <c r="P346" s="13"/>
    </row>
    <row r="347" customHeight="1" spans="9:16">
      <c r="I347" s="13"/>
      <c r="J347" s="13"/>
      <c r="K347" s="13"/>
      <c r="L347" s="13"/>
      <c r="M347" s="13"/>
      <c r="N347" s="13"/>
      <c r="O347" s="13"/>
      <c r="P347" s="13"/>
    </row>
    <row r="348" customHeight="1" spans="9:16">
      <c r="I348" s="13"/>
      <c r="J348" s="13"/>
      <c r="K348" s="13"/>
      <c r="L348" s="13"/>
      <c r="M348" s="13"/>
      <c r="N348" s="13"/>
      <c r="O348" s="13"/>
      <c r="P348" s="13"/>
    </row>
    <row r="349" customHeight="1" spans="9:16">
      <c r="I349" s="13"/>
      <c r="J349" s="13"/>
      <c r="K349" s="13"/>
      <c r="L349" s="13"/>
      <c r="M349" s="13"/>
      <c r="N349" s="13"/>
      <c r="O349" s="13"/>
      <c r="P349" s="13"/>
    </row>
    <row r="350" customHeight="1" spans="9:16">
      <c r="I350" s="13"/>
      <c r="J350" s="13"/>
      <c r="K350" s="13"/>
      <c r="L350" s="13"/>
      <c r="M350" s="13"/>
      <c r="N350" s="13"/>
      <c r="O350" s="13"/>
      <c r="P350" s="13"/>
    </row>
    <row r="351" customHeight="1" spans="9:16">
      <c r="I351" s="13"/>
      <c r="J351" s="13"/>
      <c r="K351" s="13"/>
      <c r="L351" s="13"/>
      <c r="M351" s="13"/>
      <c r="N351" s="13"/>
      <c r="O351" s="13"/>
      <c r="P351" s="13"/>
    </row>
    <row r="352" customHeight="1" spans="9:16">
      <c r="I352" s="13"/>
      <c r="J352" s="13"/>
      <c r="K352" s="13"/>
      <c r="L352" s="13"/>
      <c r="M352" s="13"/>
      <c r="N352" s="13"/>
      <c r="O352" s="13"/>
      <c r="P352" s="13"/>
    </row>
    <row r="353" customHeight="1" spans="9:16">
      <c r="I353" s="13"/>
      <c r="J353" s="13"/>
      <c r="K353" s="13"/>
      <c r="L353" s="13"/>
      <c r="M353" s="13"/>
      <c r="N353" s="13"/>
      <c r="O353" s="13"/>
      <c r="P353" s="13"/>
    </row>
    <row r="354" customHeight="1" spans="9:16">
      <c r="I354" s="13"/>
      <c r="J354" s="13"/>
      <c r="K354" s="13"/>
      <c r="L354" s="13"/>
      <c r="M354" s="13"/>
      <c r="N354" s="13"/>
      <c r="O354" s="13"/>
      <c r="P354" s="13"/>
    </row>
    <row r="355" customHeight="1" spans="9:16">
      <c r="I355" s="13"/>
      <c r="J355" s="13"/>
      <c r="K355" s="13"/>
      <c r="L355" s="13"/>
      <c r="M355" s="13"/>
      <c r="N355" s="13"/>
      <c r="O355" s="13"/>
      <c r="P355" s="13"/>
    </row>
    <row r="356" customHeight="1" spans="9:16">
      <c r="I356" s="13"/>
      <c r="J356" s="13"/>
      <c r="K356" s="13"/>
      <c r="L356" s="13"/>
      <c r="M356" s="13"/>
      <c r="N356" s="13"/>
      <c r="O356" s="13"/>
      <c r="P356" s="13"/>
    </row>
    <row r="357" customHeight="1" spans="9:16">
      <c r="I357" s="13"/>
      <c r="J357" s="13"/>
      <c r="K357" s="13"/>
      <c r="L357" s="13"/>
      <c r="M357" s="13"/>
      <c r="N357" s="13"/>
      <c r="O357" s="13"/>
      <c r="P357" s="13"/>
    </row>
    <row r="358" customHeight="1" spans="9:16">
      <c r="I358" s="13"/>
      <c r="J358" s="13"/>
      <c r="K358" s="13"/>
      <c r="L358" s="13"/>
      <c r="M358" s="13"/>
      <c r="N358" s="13"/>
      <c r="O358" s="13"/>
      <c r="P358" s="13"/>
    </row>
    <row r="359" customHeight="1" spans="9:16">
      <c r="I359" s="13"/>
      <c r="J359" s="13"/>
      <c r="K359" s="13"/>
      <c r="L359" s="13"/>
      <c r="M359" s="13"/>
      <c r="N359" s="13"/>
      <c r="O359" s="13"/>
      <c r="P359" s="13"/>
    </row>
    <row r="360" customHeight="1" spans="9:16">
      <c r="I360" s="13"/>
      <c r="J360" s="13"/>
      <c r="K360" s="13"/>
      <c r="L360" s="13"/>
      <c r="M360" s="13"/>
      <c r="N360" s="13"/>
      <c r="O360" s="13"/>
      <c r="P360" s="13"/>
    </row>
    <row r="361" customHeight="1" spans="9:16">
      <c r="I361" s="13"/>
      <c r="J361" s="13"/>
      <c r="K361" s="13"/>
      <c r="L361" s="13"/>
      <c r="M361" s="13"/>
      <c r="N361" s="13"/>
      <c r="O361" s="13"/>
      <c r="P361" s="13"/>
    </row>
    <row r="362" customHeight="1" spans="9:16">
      <c r="I362" s="13"/>
      <c r="J362" s="13"/>
      <c r="K362" s="13"/>
      <c r="L362" s="13"/>
      <c r="M362" s="13"/>
      <c r="N362" s="13"/>
      <c r="O362" s="13"/>
      <c r="P362" s="13"/>
    </row>
    <row r="363" customHeight="1" spans="9:16">
      <c r="I363" s="13"/>
      <c r="J363" s="13"/>
      <c r="K363" s="13"/>
      <c r="L363" s="13"/>
      <c r="M363" s="13"/>
      <c r="N363" s="13"/>
      <c r="O363" s="13"/>
      <c r="P363" s="13"/>
    </row>
    <row r="364" customHeight="1" spans="9:16">
      <c r="I364" s="13"/>
      <c r="J364" s="13"/>
      <c r="K364" s="13"/>
      <c r="L364" s="13"/>
      <c r="M364" s="13"/>
      <c r="N364" s="13"/>
      <c r="O364" s="13"/>
      <c r="P364" s="13"/>
    </row>
    <row r="365" customHeight="1" spans="9:16">
      <c r="I365" s="13"/>
      <c r="J365" s="13"/>
      <c r="K365" s="13"/>
      <c r="L365" s="13"/>
      <c r="M365" s="13"/>
      <c r="N365" s="13"/>
      <c r="O365" s="13"/>
      <c r="P365" s="13"/>
    </row>
    <row r="366" customHeight="1" spans="9:16">
      <c r="I366" s="13"/>
      <c r="J366" s="13"/>
      <c r="K366" s="13"/>
      <c r="L366" s="13"/>
      <c r="M366" s="13"/>
      <c r="N366" s="13"/>
      <c r="O366" s="13"/>
      <c r="P366" s="13"/>
    </row>
    <row r="367" customHeight="1" spans="9:16">
      <c r="I367" s="13"/>
      <c r="J367" s="13"/>
      <c r="K367" s="13"/>
      <c r="L367" s="13"/>
      <c r="M367" s="13"/>
      <c r="N367" s="13"/>
      <c r="O367" s="13"/>
      <c r="P367" s="13"/>
    </row>
    <row r="368" customHeight="1" spans="9:16">
      <c r="I368" s="13"/>
      <c r="J368" s="13"/>
      <c r="K368" s="13"/>
      <c r="L368" s="13"/>
      <c r="M368" s="13"/>
      <c r="N368" s="13"/>
      <c r="O368" s="13"/>
      <c r="P368" s="13"/>
    </row>
    <row r="369" customHeight="1" spans="9:16">
      <c r="I369" s="13"/>
      <c r="J369" s="13"/>
      <c r="K369" s="13"/>
      <c r="L369" s="13"/>
      <c r="M369" s="13"/>
      <c r="N369" s="13"/>
      <c r="O369" s="13"/>
      <c r="P369" s="13"/>
    </row>
    <row r="370" customHeight="1" spans="9:16">
      <c r="I370" s="13"/>
      <c r="J370" s="13"/>
      <c r="K370" s="13"/>
      <c r="L370" s="13"/>
      <c r="M370" s="13"/>
      <c r="N370" s="13"/>
      <c r="O370" s="13"/>
      <c r="P370" s="13"/>
    </row>
    <row r="371" customHeight="1" spans="9:16">
      <c r="I371" s="13"/>
      <c r="J371" s="13"/>
      <c r="K371" s="13"/>
      <c r="L371" s="13"/>
      <c r="M371" s="13"/>
      <c r="N371" s="13"/>
      <c r="O371" s="13"/>
      <c r="P371" s="13"/>
    </row>
    <row r="372" customHeight="1" spans="9:16">
      <c r="I372" s="13"/>
      <c r="J372" s="13"/>
      <c r="K372" s="13"/>
      <c r="L372" s="13"/>
      <c r="M372" s="13"/>
      <c r="N372" s="13"/>
      <c r="O372" s="13"/>
      <c r="P372" s="13"/>
    </row>
    <row r="373" customHeight="1" spans="9:16">
      <c r="I373" s="13"/>
      <c r="J373" s="13"/>
      <c r="K373" s="13"/>
      <c r="L373" s="13"/>
      <c r="M373" s="13"/>
      <c r="N373" s="13"/>
      <c r="O373" s="13"/>
      <c r="P373" s="13"/>
    </row>
    <row r="374" customHeight="1" spans="9:16">
      <c r="I374" s="13"/>
      <c r="J374" s="13"/>
      <c r="K374" s="13"/>
      <c r="L374" s="13"/>
      <c r="M374" s="13"/>
      <c r="N374" s="13"/>
      <c r="O374" s="13"/>
      <c r="P374" s="13"/>
    </row>
    <row r="375" customHeight="1" spans="9:16">
      <c r="I375" s="13"/>
      <c r="J375" s="13"/>
      <c r="K375" s="13"/>
      <c r="L375" s="13"/>
      <c r="M375" s="13"/>
      <c r="N375" s="13"/>
      <c r="O375" s="13"/>
      <c r="P375" s="13"/>
    </row>
    <row r="376" customHeight="1" spans="9:16">
      <c r="I376" s="13"/>
      <c r="J376" s="13"/>
      <c r="K376" s="13"/>
      <c r="L376" s="13"/>
      <c r="M376" s="13"/>
      <c r="N376" s="13"/>
      <c r="O376" s="13"/>
      <c r="P376" s="13"/>
    </row>
    <row r="377" customHeight="1" spans="9:16">
      <c r="I377" s="13"/>
      <c r="J377" s="13"/>
      <c r="K377" s="13"/>
      <c r="L377" s="13"/>
      <c r="M377" s="13"/>
      <c r="N377" s="13"/>
      <c r="O377" s="13"/>
      <c r="P377" s="13"/>
    </row>
    <row r="378" customHeight="1" spans="9:16">
      <c r="I378" s="13"/>
      <c r="J378" s="13"/>
      <c r="K378" s="13"/>
      <c r="L378" s="13"/>
      <c r="M378" s="13"/>
      <c r="N378" s="13"/>
      <c r="O378" s="13"/>
      <c r="P378" s="13"/>
    </row>
    <row r="379" customHeight="1" spans="9:16">
      <c r="I379" s="13"/>
      <c r="J379" s="13"/>
      <c r="K379" s="13"/>
      <c r="L379" s="13"/>
      <c r="M379" s="13"/>
      <c r="N379" s="13"/>
      <c r="O379" s="13"/>
      <c r="P379" s="13"/>
    </row>
    <row r="380" customHeight="1" spans="9:16">
      <c r="I380" s="13"/>
      <c r="J380" s="13"/>
      <c r="K380" s="13"/>
      <c r="L380" s="13"/>
      <c r="M380" s="13"/>
      <c r="N380" s="13"/>
      <c r="O380" s="13"/>
      <c r="P380" s="13"/>
    </row>
    <row r="381" customHeight="1" spans="9:16">
      <c r="I381" s="13"/>
      <c r="J381" s="13"/>
      <c r="K381" s="13"/>
      <c r="L381" s="13"/>
      <c r="M381" s="13"/>
      <c r="N381" s="13"/>
      <c r="O381" s="13"/>
      <c r="P381" s="13"/>
    </row>
    <row r="382" customHeight="1" spans="9:16">
      <c r="I382" s="13"/>
      <c r="J382" s="13"/>
      <c r="K382" s="13"/>
      <c r="L382" s="13"/>
      <c r="M382" s="13"/>
      <c r="N382" s="13"/>
      <c r="O382" s="13"/>
      <c r="P382" s="13"/>
    </row>
    <row r="383" customHeight="1" spans="9:16">
      <c r="I383" s="13"/>
      <c r="J383" s="13"/>
      <c r="K383" s="13"/>
      <c r="L383" s="13"/>
      <c r="M383" s="13"/>
      <c r="N383" s="13"/>
      <c r="O383" s="13"/>
      <c r="P383" s="13"/>
    </row>
    <row r="384" customHeight="1" spans="9:16">
      <c r="I384" s="13"/>
      <c r="J384" s="13"/>
      <c r="K384" s="13"/>
      <c r="L384" s="13"/>
      <c r="M384" s="13"/>
      <c r="N384" s="13"/>
      <c r="O384" s="13"/>
      <c r="P384" s="13"/>
    </row>
    <row r="385" customHeight="1" spans="9:16">
      <c r="I385" s="13"/>
      <c r="J385" s="13"/>
      <c r="K385" s="13"/>
      <c r="L385" s="13"/>
      <c r="M385" s="13"/>
      <c r="N385" s="13"/>
      <c r="O385" s="13"/>
      <c r="P385" s="13"/>
    </row>
    <row r="386" customHeight="1" spans="9:16">
      <c r="I386" s="13"/>
      <c r="J386" s="13"/>
      <c r="K386" s="13"/>
      <c r="L386" s="13"/>
      <c r="M386" s="13"/>
      <c r="N386" s="13"/>
      <c r="O386" s="13"/>
      <c r="P386" s="13"/>
    </row>
    <row r="387" customHeight="1" spans="9:16">
      <c r="I387" s="13"/>
      <c r="J387" s="13"/>
      <c r="K387" s="13"/>
      <c r="L387" s="13"/>
      <c r="M387" s="13"/>
      <c r="N387" s="13"/>
      <c r="O387" s="13"/>
      <c r="P387" s="13"/>
    </row>
    <row r="388" customHeight="1" spans="9:16">
      <c r="I388" s="13"/>
      <c r="J388" s="13"/>
      <c r="K388" s="13"/>
      <c r="L388" s="13"/>
      <c r="M388" s="13"/>
      <c r="N388" s="13"/>
      <c r="O388" s="13"/>
      <c r="P388" s="13"/>
    </row>
    <row r="389" customHeight="1" spans="9:16">
      <c r="I389" s="13"/>
      <c r="J389" s="13"/>
      <c r="K389" s="13"/>
      <c r="L389" s="13"/>
      <c r="M389" s="13"/>
      <c r="N389" s="13"/>
      <c r="O389" s="13"/>
      <c r="P389" s="13"/>
    </row>
    <row r="390" customHeight="1" spans="9:16">
      <c r="I390" s="13"/>
      <c r="J390" s="13"/>
      <c r="K390" s="13"/>
      <c r="L390" s="13"/>
      <c r="M390" s="13"/>
      <c r="N390" s="13"/>
      <c r="O390" s="13"/>
      <c r="P390" s="13"/>
    </row>
    <row r="391" customHeight="1" spans="9:16">
      <c r="I391" s="13"/>
      <c r="J391" s="13"/>
      <c r="K391" s="13"/>
      <c r="L391" s="13"/>
      <c r="M391" s="13"/>
      <c r="N391" s="13"/>
      <c r="O391" s="13"/>
      <c r="P391" s="13"/>
    </row>
    <row r="392" customHeight="1" spans="9:16">
      <c r="I392" s="13"/>
      <c r="J392" s="13"/>
      <c r="K392" s="13"/>
      <c r="L392" s="13"/>
      <c r="M392" s="13"/>
      <c r="N392" s="13"/>
      <c r="O392" s="13"/>
      <c r="P392" s="13"/>
    </row>
    <row r="393" customHeight="1" spans="9:16">
      <c r="I393" s="13"/>
      <c r="J393" s="13"/>
      <c r="K393" s="13"/>
      <c r="L393" s="13"/>
      <c r="M393" s="13"/>
      <c r="N393" s="13"/>
      <c r="O393" s="13"/>
      <c r="P393" s="13"/>
    </row>
    <row r="394" customHeight="1" spans="9:16">
      <c r="I394" s="13"/>
      <c r="J394" s="13"/>
      <c r="K394" s="13"/>
      <c r="L394" s="13"/>
      <c r="M394" s="13"/>
      <c r="N394" s="13"/>
      <c r="O394" s="13"/>
      <c r="P394" s="13"/>
    </row>
    <row r="395" customHeight="1" spans="9:16">
      <c r="I395" s="13"/>
      <c r="J395" s="13"/>
      <c r="K395" s="13"/>
      <c r="L395" s="13"/>
      <c r="M395" s="13"/>
      <c r="N395" s="13"/>
      <c r="O395" s="13"/>
      <c r="P395" s="13"/>
    </row>
    <row r="396" customHeight="1" spans="9:16">
      <c r="I396" s="13"/>
      <c r="J396" s="13"/>
      <c r="K396" s="13"/>
      <c r="L396" s="13"/>
      <c r="M396" s="13"/>
      <c r="N396" s="13"/>
      <c r="O396" s="13"/>
      <c r="P396" s="13"/>
    </row>
    <row r="397" customHeight="1" spans="9:16">
      <c r="I397" s="13"/>
      <c r="J397" s="13"/>
      <c r="K397" s="13"/>
      <c r="L397" s="13"/>
      <c r="M397" s="13"/>
      <c r="N397" s="13"/>
      <c r="O397" s="13"/>
      <c r="P397" s="13"/>
    </row>
    <row r="398" customHeight="1" spans="9:16">
      <c r="I398" s="13"/>
      <c r="J398" s="13"/>
      <c r="K398" s="13"/>
      <c r="L398" s="13"/>
      <c r="M398" s="13"/>
      <c r="N398" s="13"/>
      <c r="O398" s="13"/>
      <c r="P398" s="13"/>
    </row>
    <row r="399" customHeight="1" spans="9:16">
      <c r="I399" s="13"/>
      <c r="J399" s="13"/>
      <c r="K399" s="13"/>
      <c r="L399" s="13"/>
      <c r="M399" s="13"/>
      <c r="N399" s="13"/>
      <c r="O399" s="13"/>
      <c r="P399" s="13"/>
    </row>
    <row r="400" customHeight="1" spans="9:16">
      <c r="I400" s="13"/>
      <c r="J400" s="13"/>
      <c r="K400" s="13"/>
      <c r="L400" s="13"/>
      <c r="M400" s="13"/>
      <c r="N400" s="13"/>
      <c r="O400" s="13"/>
      <c r="P400" s="13"/>
    </row>
    <row r="401" customHeight="1" spans="9:16">
      <c r="I401" s="13"/>
      <c r="J401" s="13"/>
      <c r="K401" s="13"/>
      <c r="L401" s="13"/>
      <c r="M401" s="13"/>
      <c r="N401" s="13"/>
      <c r="O401" s="13"/>
      <c r="P401" s="13"/>
    </row>
    <row r="402" customHeight="1" spans="9:16">
      <c r="I402" s="13"/>
      <c r="J402" s="13"/>
      <c r="K402" s="13"/>
      <c r="L402" s="13"/>
      <c r="M402" s="13"/>
      <c r="N402" s="13"/>
      <c r="O402" s="13"/>
      <c r="P402" s="13"/>
    </row>
    <row r="403" customHeight="1" spans="9:16">
      <c r="I403" s="13"/>
      <c r="J403" s="13"/>
      <c r="K403" s="13"/>
      <c r="L403" s="13"/>
      <c r="M403" s="13"/>
      <c r="N403" s="13"/>
      <c r="O403" s="13"/>
      <c r="P403" s="13"/>
    </row>
    <row r="404" customHeight="1" spans="9:16">
      <c r="I404" s="13"/>
      <c r="J404" s="13"/>
      <c r="K404" s="13"/>
      <c r="L404" s="13"/>
      <c r="M404" s="13"/>
      <c r="N404" s="13"/>
      <c r="O404" s="13"/>
      <c r="P404" s="13"/>
    </row>
    <row r="405" customHeight="1" spans="9:16">
      <c r="I405" s="13"/>
      <c r="J405" s="13"/>
      <c r="K405" s="13"/>
      <c r="L405" s="13"/>
      <c r="M405" s="13"/>
      <c r="N405" s="13"/>
      <c r="O405" s="13"/>
      <c r="P405" s="13"/>
    </row>
    <row r="406" customHeight="1" spans="9:16">
      <c r="I406" s="13"/>
      <c r="J406" s="13"/>
      <c r="K406" s="13"/>
      <c r="L406" s="13"/>
      <c r="M406" s="13"/>
      <c r="N406" s="13"/>
      <c r="O406" s="13"/>
      <c r="P406" s="13"/>
    </row>
    <row r="407" customHeight="1" spans="9:16">
      <c r="I407" s="13"/>
      <c r="J407" s="13"/>
      <c r="K407" s="13"/>
      <c r="L407" s="13"/>
      <c r="M407" s="13"/>
      <c r="N407" s="13"/>
      <c r="O407" s="13"/>
      <c r="P407" s="13"/>
    </row>
    <row r="408" customHeight="1" spans="9:16">
      <c r="I408" s="13"/>
      <c r="J408" s="13"/>
      <c r="K408" s="13"/>
      <c r="L408" s="13"/>
      <c r="M408" s="13"/>
      <c r="N408" s="13"/>
      <c r="O408" s="13"/>
      <c r="P408" s="13"/>
    </row>
    <row r="409" customHeight="1" spans="9:16">
      <c r="I409" s="13"/>
      <c r="J409" s="13"/>
      <c r="K409" s="13"/>
      <c r="L409" s="13"/>
      <c r="M409" s="13"/>
      <c r="N409" s="13"/>
      <c r="O409" s="13"/>
      <c r="P409" s="13"/>
    </row>
    <row r="410" customHeight="1" spans="9:16">
      <c r="I410" s="13"/>
      <c r="J410" s="13"/>
      <c r="K410" s="13"/>
      <c r="L410" s="13"/>
      <c r="M410" s="13"/>
      <c r="N410" s="13"/>
      <c r="O410" s="13"/>
      <c r="P410" s="13"/>
    </row>
    <row r="411" customHeight="1" spans="9:16">
      <c r="I411" s="13"/>
      <c r="J411" s="13"/>
      <c r="K411" s="13"/>
      <c r="L411" s="13"/>
      <c r="M411" s="13"/>
      <c r="N411" s="13"/>
      <c r="O411" s="13"/>
      <c r="P411" s="13"/>
    </row>
    <row r="412" customHeight="1" spans="9:16">
      <c r="I412" s="13"/>
      <c r="J412" s="13"/>
      <c r="K412" s="13"/>
      <c r="L412" s="13"/>
      <c r="M412" s="13"/>
      <c r="N412" s="13"/>
      <c r="O412" s="13"/>
      <c r="P412" s="13"/>
    </row>
    <row r="413" customHeight="1" spans="9:16">
      <c r="I413" s="13"/>
      <c r="J413" s="13"/>
      <c r="K413" s="13"/>
      <c r="L413" s="13"/>
      <c r="M413" s="13"/>
      <c r="N413" s="13"/>
      <c r="O413" s="13"/>
      <c r="P413" s="13"/>
    </row>
    <row r="414" customHeight="1" spans="9:16">
      <c r="I414" s="13"/>
      <c r="J414" s="13"/>
      <c r="K414" s="13"/>
      <c r="L414" s="13"/>
      <c r="M414" s="13"/>
      <c r="N414" s="13"/>
      <c r="O414" s="13"/>
      <c r="P414" s="13"/>
    </row>
    <row r="415" customHeight="1" spans="9:16">
      <c r="I415" s="13"/>
      <c r="J415" s="13"/>
      <c r="K415" s="13"/>
      <c r="L415" s="13"/>
      <c r="M415" s="13"/>
      <c r="N415" s="13"/>
      <c r="O415" s="13"/>
      <c r="P415" s="13"/>
    </row>
    <row r="416" customHeight="1" spans="9:16">
      <c r="I416" s="13"/>
      <c r="J416" s="13"/>
      <c r="K416" s="13"/>
      <c r="L416" s="13"/>
      <c r="M416" s="13"/>
      <c r="N416" s="13"/>
      <c r="O416" s="13"/>
      <c r="P416" s="13"/>
    </row>
    <row r="417" customHeight="1" spans="9:16">
      <c r="I417" s="13"/>
      <c r="J417" s="13"/>
      <c r="K417" s="13"/>
      <c r="L417" s="13"/>
      <c r="M417" s="13"/>
      <c r="N417" s="13"/>
      <c r="O417" s="13"/>
      <c r="P417" s="13"/>
    </row>
    <row r="418" customHeight="1" spans="9:16">
      <c r="I418" s="13"/>
      <c r="J418" s="13"/>
      <c r="K418" s="13"/>
      <c r="L418" s="13"/>
      <c r="M418" s="13"/>
      <c r="N418" s="13"/>
      <c r="O418" s="13"/>
      <c r="P418" s="13"/>
    </row>
    <row r="419" customHeight="1" spans="9:16">
      <c r="I419" s="13"/>
      <c r="J419" s="13"/>
      <c r="K419" s="13"/>
      <c r="L419" s="13"/>
      <c r="M419" s="13"/>
      <c r="N419" s="13"/>
      <c r="O419" s="13"/>
      <c r="P419" s="13"/>
    </row>
    <row r="420" customHeight="1" spans="9:16">
      <c r="I420" s="13"/>
      <c r="J420" s="13"/>
      <c r="K420" s="13"/>
      <c r="L420" s="13"/>
      <c r="M420" s="13"/>
      <c r="N420" s="13"/>
      <c r="O420" s="13"/>
      <c r="P420" s="13"/>
    </row>
    <row r="421" customHeight="1" spans="9:16">
      <c r="I421" s="13"/>
      <c r="J421" s="13"/>
      <c r="K421" s="13"/>
      <c r="L421" s="13"/>
      <c r="M421" s="13"/>
      <c r="N421" s="13"/>
      <c r="O421" s="13"/>
      <c r="P421" s="13"/>
    </row>
    <row r="422" customHeight="1" spans="9:16">
      <c r="I422" s="13"/>
      <c r="J422" s="13"/>
      <c r="K422" s="13"/>
      <c r="L422" s="13"/>
      <c r="M422" s="13"/>
      <c r="N422" s="13"/>
      <c r="O422" s="13"/>
      <c r="P422" s="13"/>
    </row>
    <row r="423" customHeight="1" spans="9:16">
      <c r="I423" s="13"/>
      <c r="J423" s="13"/>
      <c r="K423" s="13"/>
      <c r="L423" s="13"/>
      <c r="M423" s="13"/>
      <c r="N423" s="13"/>
      <c r="O423" s="13"/>
      <c r="P423" s="13"/>
    </row>
    <row r="424" customHeight="1" spans="9:16">
      <c r="I424" s="13"/>
      <c r="J424" s="13"/>
      <c r="K424" s="13"/>
      <c r="L424" s="13"/>
      <c r="M424" s="13"/>
      <c r="N424" s="13"/>
      <c r="O424" s="13"/>
      <c r="P424" s="13"/>
    </row>
    <row r="425" customHeight="1" spans="9:16">
      <c r="I425" s="13"/>
      <c r="J425" s="13"/>
      <c r="K425" s="13"/>
      <c r="L425" s="13"/>
      <c r="M425" s="13"/>
      <c r="N425" s="13"/>
      <c r="O425" s="13"/>
      <c r="P425" s="13"/>
    </row>
    <row r="426" customHeight="1" spans="9:16">
      <c r="I426" s="13"/>
      <c r="J426" s="13"/>
      <c r="K426" s="13"/>
      <c r="L426" s="13"/>
      <c r="M426" s="13"/>
      <c r="N426" s="13"/>
      <c r="O426" s="13"/>
      <c r="P426" s="13"/>
    </row>
    <row r="427" customHeight="1" spans="9:16">
      <c r="I427" s="13"/>
      <c r="J427" s="13"/>
      <c r="K427" s="13"/>
      <c r="L427" s="13"/>
      <c r="M427" s="13"/>
      <c r="N427" s="13"/>
      <c r="O427" s="13"/>
      <c r="P427" s="13"/>
    </row>
    <row r="428" customHeight="1" spans="9:16">
      <c r="I428" s="13"/>
      <c r="J428" s="13"/>
      <c r="K428" s="13"/>
      <c r="L428" s="13"/>
      <c r="M428" s="13"/>
      <c r="N428" s="13"/>
      <c r="O428" s="13"/>
      <c r="P428" s="13"/>
    </row>
    <row r="429" customHeight="1" spans="9:16">
      <c r="I429" s="13"/>
      <c r="J429" s="13"/>
      <c r="K429" s="13"/>
      <c r="L429" s="13"/>
      <c r="M429" s="13"/>
      <c r="N429" s="13"/>
      <c r="O429" s="13"/>
      <c r="P429" s="13"/>
    </row>
    <row r="430" customHeight="1" spans="9:16">
      <c r="I430" s="13"/>
      <c r="J430" s="13"/>
      <c r="K430" s="13"/>
      <c r="L430" s="13"/>
      <c r="M430" s="13"/>
      <c r="N430" s="13"/>
      <c r="O430" s="13"/>
      <c r="P430" s="13"/>
    </row>
    <row r="431" customHeight="1" spans="9:16">
      <c r="I431" s="13"/>
      <c r="J431" s="13"/>
      <c r="K431" s="13"/>
      <c r="L431" s="13"/>
      <c r="M431" s="13"/>
      <c r="N431" s="13"/>
      <c r="O431" s="13"/>
      <c r="P431" s="13"/>
    </row>
    <row r="432" customHeight="1" spans="9:16">
      <c r="I432" s="13"/>
      <c r="J432" s="13"/>
      <c r="K432" s="13"/>
      <c r="L432" s="13"/>
      <c r="M432" s="13"/>
      <c r="N432" s="13"/>
      <c r="O432" s="13"/>
      <c r="P432" s="13"/>
    </row>
    <row r="433" customHeight="1" spans="9:16">
      <c r="I433" s="13"/>
      <c r="J433" s="13"/>
      <c r="K433" s="13"/>
      <c r="L433" s="13"/>
      <c r="M433" s="13"/>
      <c r="N433" s="13"/>
      <c r="O433" s="13"/>
      <c r="P433" s="13"/>
    </row>
    <row r="434" customHeight="1" spans="9:16">
      <c r="I434" s="13"/>
      <c r="J434" s="13"/>
      <c r="K434" s="13"/>
      <c r="L434" s="13"/>
      <c r="M434" s="13"/>
      <c r="N434" s="13"/>
      <c r="O434" s="13"/>
      <c r="P434" s="13"/>
    </row>
    <row r="435" customHeight="1" spans="9:16">
      <c r="I435" s="13"/>
      <c r="J435" s="13"/>
      <c r="K435" s="13"/>
      <c r="L435" s="13"/>
      <c r="M435" s="13"/>
      <c r="N435" s="13"/>
      <c r="O435" s="13"/>
      <c r="P435" s="13"/>
    </row>
    <row r="436" customHeight="1" spans="9:16">
      <c r="I436" s="13"/>
      <c r="J436" s="13"/>
      <c r="K436" s="13"/>
      <c r="L436" s="13"/>
      <c r="M436" s="13"/>
      <c r="N436" s="13"/>
      <c r="O436" s="13"/>
      <c r="P436" s="13"/>
    </row>
    <row r="437" customHeight="1" spans="9:16">
      <c r="I437" s="13"/>
      <c r="J437" s="13"/>
      <c r="K437" s="13"/>
      <c r="L437" s="13"/>
      <c r="M437" s="13"/>
      <c r="N437" s="13"/>
      <c r="O437" s="13"/>
      <c r="P437" s="13"/>
    </row>
    <row r="438" customHeight="1" spans="9:16">
      <c r="I438" s="13"/>
      <c r="J438" s="13"/>
      <c r="K438" s="13"/>
      <c r="L438" s="13"/>
      <c r="M438" s="13"/>
      <c r="N438" s="13"/>
      <c r="O438" s="13"/>
      <c r="P438" s="13"/>
    </row>
    <row r="439" customHeight="1" spans="9:16">
      <c r="I439" s="13"/>
      <c r="J439" s="13"/>
      <c r="K439" s="13"/>
      <c r="L439" s="13"/>
      <c r="M439" s="13"/>
      <c r="N439" s="13"/>
      <c r="O439" s="13"/>
      <c r="P439" s="13"/>
    </row>
    <row r="440" customHeight="1" spans="9:16">
      <c r="I440" s="13"/>
      <c r="J440" s="13"/>
      <c r="K440" s="13"/>
      <c r="L440" s="13"/>
      <c r="M440" s="13"/>
      <c r="N440" s="13"/>
      <c r="O440" s="13"/>
      <c r="P440" s="13"/>
    </row>
    <row r="441" customHeight="1" spans="9:16">
      <c r="I441" s="13"/>
      <c r="J441" s="13"/>
      <c r="K441" s="13"/>
      <c r="L441" s="13"/>
      <c r="M441" s="13"/>
      <c r="N441" s="13"/>
      <c r="O441" s="13"/>
      <c r="P441" s="13"/>
    </row>
    <row r="442" customHeight="1" spans="9:16">
      <c r="I442" s="13"/>
      <c r="J442" s="13"/>
      <c r="K442" s="13"/>
      <c r="L442" s="13"/>
      <c r="M442" s="13"/>
      <c r="N442" s="13"/>
      <c r="O442" s="13"/>
      <c r="P442" s="13"/>
    </row>
    <row r="443" customHeight="1" spans="9:16">
      <c r="I443" s="13"/>
      <c r="J443" s="13"/>
      <c r="K443" s="13"/>
      <c r="L443" s="13"/>
      <c r="M443" s="13"/>
      <c r="N443" s="13"/>
      <c r="O443" s="13"/>
      <c r="P443" s="13"/>
    </row>
    <row r="444" customHeight="1" spans="9:16">
      <c r="I444" s="13"/>
      <c r="J444" s="13"/>
      <c r="K444" s="13"/>
      <c r="L444" s="13"/>
      <c r="M444" s="13"/>
      <c r="N444" s="13"/>
      <c r="O444" s="13"/>
      <c r="P444" s="13"/>
    </row>
    <row r="445" customHeight="1" spans="9:16">
      <c r="I445" s="13"/>
      <c r="J445" s="13"/>
      <c r="K445" s="13"/>
      <c r="L445" s="13"/>
      <c r="M445" s="13"/>
      <c r="N445" s="13"/>
      <c r="O445" s="13"/>
      <c r="P445" s="13"/>
    </row>
    <row r="446" customHeight="1" spans="9:16">
      <c r="I446" s="13"/>
      <c r="J446" s="13"/>
      <c r="K446" s="13"/>
      <c r="L446" s="13"/>
      <c r="M446" s="13"/>
      <c r="N446" s="13"/>
      <c r="O446" s="13"/>
      <c r="P446" s="13"/>
    </row>
    <row r="447" customHeight="1" spans="9:16">
      <c r="I447" s="13"/>
      <c r="J447" s="13"/>
      <c r="K447" s="13"/>
      <c r="L447" s="13"/>
      <c r="M447" s="13"/>
      <c r="N447" s="13"/>
      <c r="O447" s="13"/>
      <c r="P447" s="13"/>
    </row>
    <row r="448" customHeight="1" spans="9:16">
      <c r="I448" s="13"/>
      <c r="J448" s="13"/>
      <c r="K448" s="13"/>
      <c r="L448" s="13"/>
      <c r="M448" s="13"/>
      <c r="N448" s="13"/>
      <c r="O448" s="13"/>
      <c r="P448" s="13"/>
    </row>
    <row r="449" customHeight="1" spans="9:16">
      <c r="I449" s="13"/>
      <c r="J449" s="13"/>
      <c r="K449" s="13"/>
      <c r="L449" s="13"/>
      <c r="M449" s="13"/>
      <c r="N449" s="13"/>
      <c r="O449" s="13"/>
      <c r="P449" s="13"/>
    </row>
    <row r="450" customHeight="1" spans="9:16">
      <c r="I450" s="13"/>
      <c r="J450" s="13"/>
      <c r="K450" s="13"/>
      <c r="L450" s="13"/>
      <c r="M450" s="13"/>
      <c r="N450" s="13"/>
      <c r="O450" s="13"/>
      <c r="P450" s="13"/>
    </row>
    <row r="451" customHeight="1" spans="9:16">
      <c r="I451" s="13"/>
      <c r="J451" s="13"/>
      <c r="K451" s="13"/>
      <c r="L451" s="13"/>
      <c r="M451" s="13"/>
      <c r="N451" s="13"/>
      <c r="O451" s="13"/>
      <c r="P451" s="13"/>
    </row>
    <row r="452" customHeight="1" spans="9:16">
      <c r="I452" s="13"/>
      <c r="J452" s="13"/>
      <c r="K452" s="13"/>
      <c r="L452" s="13"/>
      <c r="M452" s="13"/>
      <c r="N452" s="13"/>
      <c r="O452" s="13"/>
      <c r="P452" s="13"/>
    </row>
    <row r="453" customHeight="1" spans="9:16">
      <c r="I453" s="13"/>
      <c r="J453" s="13"/>
      <c r="K453" s="13"/>
      <c r="L453" s="13"/>
      <c r="M453" s="13"/>
      <c r="N453" s="13"/>
      <c r="O453" s="13"/>
      <c r="P453" s="13"/>
    </row>
    <row r="454" customHeight="1" spans="9:16">
      <c r="I454" s="13"/>
      <c r="J454" s="13"/>
      <c r="K454" s="13"/>
      <c r="L454" s="13"/>
      <c r="M454" s="13"/>
      <c r="N454" s="13"/>
      <c r="O454" s="13"/>
      <c r="P454" s="13"/>
    </row>
    <row r="455" customHeight="1" spans="9:16">
      <c r="I455" s="13"/>
      <c r="J455" s="13"/>
      <c r="K455" s="13"/>
      <c r="L455" s="13"/>
      <c r="M455" s="13"/>
      <c r="N455" s="13"/>
      <c r="O455" s="13"/>
      <c r="P455" s="13"/>
    </row>
    <row r="456" customHeight="1" spans="9:16">
      <c r="I456" s="13"/>
      <c r="J456" s="13"/>
      <c r="K456" s="13"/>
      <c r="L456" s="13"/>
      <c r="M456" s="13"/>
      <c r="N456" s="13"/>
      <c r="O456" s="13"/>
      <c r="P456" s="13"/>
    </row>
    <row r="457" customHeight="1" spans="9:16">
      <c r="I457" s="13"/>
      <c r="J457" s="13"/>
      <c r="K457" s="13"/>
      <c r="L457" s="13"/>
      <c r="M457" s="13"/>
      <c r="N457" s="13"/>
      <c r="O457" s="13"/>
      <c r="P457" s="13"/>
    </row>
    <row r="458" customHeight="1" spans="9:16">
      <c r="I458" s="13"/>
      <c r="J458" s="13"/>
      <c r="K458" s="13"/>
      <c r="L458" s="13"/>
      <c r="M458" s="13"/>
      <c r="N458" s="13"/>
      <c r="O458" s="13"/>
      <c r="P458" s="13"/>
    </row>
    <row r="459" customHeight="1" spans="9:16">
      <c r="I459" s="13"/>
      <c r="J459" s="13"/>
      <c r="K459" s="13"/>
      <c r="L459" s="13"/>
      <c r="M459" s="13"/>
      <c r="N459" s="13"/>
      <c r="O459" s="13"/>
      <c r="P459" s="13"/>
    </row>
    <row r="460" customHeight="1" spans="9:16">
      <c r="I460" s="13"/>
      <c r="J460" s="13"/>
      <c r="K460" s="13"/>
      <c r="L460" s="13"/>
      <c r="M460" s="13"/>
      <c r="N460" s="13"/>
      <c r="O460" s="13"/>
      <c r="P460" s="13"/>
    </row>
    <row r="461" customHeight="1" spans="9:16">
      <c r="I461" s="13"/>
      <c r="J461" s="13"/>
      <c r="K461" s="13"/>
      <c r="L461" s="13"/>
      <c r="M461" s="13"/>
      <c r="N461" s="13"/>
      <c r="O461" s="13"/>
      <c r="P461" s="13"/>
    </row>
    <row r="462" customHeight="1" spans="9:16">
      <c r="I462" s="13"/>
      <c r="J462" s="13"/>
      <c r="K462" s="13"/>
      <c r="L462" s="13"/>
      <c r="M462" s="13"/>
      <c r="N462" s="13"/>
      <c r="O462" s="13"/>
      <c r="P462" s="13"/>
    </row>
    <row r="463" customHeight="1" spans="9:16">
      <c r="I463" s="13"/>
      <c r="J463" s="13"/>
      <c r="K463" s="13"/>
      <c r="L463" s="13"/>
      <c r="M463" s="13"/>
      <c r="N463" s="13"/>
      <c r="O463" s="13"/>
      <c r="P463" s="13"/>
    </row>
    <row r="464" customHeight="1" spans="9:16">
      <c r="I464" s="13"/>
      <c r="J464" s="13"/>
      <c r="K464" s="13"/>
      <c r="L464" s="13"/>
      <c r="M464" s="13"/>
      <c r="N464" s="13"/>
      <c r="O464" s="13"/>
      <c r="P464" s="13"/>
    </row>
    <row r="465" customHeight="1" spans="9:16">
      <c r="I465" s="13"/>
      <c r="J465" s="13"/>
      <c r="K465" s="13"/>
      <c r="L465" s="13"/>
      <c r="M465" s="13"/>
      <c r="N465" s="13"/>
      <c r="O465" s="13"/>
      <c r="P465" s="13"/>
    </row>
    <row r="466" customHeight="1" spans="9:16">
      <c r="I466" s="13"/>
      <c r="J466" s="13"/>
      <c r="K466" s="13"/>
      <c r="L466" s="13"/>
      <c r="M466" s="13"/>
      <c r="N466" s="13"/>
      <c r="O466" s="13"/>
      <c r="P466" s="13"/>
    </row>
    <row r="467" customHeight="1" spans="9:16">
      <c r="I467" s="13"/>
      <c r="J467" s="13"/>
      <c r="K467" s="13"/>
      <c r="L467" s="13"/>
      <c r="M467" s="13"/>
      <c r="N467" s="13"/>
      <c r="O467" s="13"/>
      <c r="P467" s="13"/>
    </row>
    <row r="468" customHeight="1" spans="9:16">
      <c r="I468" s="13"/>
      <c r="J468" s="13"/>
      <c r="K468" s="13"/>
      <c r="L468" s="13"/>
      <c r="M468" s="13"/>
      <c r="N468" s="13"/>
      <c r="O468" s="13"/>
      <c r="P468" s="13"/>
    </row>
    <row r="469" customHeight="1" spans="9:16">
      <c r="I469" s="13"/>
      <c r="J469" s="13"/>
      <c r="K469" s="13"/>
      <c r="L469" s="13"/>
      <c r="M469" s="13"/>
      <c r="N469" s="13"/>
      <c r="O469" s="13"/>
      <c r="P469" s="13"/>
    </row>
    <row r="470" customHeight="1" spans="9:16">
      <c r="I470" s="13"/>
      <c r="J470" s="13"/>
      <c r="K470" s="13"/>
      <c r="L470" s="13"/>
      <c r="M470" s="13"/>
      <c r="N470" s="13"/>
      <c r="O470" s="13"/>
      <c r="P470" s="13"/>
    </row>
    <row r="471" customHeight="1" spans="9:16">
      <c r="I471" s="13"/>
      <c r="J471" s="13"/>
      <c r="K471" s="13"/>
      <c r="L471" s="13"/>
      <c r="M471" s="13"/>
      <c r="N471" s="13"/>
      <c r="O471" s="13"/>
      <c r="P471" s="13"/>
    </row>
    <row r="472" customHeight="1" spans="9:16">
      <c r="I472" s="13"/>
      <c r="J472" s="13"/>
      <c r="K472" s="13"/>
      <c r="L472" s="13"/>
      <c r="M472" s="13"/>
      <c r="N472" s="13"/>
      <c r="O472" s="13"/>
      <c r="P472" s="13"/>
    </row>
    <row r="473" customHeight="1" spans="9:16">
      <c r="I473" s="13"/>
      <c r="J473" s="13"/>
      <c r="K473" s="13"/>
      <c r="L473" s="13"/>
      <c r="M473" s="13"/>
      <c r="N473" s="13"/>
      <c r="O473" s="13"/>
      <c r="P473" s="13"/>
    </row>
    <row r="474" customHeight="1" spans="9:16">
      <c r="I474" s="13"/>
      <c r="J474" s="13"/>
      <c r="K474" s="13"/>
      <c r="L474" s="13"/>
      <c r="M474" s="13"/>
      <c r="N474" s="13"/>
      <c r="O474" s="13"/>
      <c r="P474" s="13"/>
    </row>
    <row r="475" customHeight="1" spans="9:16">
      <c r="I475" s="13"/>
      <c r="J475" s="13"/>
      <c r="K475" s="13"/>
      <c r="L475" s="13"/>
      <c r="M475" s="13"/>
      <c r="N475" s="13"/>
      <c r="O475" s="13"/>
      <c r="P475" s="13"/>
    </row>
    <row r="476" customHeight="1" spans="9:16">
      <c r="I476" s="13"/>
      <c r="J476" s="13"/>
      <c r="K476" s="13"/>
      <c r="L476" s="13"/>
      <c r="M476" s="13"/>
      <c r="N476" s="13"/>
      <c r="O476" s="13"/>
      <c r="P476" s="13"/>
    </row>
    <row r="477" customHeight="1" spans="9:16">
      <c r="I477" s="13"/>
      <c r="J477" s="13"/>
      <c r="K477" s="13"/>
      <c r="L477" s="13"/>
      <c r="M477" s="13"/>
      <c r="N477" s="13"/>
      <c r="O477" s="13"/>
      <c r="P477" s="13"/>
    </row>
    <row r="478" customHeight="1" spans="9:16">
      <c r="I478" s="13"/>
      <c r="J478" s="13"/>
      <c r="K478" s="13"/>
      <c r="L478" s="13"/>
      <c r="M478" s="13"/>
      <c r="N478" s="13"/>
      <c r="O478" s="13"/>
      <c r="P478" s="13"/>
    </row>
    <row r="479" customHeight="1" spans="9:16">
      <c r="I479" s="13"/>
      <c r="J479" s="13"/>
      <c r="K479" s="13"/>
      <c r="L479" s="13"/>
      <c r="M479" s="13"/>
      <c r="N479" s="13"/>
      <c r="O479" s="13"/>
      <c r="P479" s="13"/>
    </row>
    <row r="480" customHeight="1" spans="9:16">
      <c r="I480" s="13"/>
      <c r="J480" s="13"/>
      <c r="K480" s="13"/>
      <c r="L480" s="13"/>
      <c r="M480" s="13"/>
      <c r="N480" s="13"/>
      <c r="O480" s="13"/>
      <c r="P480" s="13"/>
    </row>
    <row r="481" customHeight="1" spans="9:16">
      <c r="I481" s="13"/>
      <c r="J481" s="13"/>
      <c r="K481" s="13"/>
      <c r="L481" s="13"/>
      <c r="M481" s="13"/>
      <c r="N481" s="13"/>
      <c r="O481" s="13"/>
      <c r="P481" s="13"/>
    </row>
    <row r="482" customHeight="1" spans="9:16">
      <c r="I482" s="13"/>
      <c r="J482" s="13"/>
      <c r="K482" s="13"/>
      <c r="L482" s="13"/>
      <c r="M482" s="13"/>
      <c r="N482" s="13"/>
      <c r="O482" s="13"/>
      <c r="P482" s="13"/>
    </row>
    <row r="483" customHeight="1" spans="9:16">
      <c r="I483" s="13"/>
      <c r="J483" s="13"/>
      <c r="K483" s="13"/>
      <c r="L483" s="13"/>
      <c r="M483" s="13"/>
      <c r="N483" s="13"/>
      <c r="O483" s="13"/>
      <c r="P483" s="13"/>
    </row>
    <row r="484" customHeight="1" spans="9:16">
      <c r="I484" s="13"/>
      <c r="J484" s="13"/>
      <c r="K484" s="13"/>
      <c r="L484" s="13"/>
      <c r="M484" s="13"/>
      <c r="N484" s="13"/>
      <c r="O484" s="13"/>
      <c r="P484" s="13"/>
    </row>
    <row r="485" customHeight="1" spans="9:16">
      <c r="I485" s="13"/>
      <c r="J485" s="13"/>
      <c r="K485" s="13"/>
      <c r="L485" s="13"/>
      <c r="M485" s="13"/>
      <c r="N485" s="13"/>
      <c r="O485" s="13"/>
      <c r="P485" s="13"/>
    </row>
    <row r="486" customHeight="1" spans="9:16">
      <c r="I486" s="13"/>
      <c r="J486" s="13"/>
      <c r="K486" s="13"/>
      <c r="L486" s="13"/>
      <c r="M486" s="13"/>
      <c r="N486" s="13"/>
      <c r="O486" s="13"/>
      <c r="P486" s="13"/>
    </row>
    <row r="487" customHeight="1" spans="9:16">
      <c r="I487" s="13"/>
      <c r="J487" s="13"/>
      <c r="K487" s="13"/>
      <c r="L487" s="13"/>
      <c r="M487" s="13"/>
      <c r="N487" s="13"/>
      <c r="O487" s="13"/>
      <c r="P487" s="13"/>
    </row>
    <row r="488" customHeight="1" spans="9:16">
      <c r="I488" s="13"/>
      <c r="J488" s="13"/>
      <c r="K488" s="13"/>
      <c r="L488" s="13"/>
      <c r="M488" s="13"/>
      <c r="N488" s="13"/>
      <c r="O488" s="13"/>
      <c r="P488" s="13"/>
    </row>
    <row r="489" customHeight="1" spans="9:16">
      <c r="I489" s="13"/>
      <c r="J489" s="13"/>
      <c r="K489" s="13"/>
      <c r="L489" s="13"/>
      <c r="M489" s="13"/>
      <c r="N489" s="13"/>
      <c r="O489" s="13"/>
      <c r="P489" s="13"/>
    </row>
    <row r="490" customHeight="1" spans="9:16">
      <c r="I490" s="13"/>
      <c r="J490" s="13"/>
      <c r="K490" s="13"/>
      <c r="L490" s="13"/>
      <c r="M490" s="13"/>
      <c r="N490" s="13"/>
      <c r="O490" s="13"/>
      <c r="P490" s="13"/>
    </row>
    <row r="491" customHeight="1" spans="9:16">
      <c r="I491" s="13"/>
      <c r="J491" s="13"/>
      <c r="K491" s="13"/>
      <c r="L491" s="13"/>
      <c r="M491" s="13"/>
      <c r="N491" s="13"/>
      <c r="O491" s="13"/>
      <c r="P491" s="13"/>
    </row>
    <row r="492" customHeight="1" spans="9:16">
      <c r="I492" s="13"/>
      <c r="J492" s="13"/>
      <c r="K492" s="13"/>
      <c r="L492" s="13"/>
      <c r="M492" s="13"/>
      <c r="N492" s="13"/>
      <c r="O492" s="13"/>
      <c r="P492" s="13"/>
    </row>
    <row r="493" customHeight="1" spans="9:16">
      <c r="I493" s="13"/>
      <c r="J493" s="13"/>
      <c r="K493" s="13"/>
      <c r="L493" s="13"/>
      <c r="M493" s="13"/>
      <c r="N493" s="13"/>
      <c r="O493" s="13"/>
      <c r="P493" s="13"/>
    </row>
    <row r="494" customHeight="1" spans="9:16">
      <c r="I494" s="13"/>
      <c r="J494" s="13"/>
      <c r="K494" s="13"/>
      <c r="L494" s="13"/>
      <c r="M494" s="13"/>
      <c r="N494" s="13"/>
      <c r="O494" s="13"/>
      <c r="P494" s="13"/>
    </row>
    <row r="495" customHeight="1" spans="9:16">
      <c r="I495" s="13"/>
      <c r="J495" s="13"/>
      <c r="K495" s="13"/>
      <c r="L495" s="13"/>
      <c r="M495" s="13"/>
      <c r="N495" s="13"/>
      <c r="O495" s="13"/>
      <c r="P495" s="13"/>
    </row>
    <row r="496" customHeight="1" spans="9:16">
      <c r="I496" s="13"/>
      <c r="J496" s="13"/>
      <c r="K496" s="13"/>
      <c r="L496" s="13"/>
      <c r="M496" s="13"/>
      <c r="N496" s="13"/>
      <c r="O496" s="13"/>
      <c r="P496" s="13"/>
    </row>
    <row r="497" customHeight="1" spans="9:16">
      <c r="I497" s="13"/>
      <c r="J497" s="13"/>
      <c r="K497" s="13"/>
      <c r="L497" s="13"/>
      <c r="M497" s="13"/>
      <c r="N497" s="13"/>
      <c r="O497" s="13"/>
      <c r="P497" s="13"/>
    </row>
    <row r="498" customHeight="1" spans="9:16">
      <c r="I498" s="13"/>
      <c r="J498" s="13"/>
      <c r="K498" s="13"/>
      <c r="L498" s="13"/>
      <c r="M498" s="13"/>
      <c r="N498" s="13"/>
      <c r="O498" s="13"/>
      <c r="P498" s="13"/>
    </row>
    <row r="499" customHeight="1" spans="9:16">
      <c r="I499" s="13"/>
      <c r="J499" s="13"/>
      <c r="K499" s="13"/>
      <c r="L499" s="13"/>
      <c r="M499" s="13"/>
      <c r="N499" s="13"/>
      <c r="O499" s="13"/>
      <c r="P499" s="13"/>
    </row>
    <row r="500" customHeight="1" spans="9:16">
      <c r="I500" s="13"/>
      <c r="J500" s="13"/>
      <c r="K500" s="13"/>
      <c r="L500" s="13"/>
      <c r="M500" s="13"/>
      <c r="N500" s="13"/>
      <c r="O500" s="13"/>
      <c r="P500" s="13"/>
    </row>
    <row r="501" customHeight="1" spans="9:16">
      <c r="I501" s="13"/>
      <c r="J501" s="13"/>
      <c r="K501" s="13"/>
      <c r="L501" s="13"/>
      <c r="M501" s="13"/>
      <c r="N501" s="13"/>
      <c r="O501" s="13"/>
      <c r="P501" s="13"/>
    </row>
    <row r="502" customHeight="1" spans="9:16">
      <c r="I502" s="13"/>
      <c r="J502" s="13"/>
      <c r="K502" s="13"/>
      <c r="L502" s="13"/>
      <c r="M502" s="13"/>
      <c r="N502" s="13"/>
      <c r="O502" s="13"/>
      <c r="P502" s="13"/>
    </row>
    <row r="503" customHeight="1" spans="9:16">
      <c r="I503" s="13"/>
      <c r="J503" s="13"/>
      <c r="K503" s="13"/>
      <c r="L503" s="13"/>
      <c r="M503" s="13"/>
      <c r="N503" s="13"/>
      <c r="O503" s="13"/>
      <c r="P503" s="13"/>
    </row>
    <row r="504" customHeight="1" spans="9:16">
      <c r="I504" s="13"/>
      <c r="J504" s="13"/>
      <c r="K504" s="13"/>
      <c r="L504" s="13"/>
      <c r="M504" s="13"/>
      <c r="N504" s="13"/>
      <c r="O504" s="13"/>
      <c r="P504" s="13"/>
    </row>
    <row r="505" customHeight="1" spans="9:16">
      <c r="I505" s="13"/>
      <c r="J505" s="13"/>
      <c r="K505" s="13"/>
      <c r="L505" s="13"/>
      <c r="M505" s="13"/>
      <c r="N505" s="13"/>
      <c r="O505" s="13"/>
      <c r="P505" s="13"/>
    </row>
    <row r="506" customHeight="1" spans="9:16">
      <c r="I506" s="13"/>
      <c r="J506" s="13"/>
      <c r="K506" s="13"/>
      <c r="L506" s="13"/>
      <c r="M506" s="13"/>
      <c r="N506" s="13"/>
      <c r="O506" s="13"/>
      <c r="P506" s="13"/>
    </row>
    <row r="507" customHeight="1" spans="9:16">
      <c r="I507" s="13"/>
      <c r="J507" s="13"/>
      <c r="K507" s="13"/>
      <c r="L507" s="13"/>
      <c r="M507" s="13"/>
      <c r="N507" s="13"/>
      <c r="O507" s="13"/>
      <c r="P507" s="13"/>
    </row>
    <row r="508" customHeight="1" spans="9:16">
      <c r="I508" s="13"/>
      <c r="J508" s="13"/>
      <c r="K508" s="13"/>
      <c r="L508" s="13"/>
      <c r="M508" s="13"/>
      <c r="N508" s="13"/>
      <c r="O508" s="13"/>
      <c r="P508" s="13"/>
    </row>
    <row r="509" customHeight="1" spans="9:16">
      <c r="I509" s="13"/>
      <c r="J509" s="13"/>
      <c r="K509" s="13"/>
      <c r="L509" s="13"/>
      <c r="M509" s="13"/>
      <c r="N509" s="13"/>
      <c r="O509" s="13"/>
      <c r="P509" s="13"/>
    </row>
    <row r="510" customHeight="1" spans="9:16">
      <c r="I510" s="13"/>
      <c r="J510" s="13"/>
      <c r="K510" s="13"/>
      <c r="L510" s="13"/>
      <c r="M510" s="13"/>
      <c r="N510" s="13"/>
      <c r="O510" s="13"/>
      <c r="P510" s="13"/>
    </row>
    <row r="511" customHeight="1" spans="9:16">
      <c r="I511" s="13"/>
      <c r="J511" s="13"/>
      <c r="K511" s="13"/>
      <c r="L511" s="13"/>
      <c r="M511" s="13"/>
      <c r="N511" s="13"/>
      <c r="O511" s="13"/>
      <c r="P511" s="13"/>
    </row>
    <row r="512" customHeight="1" spans="9:16">
      <c r="I512" s="13"/>
      <c r="J512" s="13"/>
      <c r="K512" s="13"/>
      <c r="L512" s="13"/>
      <c r="M512" s="13"/>
      <c r="N512" s="13"/>
      <c r="O512" s="13"/>
      <c r="P512" s="13"/>
    </row>
    <row r="513" customHeight="1" spans="9:16">
      <c r="I513" s="13"/>
      <c r="J513" s="13"/>
      <c r="K513" s="13"/>
      <c r="L513" s="13"/>
      <c r="M513" s="13"/>
      <c r="N513" s="13"/>
      <c r="O513" s="13"/>
      <c r="P513" s="13"/>
    </row>
    <row r="514" customHeight="1" spans="9:16">
      <c r="I514" s="13"/>
      <c r="J514" s="13"/>
      <c r="K514" s="13"/>
      <c r="L514" s="13"/>
      <c r="M514" s="13"/>
      <c r="N514" s="13"/>
      <c r="O514" s="13"/>
      <c r="P514" s="13"/>
    </row>
    <row r="515" customHeight="1" spans="9:16">
      <c r="I515" s="13"/>
      <c r="J515" s="13"/>
      <c r="K515" s="13"/>
      <c r="L515" s="13"/>
      <c r="M515" s="13"/>
      <c r="N515" s="13"/>
      <c r="O515" s="13"/>
      <c r="P515" s="13"/>
    </row>
    <row r="516" customHeight="1" spans="9:16">
      <c r="I516" s="13"/>
      <c r="J516" s="13"/>
      <c r="K516" s="13"/>
      <c r="L516" s="13"/>
      <c r="M516" s="13"/>
      <c r="N516" s="13"/>
      <c r="O516" s="13"/>
      <c r="P516" s="13"/>
    </row>
    <row r="517" customHeight="1" spans="9:16">
      <c r="I517" s="13"/>
      <c r="J517" s="13"/>
      <c r="K517" s="13"/>
      <c r="L517" s="13"/>
      <c r="M517" s="13"/>
      <c r="N517" s="13"/>
      <c r="O517" s="13"/>
      <c r="P517" s="13"/>
    </row>
    <row r="518" customHeight="1" spans="9:16">
      <c r="I518" s="13"/>
      <c r="J518" s="13"/>
      <c r="K518" s="13"/>
      <c r="L518" s="13"/>
      <c r="M518" s="13"/>
      <c r="N518" s="13"/>
      <c r="O518" s="13"/>
      <c r="P518" s="13"/>
    </row>
    <row r="519" customHeight="1" spans="9:16">
      <c r="I519" s="13"/>
      <c r="J519" s="13"/>
      <c r="K519" s="13"/>
      <c r="L519" s="13"/>
      <c r="M519" s="13"/>
      <c r="N519" s="13"/>
      <c r="O519" s="13"/>
      <c r="P519" s="13"/>
    </row>
    <row r="520" customHeight="1" spans="9:16">
      <c r="I520" s="13"/>
      <c r="J520" s="13"/>
      <c r="K520" s="13"/>
      <c r="L520" s="13"/>
      <c r="M520" s="13"/>
      <c r="N520" s="13"/>
      <c r="O520" s="13"/>
      <c r="P520" s="13"/>
    </row>
    <row r="521" customHeight="1" spans="9:16">
      <c r="I521" s="13"/>
      <c r="J521" s="13"/>
      <c r="K521" s="13"/>
      <c r="L521" s="13"/>
      <c r="M521" s="13"/>
      <c r="N521" s="13"/>
      <c r="O521" s="13"/>
      <c r="P521" s="13"/>
    </row>
    <row r="522" customHeight="1" spans="9:16">
      <c r="I522" s="13"/>
      <c r="J522" s="13"/>
      <c r="K522" s="13"/>
      <c r="L522" s="13"/>
      <c r="M522" s="13"/>
      <c r="N522" s="13"/>
      <c r="O522" s="13"/>
      <c r="P522" s="13"/>
    </row>
    <row r="523" customHeight="1" spans="9:16">
      <c r="I523" s="13"/>
      <c r="J523" s="13"/>
      <c r="K523" s="13"/>
      <c r="L523" s="13"/>
      <c r="M523" s="13"/>
      <c r="N523" s="13"/>
      <c r="O523" s="13"/>
      <c r="P523" s="13"/>
    </row>
    <row r="524" customHeight="1" spans="9:16">
      <c r="I524" s="13"/>
      <c r="J524" s="13"/>
      <c r="K524" s="13"/>
      <c r="L524" s="13"/>
      <c r="M524" s="13"/>
      <c r="N524" s="13"/>
      <c r="O524" s="13"/>
      <c r="P524" s="13"/>
    </row>
    <row r="525" customHeight="1" spans="9:16">
      <c r="I525" s="13"/>
      <c r="J525" s="13"/>
      <c r="K525" s="13"/>
      <c r="L525" s="13"/>
      <c r="M525" s="13"/>
      <c r="N525" s="13"/>
      <c r="O525" s="13"/>
      <c r="P525" s="13"/>
    </row>
    <row r="526" customHeight="1" spans="9:16">
      <c r="I526" s="13"/>
      <c r="J526" s="13"/>
      <c r="K526" s="13"/>
      <c r="L526" s="13"/>
      <c r="M526" s="13"/>
      <c r="N526" s="13"/>
      <c r="O526" s="13"/>
      <c r="P526" s="13"/>
    </row>
    <row r="527" customHeight="1" spans="9:16">
      <c r="I527" s="13"/>
      <c r="J527" s="13"/>
      <c r="K527" s="13"/>
      <c r="L527" s="13"/>
      <c r="M527" s="13"/>
      <c r="N527" s="13"/>
      <c r="O527" s="13"/>
      <c r="P527" s="13"/>
    </row>
    <row r="528" customHeight="1" spans="9:16">
      <c r="I528" s="13"/>
      <c r="J528" s="13"/>
      <c r="K528" s="13"/>
      <c r="L528" s="13"/>
      <c r="M528" s="13"/>
      <c r="N528" s="13"/>
      <c r="O528" s="13"/>
      <c r="P528" s="13"/>
    </row>
    <row r="529" customHeight="1" spans="9:16">
      <c r="I529" s="13"/>
      <c r="J529" s="13"/>
      <c r="K529" s="13"/>
      <c r="L529" s="13"/>
      <c r="M529" s="13"/>
      <c r="N529" s="13"/>
      <c r="O529" s="13"/>
      <c r="P529" s="13"/>
    </row>
    <row r="530" customHeight="1" spans="9:16">
      <c r="I530" s="13"/>
      <c r="J530" s="13"/>
      <c r="K530" s="13"/>
      <c r="L530" s="13"/>
      <c r="M530" s="13"/>
      <c r="N530" s="13"/>
      <c r="O530" s="13"/>
      <c r="P530" s="13"/>
    </row>
    <row r="531" customHeight="1" spans="9:16">
      <c r="I531" s="13"/>
      <c r="J531" s="13"/>
      <c r="K531" s="13"/>
      <c r="L531" s="13"/>
      <c r="M531" s="13"/>
      <c r="N531" s="13"/>
      <c r="O531" s="13"/>
      <c r="P531" s="13"/>
    </row>
    <row r="532" customHeight="1" spans="9:16">
      <c r="I532" s="13"/>
      <c r="J532" s="13"/>
      <c r="K532" s="13"/>
      <c r="L532" s="13"/>
      <c r="M532" s="13"/>
      <c r="N532" s="13"/>
      <c r="O532" s="13"/>
      <c r="P532" s="13"/>
    </row>
    <row r="533" customHeight="1" spans="9:16">
      <c r="I533" s="13"/>
      <c r="J533" s="13"/>
      <c r="K533" s="13"/>
      <c r="L533" s="13"/>
      <c r="M533" s="13"/>
      <c r="N533" s="13"/>
      <c r="O533" s="13"/>
      <c r="P533" s="13"/>
    </row>
    <row r="534" customHeight="1" spans="9:16">
      <c r="I534" s="13"/>
      <c r="J534" s="13"/>
      <c r="K534" s="13"/>
      <c r="L534" s="13"/>
      <c r="M534" s="13"/>
      <c r="N534" s="13"/>
      <c r="O534" s="13"/>
      <c r="P534" s="13"/>
    </row>
    <row r="535" customHeight="1" spans="9:16">
      <c r="I535" s="13"/>
      <c r="J535" s="13"/>
      <c r="K535" s="13"/>
      <c r="L535" s="13"/>
      <c r="M535" s="13"/>
      <c r="N535" s="13"/>
      <c r="O535" s="13"/>
      <c r="P535" s="13"/>
    </row>
    <row r="536" customHeight="1" spans="9:16">
      <c r="I536" s="13"/>
      <c r="J536" s="13"/>
      <c r="K536" s="13"/>
      <c r="L536" s="13"/>
      <c r="M536" s="13"/>
      <c r="N536" s="13"/>
      <c r="O536" s="13"/>
      <c r="P536" s="13"/>
    </row>
    <row r="537" customHeight="1" spans="9:16">
      <c r="I537" s="13"/>
      <c r="J537" s="13"/>
      <c r="K537" s="13"/>
      <c r="L537" s="13"/>
      <c r="M537" s="13"/>
      <c r="N537" s="13"/>
      <c r="O537" s="13"/>
      <c r="P537" s="13"/>
    </row>
    <row r="538" customHeight="1" spans="9:16">
      <c r="I538" s="13"/>
      <c r="J538" s="13"/>
      <c r="K538" s="13"/>
      <c r="L538" s="13"/>
      <c r="M538" s="13"/>
      <c r="N538" s="13"/>
      <c r="O538" s="13"/>
      <c r="P538" s="13"/>
    </row>
    <row r="539" customHeight="1" spans="9:16">
      <c r="I539" s="13"/>
      <c r="J539" s="13"/>
      <c r="K539" s="13"/>
      <c r="L539" s="13"/>
      <c r="M539" s="13"/>
      <c r="N539" s="13"/>
      <c r="O539" s="13"/>
      <c r="P539" s="13"/>
    </row>
    <row r="540" customHeight="1" spans="9:16">
      <c r="I540" s="13"/>
      <c r="J540" s="13"/>
      <c r="K540" s="13"/>
      <c r="L540" s="13"/>
      <c r="M540" s="13"/>
      <c r="N540" s="13"/>
      <c r="O540" s="13"/>
      <c r="P540" s="13"/>
    </row>
    <row r="541" customHeight="1" spans="9:16">
      <c r="I541" s="13"/>
      <c r="J541" s="13"/>
      <c r="K541" s="13"/>
      <c r="L541" s="13"/>
      <c r="M541" s="13"/>
      <c r="N541" s="13"/>
      <c r="O541" s="13"/>
      <c r="P541" s="13"/>
    </row>
    <row r="542" customHeight="1" spans="9:16">
      <c r="I542" s="13"/>
      <c r="J542" s="13"/>
      <c r="K542" s="13"/>
      <c r="L542" s="13"/>
      <c r="M542" s="13"/>
      <c r="N542" s="13"/>
      <c r="O542" s="13"/>
      <c r="P542" s="13"/>
    </row>
    <row r="543" customHeight="1" spans="9:16">
      <c r="I543" s="13"/>
      <c r="J543" s="13"/>
      <c r="K543" s="13"/>
      <c r="L543" s="13"/>
      <c r="M543" s="13"/>
      <c r="N543" s="13"/>
      <c r="O543" s="13"/>
      <c r="P543" s="13"/>
    </row>
    <row r="544" customHeight="1" spans="9:16">
      <c r="I544" s="13"/>
      <c r="J544" s="13"/>
      <c r="K544" s="13"/>
      <c r="L544" s="13"/>
      <c r="M544" s="13"/>
      <c r="N544" s="13"/>
      <c r="O544" s="13"/>
      <c r="P544" s="13"/>
    </row>
    <row r="545" customHeight="1" spans="9:16">
      <c r="I545" s="13"/>
      <c r="J545" s="13"/>
      <c r="K545" s="13"/>
      <c r="L545" s="13"/>
      <c r="M545" s="13"/>
      <c r="N545" s="13"/>
      <c r="O545" s="13"/>
      <c r="P545" s="13"/>
    </row>
    <row r="546" customHeight="1" spans="9:16">
      <c r="I546" s="13"/>
      <c r="J546" s="13"/>
      <c r="K546" s="13"/>
      <c r="L546" s="13"/>
      <c r="M546" s="13"/>
      <c r="N546" s="13"/>
      <c r="O546" s="13"/>
      <c r="P546" s="13"/>
    </row>
    <row r="547" customHeight="1" spans="9:16">
      <c r="I547" s="13"/>
      <c r="J547" s="13"/>
      <c r="K547" s="13"/>
      <c r="L547" s="13"/>
      <c r="M547" s="13"/>
      <c r="N547" s="13"/>
      <c r="O547" s="13"/>
      <c r="P547" s="13"/>
    </row>
    <row r="548" customHeight="1" spans="9:16">
      <c r="I548" s="13"/>
      <c r="J548" s="13"/>
      <c r="K548" s="13"/>
      <c r="L548" s="13"/>
      <c r="M548" s="13"/>
      <c r="N548" s="13"/>
      <c r="O548" s="13"/>
      <c r="P548" s="13"/>
    </row>
    <row r="549" customHeight="1" spans="9:16">
      <c r="I549" s="13"/>
      <c r="J549" s="13"/>
      <c r="K549" s="13"/>
      <c r="L549" s="13"/>
      <c r="M549" s="13"/>
      <c r="N549" s="13"/>
      <c r="O549" s="13"/>
      <c r="P549" s="13"/>
    </row>
    <row r="550" customHeight="1" spans="9:16">
      <c r="I550" s="13"/>
      <c r="J550" s="13"/>
      <c r="K550" s="13"/>
      <c r="L550" s="13"/>
      <c r="M550" s="13"/>
      <c r="N550" s="13"/>
      <c r="O550" s="13"/>
      <c r="P550" s="13"/>
    </row>
    <row r="551" customHeight="1" spans="9:16">
      <c r="I551" s="13"/>
      <c r="J551" s="13"/>
      <c r="K551" s="13"/>
      <c r="L551" s="13"/>
      <c r="M551" s="13"/>
      <c r="N551" s="13"/>
      <c r="O551" s="13"/>
      <c r="P551" s="13"/>
    </row>
    <row r="552" customHeight="1" spans="9:16">
      <c r="I552" s="13"/>
      <c r="J552" s="13"/>
      <c r="K552" s="13"/>
      <c r="L552" s="13"/>
      <c r="M552" s="13"/>
      <c r="N552" s="13"/>
      <c r="O552" s="13"/>
      <c r="P552" s="13"/>
    </row>
    <row r="553" customHeight="1" spans="9:16">
      <c r="I553" s="13"/>
      <c r="J553" s="13"/>
      <c r="K553" s="13"/>
      <c r="L553" s="13"/>
      <c r="M553" s="13"/>
      <c r="N553" s="13"/>
      <c r="O553" s="13"/>
      <c r="P553" s="13"/>
    </row>
    <row r="554" customHeight="1" spans="9:16">
      <c r="I554" s="13"/>
      <c r="J554" s="13"/>
      <c r="K554" s="13"/>
      <c r="L554" s="13"/>
      <c r="M554" s="13"/>
      <c r="N554" s="13"/>
      <c r="O554" s="13"/>
      <c r="P554" s="13"/>
    </row>
    <row r="555" customHeight="1" spans="9:16">
      <c r="I555" s="13"/>
      <c r="J555" s="13"/>
      <c r="K555" s="13"/>
      <c r="L555" s="13"/>
      <c r="M555" s="13"/>
      <c r="N555" s="13"/>
      <c r="O555" s="13"/>
      <c r="P555" s="13"/>
    </row>
    <row r="556" customHeight="1" spans="9:16">
      <c r="I556" s="13"/>
      <c r="J556" s="13"/>
      <c r="K556" s="13"/>
      <c r="L556" s="13"/>
      <c r="M556" s="13"/>
      <c r="N556" s="13"/>
      <c r="O556" s="13"/>
      <c r="P556" s="13"/>
    </row>
    <row r="557" customHeight="1" spans="9:16">
      <c r="I557" s="13"/>
      <c r="J557" s="13"/>
      <c r="K557" s="13"/>
      <c r="L557" s="13"/>
      <c r="M557" s="13"/>
      <c r="N557" s="13"/>
      <c r="O557" s="13"/>
      <c r="P557" s="13"/>
    </row>
    <row r="558" customHeight="1" spans="9:16">
      <c r="I558" s="13"/>
      <c r="J558" s="13"/>
      <c r="K558" s="13"/>
      <c r="L558" s="13"/>
      <c r="M558" s="13"/>
      <c r="N558" s="13"/>
      <c r="O558" s="13"/>
      <c r="P558" s="13"/>
    </row>
    <row r="559" customHeight="1" spans="9:16">
      <c r="I559" s="13"/>
      <c r="J559" s="13"/>
      <c r="K559" s="13"/>
      <c r="L559" s="13"/>
      <c r="M559" s="13"/>
      <c r="N559" s="13"/>
      <c r="O559" s="13"/>
      <c r="P559" s="13"/>
    </row>
    <row r="560" customHeight="1" spans="9:16">
      <c r="I560" s="13"/>
      <c r="J560" s="13"/>
      <c r="K560" s="13"/>
      <c r="L560" s="13"/>
      <c r="M560" s="13"/>
      <c r="N560" s="13"/>
      <c r="O560" s="13"/>
      <c r="P560" s="13"/>
    </row>
    <row r="561" customHeight="1" spans="9:16">
      <c r="I561" s="13"/>
      <c r="J561" s="13"/>
      <c r="K561" s="13"/>
      <c r="L561" s="13"/>
      <c r="M561" s="13"/>
      <c r="N561" s="13"/>
      <c r="O561" s="13"/>
      <c r="P561" s="13"/>
    </row>
    <row r="562" customHeight="1" spans="9:16">
      <c r="I562" s="13"/>
      <c r="J562" s="13"/>
      <c r="K562" s="13"/>
      <c r="L562" s="13"/>
      <c r="M562" s="13"/>
      <c r="N562" s="13"/>
      <c r="O562" s="13"/>
      <c r="P562" s="13"/>
    </row>
    <row r="563" customHeight="1" spans="9:16">
      <c r="I563" s="13"/>
      <c r="J563" s="13"/>
      <c r="K563" s="13"/>
      <c r="L563" s="13"/>
      <c r="M563" s="13"/>
      <c r="N563" s="13"/>
      <c r="O563" s="13"/>
      <c r="P563" s="13"/>
    </row>
    <row r="564" customHeight="1" spans="9:16">
      <c r="I564" s="13"/>
      <c r="J564" s="13"/>
      <c r="K564" s="13"/>
      <c r="L564" s="13"/>
      <c r="M564" s="13"/>
      <c r="N564" s="13"/>
      <c r="O564" s="13"/>
      <c r="P564" s="13"/>
    </row>
    <row r="565" customHeight="1" spans="9:16">
      <c r="I565" s="13"/>
      <c r="J565" s="13"/>
      <c r="K565" s="13"/>
      <c r="L565" s="13"/>
      <c r="M565" s="13"/>
      <c r="N565" s="13"/>
      <c r="O565" s="13"/>
      <c r="P565" s="13"/>
    </row>
    <row r="566" customHeight="1" spans="9:16">
      <c r="I566" s="13"/>
      <c r="J566" s="13"/>
      <c r="K566" s="13"/>
      <c r="L566" s="13"/>
      <c r="M566" s="13"/>
      <c r="N566" s="13"/>
      <c r="O566" s="13"/>
      <c r="P566" s="13"/>
    </row>
    <row r="567" customHeight="1" spans="9:16">
      <c r="I567" s="13"/>
      <c r="J567" s="13"/>
      <c r="K567" s="13"/>
      <c r="L567" s="13"/>
      <c r="M567" s="13"/>
      <c r="N567" s="13"/>
      <c r="O567" s="13"/>
      <c r="P567" s="13"/>
    </row>
    <row r="568" customHeight="1" spans="9:16">
      <c r="I568" s="13"/>
      <c r="J568" s="13"/>
      <c r="K568" s="13"/>
      <c r="L568" s="13"/>
      <c r="M568" s="13"/>
      <c r="N568" s="13"/>
      <c r="O568" s="13"/>
      <c r="P568" s="13"/>
    </row>
    <row r="569" customHeight="1" spans="9:16">
      <c r="I569" s="13"/>
      <c r="J569" s="13"/>
      <c r="K569" s="13"/>
      <c r="L569" s="13"/>
      <c r="M569" s="13"/>
      <c r="N569" s="13"/>
      <c r="O569" s="13"/>
      <c r="P569" s="13"/>
    </row>
    <row r="570" customHeight="1" spans="9:16">
      <c r="I570" s="13"/>
      <c r="J570" s="13"/>
      <c r="K570" s="13"/>
      <c r="L570" s="13"/>
      <c r="M570" s="13"/>
      <c r="N570" s="13"/>
      <c r="O570" s="13"/>
      <c r="P570" s="13"/>
    </row>
    <row r="571" customHeight="1" spans="9:16">
      <c r="I571" s="13"/>
      <c r="J571" s="13"/>
      <c r="K571" s="13"/>
      <c r="L571" s="13"/>
      <c r="M571" s="13"/>
      <c r="N571" s="13"/>
      <c r="O571" s="13"/>
      <c r="P571" s="13"/>
    </row>
    <row r="572" customHeight="1" spans="9:16">
      <c r="I572" s="13"/>
      <c r="J572" s="13"/>
      <c r="K572" s="13"/>
      <c r="L572" s="13"/>
      <c r="M572" s="13"/>
      <c r="N572" s="13"/>
      <c r="O572" s="13"/>
      <c r="P572" s="13"/>
    </row>
    <row r="573" customHeight="1" spans="9:16">
      <c r="I573" s="13"/>
      <c r="J573" s="13"/>
      <c r="K573" s="13"/>
      <c r="L573" s="13"/>
      <c r="M573" s="13"/>
      <c r="N573" s="13"/>
      <c r="O573" s="13"/>
      <c r="P573" s="13"/>
    </row>
    <row r="574" customHeight="1" spans="9:16">
      <c r="I574" s="13"/>
      <c r="J574" s="13"/>
      <c r="K574" s="13"/>
      <c r="L574" s="13"/>
      <c r="M574" s="13"/>
      <c r="N574" s="13"/>
      <c r="O574" s="13"/>
      <c r="P574" s="13"/>
    </row>
    <row r="575" customHeight="1" spans="9:16">
      <c r="I575" s="13"/>
      <c r="J575" s="13"/>
      <c r="K575" s="13"/>
      <c r="L575" s="13"/>
      <c r="M575" s="13"/>
      <c r="N575" s="13"/>
      <c r="O575" s="13"/>
      <c r="P575" s="13"/>
    </row>
    <row r="576" customHeight="1" spans="9:16">
      <c r="I576" s="13"/>
      <c r="J576" s="13"/>
      <c r="K576" s="13"/>
      <c r="L576" s="13"/>
      <c r="M576" s="13"/>
      <c r="N576" s="13"/>
      <c r="O576" s="13"/>
      <c r="P576" s="13"/>
    </row>
    <row r="577" customHeight="1" spans="9:16">
      <c r="I577" s="13"/>
      <c r="J577" s="13"/>
      <c r="K577" s="13"/>
      <c r="L577" s="13"/>
      <c r="M577" s="13"/>
      <c r="N577" s="13"/>
      <c r="O577" s="13"/>
      <c r="P577" s="13"/>
    </row>
    <row r="578" customHeight="1" spans="9:16">
      <c r="I578" s="13"/>
      <c r="J578" s="13"/>
      <c r="K578" s="13"/>
      <c r="L578" s="13"/>
      <c r="M578" s="13"/>
      <c r="N578" s="13"/>
      <c r="O578" s="13"/>
      <c r="P578" s="13"/>
    </row>
    <row r="579" customHeight="1" spans="9:16">
      <c r="I579" s="13"/>
      <c r="J579" s="13"/>
      <c r="K579" s="13"/>
      <c r="L579" s="13"/>
      <c r="M579" s="13"/>
      <c r="N579" s="13"/>
      <c r="O579" s="13"/>
      <c r="P579" s="13"/>
    </row>
    <row r="580" customHeight="1" spans="9:16">
      <c r="I580" s="13"/>
      <c r="J580" s="13"/>
      <c r="K580" s="13"/>
      <c r="L580" s="13"/>
      <c r="M580" s="13"/>
      <c r="N580" s="13"/>
      <c r="O580" s="13"/>
      <c r="P580" s="13"/>
    </row>
    <row r="581" customHeight="1" spans="9:16">
      <c r="I581" s="13"/>
      <c r="J581" s="13"/>
      <c r="K581" s="13"/>
      <c r="L581" s="13"/>
      <c r="M581" s="13"/>
      <c r="N581" s="13"/>
      <c r="O581" s="13"/>
      <c r="P581" s="13"/>
    </row>
    <row r="582" customHeight="1" spans="9:16">
      <c r="I582" s="13"/>
      <c r="J582" s="13"/>
      <c r="K582" s="13"/>
      <c r="L582" s="13"/>
      <c r="M582" s="13"/>
      <c r="N582" s="13"/>
      <c r="O582" s="13"/>
      <c r="P582" s="13"/>
    </row>
    <row r="583" customHeight="1" spans="9:16">
      <c r="I583" s="13"/>
      <c r="J583" s="13"/>
      <c r="K583" s="13"/>
      <c r="L583" s="13"/>
      <c r="M583" s="13"/>
      <c r="N583" s="13"/>
      <c r="O583" s="13"/>
      <c r="P583" s="13"/>
    </row>
    <row r="584" customHeight="1" spans="9:16">
      <c r="I584" s="13"/>
      <c r="J584" s="13"/>
      <c r="K584" s="13"/>
      <c r="L584" s="13"/>
      <c r="M584" s="13"/>
      <c r="N584" s="13"/>
      <c r="O584" s="13"/>
      <c r="P584" s="13"/>
    </row>
    <row r="585" customHeight="1" spans="9:16">
      <c r="I585" s="13"/>
      <c r="J585" s="13"/>
      <c r="K585" s="13"/>
      <c r="L585" s="13"/>
      <c r="M585" s="13"/>
      <c r="N585" s="13"/>
      <c r="O585" s="13"/>
      <c r="P585" s="13"/>
    </row>
    <row r="586" customHeight="1" spans="9:16">
      <c r="I586" s="13"/>
      <c r="J586" s="13"/>
      <c r="K586" s="13"/>
      <c r="L586" s="13"/>
      <c r="M586" s="13"/>
      <c r="N586" s="13"/>
      <c r="O586" s="13"/>
      <c r="P586" s="13"/>
    </row>
    <row r="587" customHeight="1" spans="9:16">
      <c r="I587" s="13"/>
      <c r="J587" s="13"/>
      <c r="K587" s="13"/>
      <c r="L587" s="13"/>
      <c r="M587" s="13"/>
      <c r="N587" s="13"/>
      <c r="O587" s="13"/>
      <c r="P587" s="13"/>
    </row>
    <row r="588" customHeight="1" spans="9:16">
      <c r="I588" s="13"/>
      <c r="J588" s="13"/>
      <c r="K588" s="13"/>
      <c r="L588" s="13"/>
      <c r="M588" s="13"/>
      <c r="N588" s="13"/>
      <c r="O588" s="13"/>
      <c r="P588" s="13"/>
    </row>
    <row r="589" customHeight="1" spans="9:16">
      <c r="I589" s="13"/>
      <c r="J589" s="13"/>
      <c r="K589" s="13"/>
      <c r="L589" s="13"/>
      <c r="M589" s="13"/>
      <c r="N589" s="13"/>
      <c r="O589" s="13"/>
      <c r="P589" s="13"/>
    </row>
    <row r="590" customHeight="1" spans="9:16">
      <c r="I590" s="13"/>
      <c r="J590" s="13"/>
      <c r="K590" s="13"/>
      <c r="L590" s="13"/>
      <c r="M590" s="13"/>
      <c r="N590" s="13"/>
      <c r="O590" s="13"/>
      <c r="P590" s="13"/>
    </row>
    <row r="591" customHeight="1" spans="9:16">
      <c r="I591" s="13"/>
      <c r="J591" s="13"/>
      <c r="K591" s="13"/>
      <c r="L591" s="13"/>
      <c r="M591" s="13"/>
      <c r="N591" s="13"/>
      <c r="O591" s="13"/>
      <c r="P591" s="13"/>
    </row>
    <row r="592" customHeight="1" spans="9:16">
      <c r="I592" s="13"/>
      <c r="J592" s="13"/>
      <c r="K592" s="13"/>
      <c r="L592" s="13"/>
      <c r="M592" s="13"/>
      <c r="N592" s="13"/>
      <c r="O592" s="13"/>
      <c r="P592" s="13"/>
    </row>
    <row r="593" customHeight="1" spans="9:16">
      <c r="I593" s="13"/>
      <c r="J593" s="13"/>
      <c r="K593" s="13"/>
      <c r="L593" s="13"/>
      <c r="M593" s="13"/>
      <c r="N593" s="13"/>
      <c r="O593" s="13"/>
      <c r="P593" s="13"/>
    </row>
    <row r="594" customHeight="1" spans="9:16">
      <c r="I594" s="13"/>
      <c r="J594" s="13"/>
      <c r="K594" s="13"/>
      <c r="L594" s="13"/>
      <c r="M594" s="13"/>
      <c r="N594" s="13"/>
      <c r="O594" s="13"/>
      <c r="P594" s="13"/>
    </row>
    <row r="595" customHeight="1" spans="9:16">
      <c r="I595" s="13"/>
      <c r="J595" s="13"/>
      <c r="K595" s="13"/>
      <c r="L595" s="13"/>
      <c r="M595" s="13"/>
      <c r="N595" s="13"/>
      <c r="O595" s="13"/>
      <c r="P595" s="13"/>
    </row>
    <row r="596" customHeight="1" spans="9:16">
      <c r="I596" s="13"/>
      <c r="J596" s="13"/>
      <c r="K596" s="13"/>
      <c r="L596" s="13"/>
      <c r="M596" s="13"/>
      <c r="N596" s="13"/>
      <c r="O596" s="13"/>
      <c r="P596" s="13"/>
    </row>
    <row r="597" customHeight="1" spans="9:16">
      <c r="I597" s="13"/>
      <c r="J597" s="13"/>
      <c r="K597" s="13"/>
      <c r="L597" s="13"/>
      <c r="M597" s="13"/>
      <c r="N597" s="13"/>
      <c r="O597" s="13"/>
      <c r="P597" s="13"/>
    </row>
    <row r="598" customHeight="1" spans="9:16">
      <c r="I598" s="13"/>
      <c r="J598" s="13"/>
      <c r="K598" s="13"/>
      <c r="L598" s="13"/>
      <c r="M598" s="13"/>
      <c r="N598" s="13"/>
      <c r="O598" s="13"/>
      <c r="P598" s="13"/>
    </row>
    <row r="599" customHeight="1" spans="9:16">
      <c r="I599" s="13"/>
      <c r="J599" s="13"/>
      <c r="K599" s="13"/>
      <c r="L599" s="13"/>
      <c r="M599" s="13"/>
      <c r="N599" s="13"/>
      <c r="O599" s="13"/>
      <c r="P599" s="13"/>
    </row>
    <row r="600" customHeight="1" spans="9:16">
      <c r="I600" s="13"/>
      <c r="J600" s="13"/>
      <c r="K600" s="13"/>
      <c r="L600" s="13"/>
      <c r="M600" s="13"/>
      <c r="N600" s="13"/>
      <c r="O600" s="13"/>
      <c r="P600" s="13"/>
    </row>
    <row r="601" customHeight="1" spans="9:16">
      <c r="I601" s="13"/>
      <c r="J601" s="13"/>
      <c r="K601" s="13"/>
      <c r="L601" s="13"/>
      <c r="M601" s="13"/>
      <c r="N601" s="13"/>
      <c r="O601" s="13"/>
      <c r="P601" s="13"/>
    </row>
    <row r="602" customHeight="1" spans="9:16">
      <c r="I602" s="13"/>
      <c r="J602" s="13"/>
      <c r="K602" s="13"/>
      <c r="L602" s="13"/>
      <c r="M602" s="13"/>
      <c r="N602" s="13"/>
      <c r="O602" s="13"/>
      <c r="P602" s="13"/>
    </row>
    <row r="603" customHeight="1" spans="9:16">
      <c r="I603" s="13"/>
      <c r="J603" s="13"/>
      <c r="K603" s="13"/>
      <c r="L603" s="13"/>
      <c r="M603" s="13"/>
      <c r="N603" s="13"/>
      <c r="O603" s="13"/>
      <c r="P603" s="13"/>
    </row>
    <row r="604" customHeight="1" spans="9:16">
      <c r="I604" s="13"/>
      <c r="J604" s="13"/>
      <c r="K604" s="13"/>
      <c r="L604" s="13"/>
      <c r="M604" s="13"/>
      <c r="N604" s="13"/>
      <c r="O604" s="13"/>
      <c r="P604" s="13"/>
    </row>
    <row r="605" customHeight="1" spans="9:16">
      <c r="I605" s="13"/>
      <c r="J605" s="13"/>
      <c r="K605" s="13"/>
      <c r="L605" s="13"/>
      <c r="M605" s="13"/>
      <c r="N605" s="13"/>
      <c r="O605" s="13"/>
      <c r="P605" s="13"/>
    </row>
    <row r="606" customHeight="1" spans="9:16">
      <c r="I606" s="13"/>
      <c r="J606" s="13"/>
      <c r="K606" s="13"/>
      <c r="L606" s="13"/>
      <c r="M606" s="13"/>
      <c r="N606" s="13"/>
      <c r="O606" s="13"/>
      <c r="P606" s="13"/>
    </row>
    <row r="607" customHeight="1" spans="9:16">
      <c r="I607" s="13"/>
      <c r="J607" s="13"/>
      <c r="K607" s="13"/>
      <c r="L607" s="13"/>
      <c r="M607" s="13"/>
      <c r="N607" s="13"/>
      <c r="O607" s="13"/>
      <c r="P607" s="13"/>
    </row>
    <row r="608" customHeight="1" spans="9:16">
      <c r="I608" s="13"/>
      <c r="J608" s="13"/>
      <c r="K608" s="13"/>
      <c r="L608" s="13"/>
      <c r="M608" s="13"/>
      <c r="N608" s="13"/>
      <c r="O608" s="13"/>
      <c r="P608" s="13"/>
    </row>
    <row r="609" customHeight="1" spans="9:16">
      <c r="I609" s="13"/>
      <c r="J609" s="13"/>
      <c r="K609" s="13"/>
      <c r="L609" s="13"/>
      <c r="M609" s="13"/>
      <c r="N609" s="13"/>
      <c r="O609" s="13"/>
      <c r="P609" s="13"/>
    </row>
    <row r="610" customHeight="1" spans="9:16">
      <c r="I610" s="13"/>
      <c r="J610" s="13"/>
      <c r="K610" s="13"/>
      <c r="L610" s="13"/>
      <c r="M610" s="13"/>
      <c r="N610" s="13"/>
      <c r="O610" s="13"/>
      <c r="P610" s="13"/>
    </row>
    <row r="611" customHeight="1" spans="9:16">
      <c r="I611" s="13"/>
      <c r="J611" s="13"/>
      <c r="K611" s="13"/>
      <c r="L611" s="13"/>
      <c r="M611" s="13"/>
      <c r="N611" s="13"/>
      <c r="O611" s="13"/>
      <c r="P611" s="13"/>
    </row>
    <row r="612" customHeight="1" spans="9:16">
      <c r="I612" s="13"/>
      <c r="J612" s="13"/>
      <c r="K612" s="13"/>
      <c r="L612" s="13"/>
      <c r="M612" s="13"/>
      <c r="N612" s="13"/>
      <c r="O612" s="13"/>
      <c r="P612" s="13"/>
    </row>
    <row r="613" customHeight="1" spans="9:16">
      <c r="I613" s="13"/>
      <c r="J613" s="13"/>
      <c r="K613" s="13"/>
      <c r="L613" s="13"/>
      <c r="M613" s="13"/>
      <c r="N613" s="13"/>
      <c r="O613" s="13"/>
      <c r="P613" s="13"/>
    </row>
    <row r="614" customHeight="1" spans="9:16">
      <c r="I614" s="13"/>
      <c r="J614" s="13"/>
      <c r="K614" s="13"/>
      <c r="L614" s="13"/>
      <c r="M614" s="13"/>
      <c r="N614" s="13"/>
      <c r="O614" s="13"/>
      <c r="P614" s="13"/>
    </row>
    <row r="615" customHeight="1" spans="9:16">
      <c r="I615" s="13"/>
      <c r="J615" s="13"/>
      <c r="K615" s="13"/>
      <c r="L615" s="13"/>
      <c r="M615" s="13"/>
      <c r="N615" s="13"/>
      <c r="O615" s="13"/>
      <c r="P615" s="13"/>
    </row>
    <row r="616" customHeight="1" spans="9:16">
      <c r="I616" s="13"/>
      <c r="J616" s="13"/>
      <c r="K616" s="13"/>
      <c r="L616" s="13"/>
      <c r="M616" s="13"/>
      <c r="N616" s="13"/>
      <c r="O616" s="13"/>
      <c r="P616" s="13"/>
    </row>
    <row r="617" customHeight="1" spans="9:16">
      <c r="I617" s="13"/>
      <c r="J617" s="13"/>
      <c r="K617" s="13"/>
      <c r="L617" s="13"/>
      <c r="M617" s="13"/>
      <c r="N617" s="13"/>
      <c r="O617" s="13"/>
      <c r="P617" s="13"/>
    </row>
    <row r="618" customHeight="1" spans="9:16">
      <c r="I618" s="13"/>
      <c r="J618" s="13"/>
      <c r="K618" s="13"/>
      <c r="L618" s="13"/>
      <c r="M618" s="13"/>
      <c r="N618" s="13"/>
      <c r="O618" s="13"/>
      <c r="P618" s="13"/>
    </row>
    <row r="619" customHeight="1" spans="9:16">
      <c r="I619" s="13"/>
      <c r="J619" s="13"/>
      <c r="K619" s="13"/>
      <c r="L619" s="13"/>
      <c r="M619" s="13"/>
      <c r="N619" s="13"/>
      <c r="O619" s="13"/>
      <c r="P619" s="13"/>
    </row>
    <row r="620" customHeight="1" spans="9:16">
      <c r="I620" s="13"/>
      <c r="J620" s="13"/>
      <c r="K620" s="13"/>
      <c r="L620" s="13"/>
      <c r="M620" s="13"/>
      <c r="N620" s="13"/>
      <c r="O620" s="13"/>
      <c r="P620" s="13"/>
    </row>
    <row r="621" customHeight="1" spans="9:16">
      <c r="I621" s="13"/>
      <c r="J621" s="13"/>
      <c r="K621" s="13"/>
      <c r="L621" s="13"/>
      <c r="M621" s="13"/>
      <c r="N621" s="13"/>
      <c r="O621" s="13"/>
      <c r="P621" s="13"/>
    </row>
    <row r="622" customHeight="1" spans="9:16">
      <c r="I622" s="13"/>
      <c r="J622" s="13"/>
      <c r="K622" s="13"/>
      <c r="L622" s="13"/>
      <c r="M622" s="13"/>
      <c r="N622" s="13"/>
      <c r="O622" s="13"/>
      <c r="P622" s="13"/>
    </row>
    <row r="623" customHeight="1" spans="9:16">
      <c r="I623" s="13"/>
      <c r="J623" s="13"/>
      <c r="K623" s="13"/>
      <c r="L623" s="13"/>
      <c r="M623" s="13"/>
      <c r="N623" s="13"/>
      <c r="O623" s="13"/>
      <c r="P623" s="13"/>
    </row>
    <row r="624" customHeight="1" spans="9:16">
      <c r="I624" s="13"/>
      <c r="J624" s="13"/>
      <c r="K624" s="13"/>
      <c r="L624" s="13"/>
      <c r="M624" s="13"/>
      <c r="N624" s="13"/>
      <c r="O624" s="13"/>
      <c r="P624" s="13"/>
    </row>
    <row r="625" customHeight="1" spans="9:16">
      <c r="I625" s="13"/>
      <c r="J625" s="13"/>
      <c r="K625" s="13"/>
      <c r="L625" s="13"/>
      <c r="M625" s="13"/>
      <c r="N625" s="13"/>
      <c r="O625" s="13"/>
      <c r="P625" s="13"/>
    </row>
    <row r="626" customHeight="1" spans="9:16">
      <c r="I626" s="13"/>
      <c r="J626" s="13"/>
      <c r="K626" s="13"/>
      <c r="L626" s="13"/>
      <c r="M626" s="13"/>
      <c r="N626" s="13"/>
      <c r="O626" s="13"/>
      <c r="P626" s="13"/>
    </row>
    <row r="627" customHeight="1" spans="9:16">
      <c r="I627" s="13"/>
      <c r="J627" s="13"/>
      <c r="K627" s="13"/>
      <c r="L627" s="13"/>
      <c r="M627" s="13"/>
      <c r="N627" s="13"/>
      <c r="O627" s="13"/>
      <c r="P627" s="13"/>
    </row>
    <row r="628" customHeight="1" spans="9:16">
      <c r="I628" s="13"/>
      <c r="J628" s="13"/>
      <c r="K628" s="13"/>
      <c r="L628" s="13"/>
      <c r="M628" s="13"/>
      <c r="N628" s="13"/>
      <c r="O628" s="13"/>
      <c r="P628" s="13"/>
    </row>
    <row r="629" customHeight="1" spans="9:16">
      <c r="I629" s="13"/>
      <c r="J629" s="13"/>
      <c r="K629" s="13"/>
      <c r="L629" s="13"/>
      <c r="M629" s="13"/>
      <c r="N629" s="13"/>
      <c r="O629" s="13"/>
      <c r="P629" s="13"/>
    </row>
    <row r="630" customHeight="1" spans="9:16">
      <c r="I630" s="13"/>
      <c r="J630" s="13"/>
      <c r="K630" s="13"/>
      <c r="L630" s="13"/>
      <c r="M630" s="13"/>
      <c r="N630" s="13"/>
      <c r="O630" s="13"/>
      <c r="P630" s="13"/>
    </row>
    <row r="631" customHeight="1" spans="9:16">
      <c r="I631" s="13"/>
      <c r="J631" s="13"/>
      <c r="K631" s="13"/>
      <c r="L631" s="13"/>
      <c r="M631" s="13"/>
      <c r="N631" s="13"/>
      <c r="O631" s="13"/>
      <c r="P631" s="13"/>
    </row>
    <row r="632" customHeight="1" spans="9:16">
      <c r="I632" s="13"/>
      <c r="J632" s="13"/>
      <c r="K632" s="13"/>
      <c r="L632" s="13"/>
      <c r="M632" s="13"/>
      <c r="N632" s="13"/>
      <c r="O632" s="13"/>
      <c r="P632" s="13"/>
    </row>
    <row r="633" customHeight="1" spans="9:16">
      <c r="I633" s="13"/>
      <c r="J633" s="13"/>
      <c r="K633" s="13"/>
      <c r="L633" s="13"/>
      <c r="M633" s="13"/>
      <c r="N633" s="13"/>
      <c r="O633" s="13"/>
      <c r="P633" s="13"/>
    </row>
    <row r="634" customHeight="1" spans="9:16">
      <c r="I634" s="13"/>
      <c r="J634" s="13"/>
      <c r="K634" s="13"/>
      <c r="L634" s="13"/>
      <c r="M634" s="13"/>
      <c r="N634" s="13"/>
      <c r="O634" s="13"/>
      <c r="P634" s="13"/>
    </row>
    <row r="635" customHeight="1" spans="9:16">
      <c r="I635" s="13"/>
      <c r="J635" s="13"/>
      <c r="K635" s="13"/>
      <c r="L635" s="13"/>
      <c r="M635" s="13"/>
      <c r="N635" s="13"/>
      <c r="O635" s="13"/>
      <c r="P635" s="13"/>
    </row>
    <row r="636" customHeight="1" spans="9:16">
      <c r="I636" s="13"/>
      <c r="J636" s="13"/>
      <c r="K636" s="13"/>
      <c r="L636" s="13"/>
      <c r="M636" s="13"/>
      <c r="N636" s="13"/>
      <c r="O636" s="13"/>
      <c r="P636" s="13"/>
    </row>
    <row r="637" customHeight="1" spans="9:16">
      <c r="I637" s="13"/>
      <c r="J637" s="13"/>
      <c r="K637" s="13"/>
      <c r="L637" s="13"/>
      <c r="M637" s="13"/>
      <c r="N637" s="13"/>
      <c r="O637" s="13"/>
      <c r="P637" s="13"/>
    </row>
    <row r="638" customHeight="1" spans="9:16">
      <c r="I638" s="13"/>
      <c r="J638" s="13"/>
      <c r="K638" s="13"/>
      <c r="L638" s="13"/>
      <c r="M638" s="13"/>
      <c r="N638" s="13"/>
      <c r="O638" s="13"/>
      <c r="P638" s="13"/>
    </row>
    <row r="639" customHeight="1" spans="9:16">
      <c r="I639" s="13"/>
      <c r="J639" s="13"/>
      <c r="K639" s="13"/>
      <c r="L639" s="13"/>
      <c r="M639" s="13"/>
      <c r="N639" s="13"/>
      <c r="O639" s="13"/>
      <c r="P639" s="13"/>
    </row>
    <row r="640" customHeight="1" spans="9:16">
      <c r="I640" s="13"/>
      <c r="J640" s="13"/>
      <c r="K640" s="13"/>
      <c r="L640" s="13"/>
      <c r="M640" s="13"/>
      <c r="N640" s="13"/>
      <c r="O640" s="13"/>
      <c r="P640" s="13"/>
    </row>
    <row r="641" customHeight="1" spans="9:16">
      <c r="I641" s="13"/>
      <c r="J641" s="13"/>
      <c r="K641" s="13"/>
      <c r="L641" s="13"/>
      <c r="M641" s="13"/>
      <c r="N641" s="13"/>
      <c r="O641" s="13"/>
      <c r="P641" s="13"/>
    </row>
    <row r="642" customHeight="1" spans="9:16">
      <c r="I642" s="13"/>
      <c r="J642" s="13"/>
      <c r="K642" s="13"/>
      <c r="L642" s="13"/>
      <c r="M642" s="13"/>
      <c r="N642" s="13"/>
      <c r="O642" s="13"/>
      <c r="P642" s="13"/>
    </row>
    <row r="643" customHeight="1" spans="9:16">
      <c r="I643" s="13"/>
      <c r="J643" s="13"/>
      <c r="K643" s="13"/>
      <c r="L643" s="13"/>
      <c r="M643" s="13"/>
      <c r="N643" s="13"/>
      <c r="O643" s="13"/>
      <c r="P643" s="13"/>
    </row>
    <row r="644" customHeight="1" spans="9:16">
      <c r="I644" s="13"/>
      <c r="J644" s="13"/>
      <c r="K644" s="13"/>
      <c r="L644" s="13"/>
      <c r="M644" s="13"/>
      <c r="N644" s="13"/>
      <c r="O644" s="13"/>
      <c r="P644" s="13"/>
    </row>
    <row r="645" customHeight="1" spans="9:16">
      <c r="I645" s="13"/>
      <c r="J645" s="13"/>
      <c r="K645" s="13"/>
      <c r="L645" s="13"/>
      <c r="M645" s="13"/>
      <c r="N645" s="13"/>
      <c r="O645" s="13"/>
      <c r="P645" s="13"/>
    </row>
    <row r="646" customHeight="1" spans="9:16">
      <c r="I646" s="13"/>
      <c r="J646" s="13"/>
      <c r="K646" s="13"/>
      <c r="L646" s="13"/>
      <c r="M646" s="13"/>
      <c r="N646" s="13"/>
      <c r="O646" s="13"/>
      <c r="P646" s="13"/>
    </row>
    <row r="647" customHeight="1" spans="9:16">
      <c r="I647" s="13"/>
      <c r="J647" s="13"/>
      <c r="K647" s="13"/>
      <c r="L647" s="13"/>
      <c r="M647" s="13"/>
      <c r="N647" s="13"/>
      <c r="O647" s="13"/>
      <c r="P647" s="13"/>
    </row>
    <row r="648" customHeight="1" spans="9:16">
      <c r="I648" s="13"/>
      <c r="J648" s="13"/>
      <c r="K648" s="13"/>
      <c r="L648" s="13"/>
      <c r="M648" s="13"/>
      <c r="N648" s="13"/>
      <c r="O648" s="13"/>
      <c r="P648" s="13"/>
    </row>
    <row r="649" customHeight="1" spans="9:16">
      <c r="I649" s="13"/>
      <c r="J649" s="13"/>
      <c r="K649" s="13"/>
      <c r="L649" s="13"/>
      <c r="M649" s="13"/>
      <c r="N649" s="13"/>
      <c r="O649" s="13"/>
      <c r="P649" s="13"/>
    </row>
    <row r="650" customHeight="1" spans="9:16">
      <c r="I650" s="13"/>
      <c r="J650" s="13"/>
      <c r="K650" s="13"/>
      <c r="L650" s="13"/>
      <c r="M650" s="13"/>
      <c r="N650" s="13"/>
      <c r="O650" s="13"/>
      <c r="P650" s="13"/>
    </row>
    <row r="651" customHeight="1" spans="9:16">
      <c r="I651" s="13"/>
      <c r="J651" s="13"/>
      <c r="K651" s="13"/>
      <c r="L651" s="13"/>
      <c r="M651" s="13"/>
      <c r="N651" s="13"/>
      <c r="O651" s="13"/>
      <c r="P651" s="13"/>
    </row>
    <row r="652" customHeight="1" spans="9:16">
      <c r="I652" s="13"/>
      <c r="J652" s="13"/>
      <c r="K652" s="13"/>
      <c r="L652" s="13"/>
      <c r="M652" s="13"/>
      <c r="N652" s="13"/>
      <c r="O652" s="13"/>
      <c r="P652" s="13"/>
    </row>
    <row r="653" customHeight="1" spans="9:16">
      <c r="I653" s="13"/>
      <c r="J653" s="13"/>
      <c r="K653" s="13"/>
      <c r="L653" s="13"/>
      <c r="M653" s="13"/>
      <c r="N653" s="13"/>
      <c r="O653" s="13"/>
      <c r="P653" s="13"/>
    </row>
    <row r="654" customHeight="1" spans="9:16">
      <c r="I654" s="13"/>
      <c r="J654" s="13"/>
      <c r="K654" s="13"/>
      <c r="L654" s="13"/>
      <c r="M654" s="13"/>
      <c r="N654" s="13"/>
      <c r="O654" s="13"/>
      <c r="P654" s="13"/>
    </row>
    <row r="655" customHeight="1" spans="9:16">
      <c r="I655" s="13"/>
      <c r="J655" s="13"/>
      <c r="K655" s="13"/>
      <c r="L655" s="13"/>
      <c r="M655" s="13"/>
      <c r="N655" s="13"/>
      <c r="O655" s="13"/>
      <c r="P655" s="13"/>
    </row>
    <row r="656" customHeight="1" spans="9:16">
      <c r="I656" s="13"/>
      <c r="J656" s="13"/>
      <c r="K656" s="13"/>
      <c r="L656" s="13"/>
      <c r="M656" s="13"/>
      <c r="N656" s="13"/>
      <c r="O656" s="13"/>
      <c r="P656" s="13"/>
    </row>
    <row r="657" customHeight="1" spans="9:16">
      <c r="I657" s="13"/>
      <c r="J657" s="13"/>
      <c r="K657" s="13"/>
      <c r="L657" s="13"/>
      <c r="M657" s="13"/>
      <c r="N657" s="13"/>
      <c r="O657" s="13"/>
      <c r="P657" s="13"/>
    </row>
    <row r="658" customHeight="1" spans="9:16">
      <c r="I658" s="13"/>
      <c r="J658" s="13"/>
      <c r="K658" s="13"/>
      <c r="L658" s="13"/>
      <c r="M658" s="13"/>
      <c r="N658" s="13"/>
      <c r="O658" s="13"/>
      <c r="P658" s="13"/>
    </row>
    <row r="659" customHeight="1" spans="9:16">
      <c r="I659" s="13"/>
      <c r="J659" s="13"/>
      <c r="K659" s="13"/>
      <c r="L659" s="13"/>
      <c r="M659" s="13"/>
      <c r="N659" s="13"/>
      <c r="O659" s="13"/>
      <c r="P659" s="13"/>
    </row>
    <row r="660" customHeight="1" spans="9:16">
      <c r="I660" s="13"/>
      <c r="J660" s="13"/>
      <c r="K660" s="13"/>
      <c r="L660" s="13"/>
      <c r="M660" s="13"/>
      <c r="N660" s="13"/>
      <c r="O660" s="13"/>
      <c r="P660" s="13"/>
    </row>
    <row r="661" customHeight="1" spans="9:16">
      <c r="I661" s="13"/>
      <c r="J661" s="13"/>
      <c r="K661" s="13"/>
      <c r="L661" s="13"/>
      <c r="M661" s="13"/>
      <c r="N661" s="13"/>
      <c r="O661" s="13"/>
      <c r="P661" s="13"/>
    </row>
    <row r="662" customHeight="1" spans="9:16">
      <c r="I662" s="13"/>
      <c r="J662" s="13"/>
      <c r="K662" s="13"/>
      <c r="L662" s="13"/>
      <c r="M662" s="13"/>
      <c r="N662" s="13"/>
      <c r="O662" s="13"/>
      <c r="P662" s="13"/>
    </row>
    <row r="663" customHeight="1" spans="9:16">
      <c r="I663" s="13"/>
      <c r="J663" s="13"/>
      <c r="K663" s="13"/>
      <c r="L663" s="13"/>
      <c r="M663" s="13"/>
      <c r="N663" s="13"/>
      <c r="O663" s="13"/>
      <c r="P663" s="13"/>
    </row>
    <row r="664" customHeight="1" spans="9:16">
      <c r="I664" s="13"/>
      <c r="J664" s="13"/>
      <c r="K664" s="13"/>
      <c r="L664" s="13"/>
      <c r="M664" s="13"/>
      <c r="N664" s="13"/>
      <c r="O664" s="13"/>
      <c r="P664" s="13"/>
    </row>
    <row r="665" customHeight="1" spans="9:16">
      <c r="I665" s="13"/>
      <c r="J665" s="13"/>
      <c r="K665" s="13"/>
      <c r="L665" s="13"/>
      <c r="M665" s="13"/>
      <c r="N665" s="13"/>
      <c r="O665" s="13"/>
      <c r="P665" s="13"/>
    </row>
    <row r="666" customHeight="1" spans="9:16">
      <c r="I666" s="13"/>
      <c r="J666" s="13"/>
      <c r="K666" s="13"/>
      <c r="L666" s="13"/>
      <c r="M666" s="13"/>
      <c r="N666" s="13"/>
      <c r="O666" s="13"/>
      <c r="P666" s="13"/>
    </row>
    <row r="667" customHeight="1" spans="9:16">
      <c r="I667" s="13"/>
      <c r="J667" s="13"/>
      <c r="K667" s="13"/>
      <c r="L667" s="13"/>
      <c r="M667" s="13"/>
      <c r="N667" s="13"/>
      <c r="O667" s="13"/>
      <c r="P667" s="13"/>
    </row>
    <row r="668" customHeight="1" spans="9:16">
      <c r="I668" s="13"/>
      <c r="J668" s="13"/>
      <c r="K668" s="13"/>
      <c r="L668" s="13"/>
      <c r="M668" s="13"/>
      <c r="N668" s="13"/>
      <c r="O668" s="13"/>
      <c r="P668" s="13"/>
    </row>
    <row r="669" customHeight="1" spans="9:16">
      <c r="I669" s="13"/>
      <c r="J669" s="13"/>
      <c r="K669" s="13"/>
      <c r="L669" s="13"/>
      <c r="M669" s="13"/>
      <c r="N669" s="13"/>
      <c r="O669" s="13"/>
      <c r="P669" s="13"/>
    </row>
    <row r="670" customHeight="1" spans="9:16">
      <c r="I670" s="13"/>
      <c r="J670" s="13"/>
      <c r="K670" s="13"/>
      <c r="L670" s="13"/>
      <c r="M670" s="13"/>
      <c r="N670" s="13"/>
      <c r="O670" s="13"/>
      <c r="P670" s="13"/>
    </row>
    <row r="671" customHeight="1" spans="9:16">
      <c r="I671" s="13"/>
      <c r="J671" s="13"/>
      <c r="K671" s="13"/>
      <c r="L671" s="13"/>
      <c r="M671" s="13"/>
      <c r="N671" s="13"/>
      <c r="O671" s="13"/>
      <c r="P671" s="13"/>
    </row>
    <row r="672" customHeight="1" spans="9:16">
      <c r="I672" s="13"/>
      <c r="J672" s="13"/>
      <c r="K672" s="13"/>
      <c r="L672" s="13"/>
      <c r="M672" s="13"/>
      <c r="N672" s="13"/>
      <c r="O672" s="13"/>
      <c r="P672" s="13"/>
    </row>
    <row r="673" customHeight="1" spans="9:16">
      <c r="I673" s="13"/>
      <c r="J673" s="13"/>
      <c r="K673" s="13"/>
      <c r="L673" s="13"/>
      <c r="M673" s="13"/>
      <c r="N673" s="13"/>
      <c r="O673" s="13"/>
      <c r="P673" s="13"/>
    </row>
    <row r="674" customHeight="1" spans="9:16">
      <c r="I674" s="13"/>
      <c r="J674" s="13"/>
      <c r="K674" s="13"/>
      <c r="L674" s="13"/>
      <c r="M674" s="13"/>
      <c r="N674" s="13"/>
      <c r="O674" s="13"/>
      <c r="P674" s="13"/>
    </row>
    <row r="675" customHeight="1" spans="9:16">
      <c r="I675" s="13"/>
      <c r="J675" s="13"/>
      <c r="K675" s="13"/>
      <c r="L675" s="13"/>
      <c r="M675" s="13"/>
      <c r="N675" s="13"/>
      <c r="O675" s="13"/>
      <c r="P675" s="13"/>
    </row>
    <row r="676" customHeight="1" spans="9:16">
      <c r="I676" s="13"/>
      <c r="J676" s="13"/>
      <c r="K676" s="13"/>
      <c r="L676" s="13"/>
      <c r="M676" s="13"/>
      <c r="N676" s="13"/>
      <c r="O676" s="13"/>
      <c r="P676" s="13"/>
    </row>
    <row r="677" customHeight="1" spans="9:16">
      <c r="I677" s="13"/>
      <c r="J677" s="13"/>
      <c r="K677" s="13"/>
      <c r="L677" s="13"/>
      <c r="M677" s="13"/>
      <c r="N677" s="13"/>
      <c r="O677" s="13"/>
      <c r="P677" s="13"/>
    </row>
    <row r="678" customHeight="1" spans="9:16">
      <c r="I678" s="13"/>
      <c r="J678" s="13"/>
      <c r="K678" s="13"/>
      <c r="L678" s="13"/>
      <c r="M678" s="13"/>
      <c r="N678" s="13"/>
      <c r="O678" s="13"/>
      <c r="P678" s="13"/>
    </row>
    <row r="679" customHeight="1" spans="9:16">
      <c r="I679" s="13"/>
      <c r="J679" s="13"/>
      <c r="K679" s="13"/>
      <c r="L679" s="13"/>
      <c r="M679" s="13"/>
      <c r="N679" s="13"/>
      <c r="O679" s="13"/>
      <c r="P679" s="13"/>
    </row>
    <row r="680" customHeight="1" spans="9:16">
      <c r="I680" s="13"/>
      <c r="J680" s="13"/>
      <c r="K680" s="13"/>
      <c r="L680" s="13"/>
      <c r="M680" s="13"/>
      <c r="N680" s="13"/>
      <c r="O680" s="13"/>
      <c r="P680" s="13"/>
    </row>
    <row r="681" customHeight="1" spans="9:16">
      <c r="I681" s="13"/>
      <c r="J681" s="13"/>
      <c r="K681" s="13"/>
      <c r="L681" s="13"/>
      <c r="M681" s="13"/>
      <c r="N681" s="13"/>
      <c r="O681" s="13"/>
      <c r="P681" s="13"/>
    </row>
    <row r="682" customHeight="1" spans="9:16">
      <c r="I682" s="13"/>
      <c r="J682" s="13"/>
      <c r="K682" s="13"/>
      <c r="L682" s="13"/>
      <c r="M682" s="13"/>
      <c r="N682" s="13"/>
      <c r="O682" s="13"/>
      <c r="P682" s="13"/>
    </row>
    <row r="683" customHeight="1" spans="9:16">
      <c r="I683" s="13"/>
      <c r="J683" s="13"/>
      <c r="K683" s="13"/>
      <c r="L683" s="13"/>
      <c r="M683" s="13"/>
      <c r="N683" s="13"/>
      <c r="O683" s="13"/>
      <c r="P683" s="13"/>
    </row>
    <row r="684" customHeight="1" spans="9:16">
      <c r="I684" s="13"/>
      <c r="J684" s="13"/>
      <c r="K684" s="13"/>
      <c r="L684" s="13"/>
      <c r="M684" s="13"/>
      <c r="N684" s="13"/>
      <c r="O684" s="13"/>
      <c r="P684" s="13"/>
    </row>
    <row r="685" customHeight="1" spans="9:16">
      <c r="I685" s="13"/>
      <c r="J685" s="13"/>
      <c r="K685" s="13"/>
      <c r="L685" s="13"/>
      <c r="M685" s="13"/>
      <c r="N685" s="13"/>
      <c r="O685" s="13"/>
      <c r="P685" s="13"/>
    </row>
    <row r="686" customHeight="1" spans="9:16">
      <c r="I686" s="13"/>
      <c r="J686" s="13"/>
      <c r="K686" s="13"/>
      <c r="L686" s="13"/>
      <c r="M686" s="13"/>
      <c r="N686" s="13"/>
      <c r="O686" s="13"/>
      <c r="P686" s="13"/>
    </row>
    <row r="687" customHeight="1" spans="9:16">
      <c r="I687" s="13"/>
      <c r="J687" s="13"/>
      <c r="K687" s="13"/>
      <c r="L687" s="13"/>
      <c r="M687" s="13"/>
      <c r="N687" s="13"/>
      <c r="O687" s="13"/>
      <c r="P687" s="13"/>
    </row>
    <row r="688" customHeight="1" spans="9:16">
      <c r="I688" s="13"/>
      <c r="J688" s="13"/>
      <c r="K688" s="13"/>
      <c r="L688" s="13"/>
      <c r="M688" s="13"/>
      <c r="N688" s="13"/>
      <c r="O688" s="13"/>
      <c r="P688" s="13"/>
    </row>
    <row r="689" customHeight="1" spans="9:16">
      <c r="I689" s="13"/>
      <c r="J689" s="13"/>
      <c r="K689" s="13"/>
      <c r="L689" s="13"/>
      <c r="M689" s="13"/>
      <c r="N689" s="13"/>
      <c r="O689" s="13"/>
      <c r="P689" s="13"/>
    </row>
    <row r="690" customHeight="1" spans="9:16">
      <c r="I690" s="13"/>
      <c r="J690" s="13"/>
      <c r="K690" s="13"/>
      <c r="L690" s="13"/>
      <c r="M690" s="13"/>
      <c r="N690" s="13"/>
      <c r="O690" s="13"/>
      <c r="P690" s="13"/>
    </row>
    <row r="691" customHeight="1" spans="9:16">
      <c r="I691" s="13"/>
      <c r="J691" s="13"/>
      <c r="K691" s="13"/>
      <c r="L691" s="13"/>
      <c r="M691" s="13"/>
      <c r="N691" s="13"/>
      <c r="O691" s="13"/>
      <c r="P691" s="13"/>
    </row>
    <row r="692" customHeight="1" spans="9:16">
      <c r="I692" s="13"/>
      <c r="J692" s="13"/>
      <c r="K692" s="13"/>
      <c r="L692" s="13"/>
      <c r="M692" s="13"/>
      <c r="N692" s="13"/>
      <c r="O692" s="13"/>
      <c r="P692" s="13"/>
    </row>
    <row r="693" customHeight="1" spans="9:16">
      <c r="I693" s="13"/>
      <c r="J693" s="13"/>
      <c r="K693" s="13"/>
      <c r="L693" s="13"/>
      <c r="M693" s="13"/>
      <c r="N693" s="13"/>
      <c r="O693" s="13"/>
      <c r="P693" s="13"/>
    </row>
    <row r="694" customHeight="1" spans="9:16">
      <c r="I694" s="13"/>
      <c r="J694" s="13"/>
      <c r="K694" s="13"/>
      <c r="L694" s="13"/>
      <c r="M694" s="13"/>
      <c r="N694" s="13"/>
      <c r="O694" s="13"/>
      <c r="P694" s="13"/>
    </row>
    <row r="695" customHeight="1" spans="9:16">
      <c r="I695" s="13"/>
      <c r="J695" s="13"/>
      <c r="K695" s="13"/>
      <c r="L695" s="13"/>
      <c r="M695" s="13"/>
      <c r="N695" s="13"/>
      <c r="O695" s="13"/>
      <c r="P695" s="13"/>
    </row>
    <row r="696" customHeight="1" spans="9:16">
      <c r="I696" s="13"/>
      <c r="J696" s="13"/>
      <c r="K696" s="13"/>
      <c r="L696" s="13"/>
      <c r="M696" s="13"/>
      <c r="N696" s="13"/>
      <c r="O696" s="13"/>
      <c r="P696" s="13"/>
    </row>
    <row r="697" customHeight="1" spans="9:16">
      <c r="I697" s="13"/>
      <c r="J697" s="13"/>
      <c r="K697" s="13"/>
      <c r="L697" s="13"/>
      <c r="M697" s="13"/>
      <c r="N697" s="13"/>
      <c r="O697" s="13"/>
      <c r="P697" s="13"/>
    </row>
    <row r="698" customHeight="1" spans="9:16">
      <c r="I698" s="13"/>
      <c r="J698" s="13"/>
      <c r="K698" s="13"/>
      <c r="L698" s="13"/>
      <c r="M698" s="13"/>
      <c r="N698" s="13"/>
      <c r="O698" s="13"/>
      <c r="P698" s="13"/>
    </row>
    <row r="699" customHeight="1" spans="9:16">
      <c r="I699" s="13"/>
      <c r="J699" s="13"/>
      <c r="K699" s="13"/>
      <c r="L699" s="13"/>
      <c r="M699" s="13"/>
      <c r="N699" s="13"/>
      <c r="O699" s="13"/>
      <c r="P699" s="13"/>
    </row>
    <row r="700" customHeight="1" spans="9:16">
      <c r="I700" s="13"/>
      <c r="J700" s="13"/>
      <c r="K700" s="13"/>
      <c r="L700" s="13"/>
      <c r="M700" s="13"/>
      <c r="N700" s="13"/>
      <c r="O700" s="13"/>
      <c r="P700" s="13"/>
    </row>
    <row r="701" customHeight="1" spans="9:16">
      <c r="I701" s="13"/>
      <c r="J701" s="13"/>
      <c r="K701" s="13"/>
      <c r="L701" s="13"/>
      <c r="M701" s="13"/>
      <c r="N701" s="13"/>
      <c r="O701" s="13"/>
      <c r="P701" s="13"/>
    </row>
    <row r="702" customHeight="1" spans="9:16">
      <c r="I702" s="13"/>
      <c r="J702" s="13"/>
      <c r="K702" s="13"/>
      <c r="L702" s="13"/>
      <c r="M702" s="13"/>
      <c r="N702" s="13"/>
      <c r="O702" s="13"/>
      <c r="P702" s="13"/>
    </row>
    <row r="703" customHeight="1" spans="9:16">
      <c r="I703" s="13"/>
      <c r="J703" s="13"/>
      <c r="K703" s="13"/>
      <c r="L703" s="13"/>
      <c r="M703" s="13"/>
      <c r="N703" s="13"/>
      <c r="O703" s="13"/>
      <c r="P703" s="13"/>
    </row>
    <row r="704" customHeight="1" spans="9:16">
      <c r="I704" s="13"/>
      <c r="J704" s="13"/>
      <c r="K704" s="13"/>
      <c r="L704" s="13"/>
      <c r="M704" s="13"/>
      <c r="N704" s="13"/>
      <c r="O704" s="13"/>
      <c r="P704" s="13"/>
    </row>
    <row r="705" customHeight="1" spans="9:16">
      <c r="I705" s="13"/>
      <c r="J705" s="13"/>
      <c r="K705" s="13"/>
      <c r="L705" s="13"/>
      <c r="M705" s="13"/>
      <c r="N705" s="13"/>
      <c r="O705" s="13"/>
      <c r="P705" s="13"/>
    </row>
    <row r="706" customHeight="1" spans="9:16">
      <c r="I706" s="13"/>
      <c r="J706" s="13"/>
      <c r="K706" s="13"/>
      <c r="L706" s="13"/>
      <c r="M706" s="13"/>
      <c r="N706" s="13"/>
      <c r="O706" s="13"/>
      <c r="P706" s="13"/>
    </row>
    <row r="707" customHeight="1" spans="9:16">
      <c r="I707" s="13"/>
      <c r="J707" s="13"/>
      <c r="K707" s="13"/>
      <c r="L707" s="13"/>
      <c r="M707" s="13"/>
      <c r="N707" s="13"/>
      <c r="O707" s="13"/>
      <c r="P707" s="13"/>
    </row>
    <row r="708" customHeight="1" spans="9:16">
      <c r="I708" s="13"/>
      <c r="J708" s="13"/>
      <c r="K708" s="13"/>
      <c r="L708" s="13"/>
      <c r="M708" s="13"/>
      <c r="N708" s="13"/>
      <c r="O708" s="13"/>
      <c r="P708" s="13"/>
    </row>
    <row r="709" customHeight="1" spans="9:16">
      <c r="I709" s="13"/>
      <c r="J709" s="13"/>
      <c r="K709" s="13"/>
      <c r="L709" s="13"/>
      <c r="M709" s="13"/>
      <c r="N709" s="13"/>
      <c r="O709" s="13"/>
      <c r="P709" s="13"/>
    </row>
    <row r="710" customHeight="1" spans="9:16">
      <c r="I710" s="13"/>
      <c r="J710" s="13"/>
      <c r="K710" s="13"/>
      <c r="L710" s="13"/>
      <c r="M710" s="13"/>
      <c r="N710" s="13"/>
      <c r="O710" s="13"/>
      <c r="P710" s="13"/>
    </row>
    <row r="711" customHeight="1" spans="9:16">
      <c r="I711" s="13"/>
      <c r="J711" s="13"/>
      <c r="K711" s="13"/>
      <c r="L711" s="13"/>
      <c r="M711" s="13"/>
      <c r="N711" s="13"/>
      <c r="O711" s="13"/>
      <c r="P711" s="13"/>
    </row>
    <row r="712" customHeight="1" spans="9:16">
      <c r="I712" s="13"/>
      <c r="J712" s="13"/>
      <c r="K712" s="13"/>
      <c r="L712" s="13"/>
      <c r="M712" s="13"/>
      <c r="N712" s="13"/>
      <c r="O712" s="13"/>
      <c r="P712" s="13"/>
    </row>
    <row r="713" customHeight="1" spans="9:16">
      <c r="I713" s="13"/>
      <c r="J713" s="13"/>
      <c r="K713" s="13"/>
      <c r="L713" s="13"/>
      <c r="M713" s="13"/>
      <c r="N713" s="13"/>
      <c r="O713" s="13"/>
      <c r="P713" s="13"/>
    </row>
    <row r="714" customHeight="1" spans="9:16">
      <c r="I714" s="13"/>
      <c r="J714" s="13"/>
      <c r="K714" s="13"/>
      <c r="L714" s="13"/>
      <c r="M714" s="13"/>
      <c r="N714" s="13"/>
      <c r="O714" s="13"/>
      <c r="P714" s="13"/>
    </row>
    <row r="715" customHeight="1" spans="9:16">
      <c r="I715" s="13"/>
      <c r="J715" s="13"/>
      <c r="K715" s="13"/>
      <c r="L715" s="13"/>
      <c r="M715" s="13"/>
      <c r="N715" s="13"/>
      <c r="O715" s="13"/>
      <c r="P715" s="13"/>
    </row>
    <row r="716" customHeight="1" spans="9:16">
      <c r="I716" s="13"/>
      <c r="J716" s="13"/>
      <c r="K716" s="13"/>
      <c r="L716" s="13"/>
      <c r="M716" s="13"/>
      <c r="N716" s="13"/>
      <c r="O716" s="13"/>
      <c r="P716" s="13"/>
    </row>
    <row r="717" customHeight="1" spans="9:16">
      <c r="I717" s="13"/>
      <c r="J717" s="13"/>
      <c r="K717" s="13"/>
      <c r="L717" s="13"/>
      <c r="M717" s="13"/>
      <c r="N717" s="13"/>
      <c r="O717" s="13"/>
      <c r="P717" s="13"/>
    </row>
    <row r="718" customHeight="1" spans="9:16">
      <c r="I718" s="13"/>
      <c r="J718" s="13"/>
      <c r="K718" s="13"/>
      <c r="L718" s="13"/>
      <c r="M718" s="13"/>
      <c r="N718" s="13"/>
      <c r="O718" s="13"/>
      <c r="P718" s="13"/>
    </row>
    <row r="719" customHeight="1" spans="9:16">
      <c r="I719" s="13"/>
      <c r="J719" s="13"/>
      <c r="K719" s="13"/>
      <c r="L719" s="13"/>
      <c r="M719" s="13"/>
      <c r="N719" s="13"/>
      <c r="O719" s="13"/>
      <c r="P719" s="13"/>
    </row>
    <row r="720" customHeight="1" spans="9:16">
      <c r="I720" s="13"/>
      <c r="J720" s="13"/>
      <c r="K720" s="13"/>
      <c r="L720" s="13"/>
      <c r="M720" s="13"/>
      <c r="N720" s="13"/>
      <c r="O720" s="13"/>
      <c r="P720" s="13"/>
    </row>
    <row r="721" customHeight="1" spans="9:16">
      <c r="I721" s="13"/>
      <c r="J721" s="13"/>
      <c r="K721" s="13"/>
      <c r="L721" s="13"/>
      <c r="M721" s="13"/>
      <c r="N721" s="13"/>
      <c r="O721" s="13"/>
      <c r="P721" s="13"/>
    </row>
    <row r="722" customHeight="1" spans="9:16">
      <c r="I722" s="13"/>
      <c r="J722" s="13"/>
      <c r="K722" s="13"/>
      <c r="L722" s="13"/>
      <c r="M722" s="13"/>
      <c r="N722" s="13"/>
      <c r="O722" s="13"/>
      <c r="P722" s="13"/>
    </row>
    <row r="723" customHeight="1" spans="9:16">
      <c r="I723" s="13"/>
      <c r="J723" s="13"/>
      <c r="K723" s="13"/>
      <c r="L723" s="13"/>
      <c r="M723" s="13"/>
      <c r="N723" s="13"/>
      <c r="O723" s="13"/>
      <c r="P723" s="13"/>
    </row>
    <row r="724" customHeight="1" spans="9:16">
      <c r="I724" s="13"/>
      <c r="J724" s="13"/>
      <c r="K724" s="13"/>
      <c r="L724" s="13"/>
      <c r="M724" s="13"/>
      <c r="N724" s="13"/>
      <c r="O724" s="13"/>
      <c r="P724" s="13"/>
    </row>
    <row r="725" customHeight="1" spans="9:16">
      <c r="I725" s="13"/>
      <c r="J725" s="13"/>
      <c r="K725" s="13"/>
      <c r="L725" s="13"/>
      <c r="M725" s="13"/>
      <c r="N725" s="13"/>
      <c r="O725" s="13"/>
      <c r="P725" s="13"/>
    </row>
    <row r="726" customHeight="1" spans="9:16">
      <c r="I726" s="13"/>
      <c r="J726" s="13"/>
      <c r="K726" s="13"/>
      <c r="L726" s="13"/>
      <c r="M726" s="13"/>
      <c r="N726" s="13"/>
      <c r="O726" s="13"/>
      <c r="P726" s="13"/>
    </row>
    <row r="727" customHeight="1" spans="9:16">
      <c r="I727" s="13"/>
      <c r="J727" s="13"/>
      <c r="K727" s="13"/>
      <c r="L727" s="13"/>
      <c r="M727" s="13"/>
      <c r="N727" s="13"/>
      <c r="O727" s="13"/>
      <c r="P727" s="13"/>
    </row>
    <row r="728" customHeight="1" spans="9:16">
      <c r="I728" s="13"/>
      <c r="J728" s="13"/>
      <c r="K728" s="13"/>
      <c r="L728" s="13"/>
      <c r="M728" s="13"/>
      <c r="N728" s="13"/>
      <c r="O728" s="13"/>
      <c r="P728" s="13"/>
    </row>
    <row r="729" customHeight="1" spans="9:16">
      <c r="I729" s="13"/>
      <c r="J729" s="13"/>
      <c r="K729" s="13"/>
      <c r="L729" s="13"/>
      <c r="M729" s="13"/>
      <c r="N729" s="13"/>
      <c r="O729" s="13"/>
      <c r="P729" s="13"/>
    </row>
    <row r="730" customHeight="1" spans="9:16">
      <c r="I730" s="13"/>
      <c r="J730" s="13"/>
      <c r="K730" s="13"/>
      <c r="L730" s="13"/>
      <c r="M730" s="13"/>
      <c r="N730" s="13"/>
      <c r="O730" s="13"/>
      <c r="P730" s="13"/>
    </row>
    <row r="731" customHeight="1" spans="9:16">
      <c r="I731" s="13"/>
      <c r="J731" s="13"/>
      <c r="K731" s="13"/>
      <c r="L731" s="13"/>
      <c r="M731" s="13"/>
      <c r="N731" s="13"/>
      <c r="O731" s="13"/>
      <c r="P731" s="13"/>
    </row>
    <row r="732" customHeight="1" spans="9:16">
      <c r="I732" s="13"/>
      <c r="J732" s="13"/>
      <c r="K732" s="13"/>
      <c r="L732" s="13"/>
      <c r="M732" s="13"/>
      <c r="N732" s="13"/>
      <c r="O732" s="13"/>
      <c r="P732" s="13"/>
    </row>
    <row r="733" customHeight="1" spans="9:16">
      <c r="I733" s="13"/>
      <c r="J733" s="13"/>
      <c r="K733" s="13"/>
      <c r="L733" s="13"/>
      <c r="M733" s="13"/>
      <c r="N733" s="13"/>
      <c r="O733" s="13"/>
      <c r="P733" s="13"/>
    </row>
    <row r="734" customHeight="1" spans="9:16">
      <c r="I734" s="13"/>
      <c r="J734" s="13"/>
      <c r="K734" s="13"/>
      <c r="L734" s="13"/>
      <c r="M734" s="13"/>
      <c r="N734" s="13"/>
      <c r="O734" s="13"/>
      <c r="P734" s="13"/>
    </row>
    <row r="735" customHeight="1" spans="9:16">
      <c r="I735" s="13"/>
      <c r="J735" s="13"/>
      <c r="K735" s="13"/>
      <c r="L735" s="13"/>
      <c r="M735" s="13"/>
      <c r="N735" s="13"/>
      <c r="O735" s="13"/>
      <c r="P735" s="13"/>
    </row>
    <row r="736" customHeight="1" spans="9:16">
      <c r="I736" s="13"/>
      <c r="J736" s="13"/>
      <c r="K736" s="13"/>
      <c r="L736" s="13"/>
      <c r="M736" s="13"/>
      <c r="N736" s="13"/>
      <c r="O736" s="13"/>
      <c r="P736" s="13"/>
    </row>
    <row r="737" customHeight="1" spans="9:16">
      <c r="I737" s="13"/>
      <c r="J737" s="13"/>
      <c r="K737" s="13"/>
      <c r="L737" s="13"/>
      <c r="M737" s="13"/>
      <c r="N737" s="13"/>
      <c r="O737" s="13"/>
      <c r="P737" s="13"/>
    </row>
    <row r="738" customHeight="1" spans="9:16">
      <c r="I738" s="13"/>
      <c r="J738" s="13"/>
      <c r="K738" s="13"/>
      <c r="L738" s="13"/>
      <c r="M738" s="13"/>
      <c r="N738" s="13"/>
      <c r="O738" s="13"/>
      <c r="P738" s="13"/>
    </row>
    <row r="739" customHeight="1" spans="9:16">
      <c r="I739" s="13"/>
      <c r="J739" s="13"/>
      <c r="K739" s="13"/>
      <c r="L739" s="13"/>
      <c r="M739" s="13"/>
      <c r="N739" s="13"/>
      <c r="O739" s="13"/>
      <c r="P739" s="13"/>
    </row>
    <row r="740" customHeight="1" spans="9:16">
      <c r="I740" s="13"/>
      <c r="J740" s="13"/>
      <c r="K740" s="13"/>
      <c r="L740" s="13"/>
      <c r="M740" s="13"/>
      <c r="N740" s="13"/>
      <c r="O740" s="13"/>
      <c r="P740" s="13"/>
    </row>
    <row r="741" customHeight="1" spans="9:16">
      <c r="I741" s="13"/>
      <c r="J741" s="13"/>
      <c r="K741" s="13"/>
      <c r="L741" s="13"/>
      <c r="M741" s="13"/>
      <c r="N741" s="13"/>
      <c r="O741" s="13"/>
      <c r="P741" s="13"/>
    </row>
    <row r="742" customHeight="1" spans="9:16">
      <c r="I742" s="13"/>
      <c r="J742" s="13"/>
      <c r="K742" s="13"/>
      <c r="L742" s="13"/>
      <c r="M742" s="13"/>
      <c r="N742" s="13"/>
      <c r="O742" s="13"/>
      <c r="P742" s="13"/>
    </row>
    <row r="743" customHeight="1" spans="9:16">
      <c r="I743" s="13"/>
      <c r="J743" s="13"/>
      <c r="K743" s="13"/>
      <c r="L743" s="13"/>
      <c r="M743" s="13"/>
      <c r="N743" s="13"/>
      <c r="O743" s="13"/>
      <c r="P743" s="13"/>
    </row>
    <row r="744" customHeight="1" spans="9:16">
      <c r="I744" s="13"/>
      <c r="J744" s="13"/>
      <c r="K744" s="13"/>
      <c r="L744" s="13"/>
      <c r="M744" s="13"/>
      <c r="N744" s="13"/>
      <c r="O744" s="13"/>
      <c r="P744" s="13"/>
    </row>
    <row r="745" customHeight="1" spans="9:16">
      <c r="I745" s="13"/>
      <c r="J745" s="13"/>
      <c r="K745" s="13"/>
      <c r="L745" s="13"/>
      <c r="M745" s="13"/>
      <c r="N745" s="13"/>
      <c r="O745" s="13"/>
      <c r="P745" s="13"/>
    </row>
    <row r="746" customHeight="1" spans="9:16">
      <c r="I746" s="13"/>
      <c r="J746" s="13"/>
      <c r="K746" s="13"/>
      <c r="L746" s="13"/>
      <c r="M746" s="13"/>
      <c r="N746" s="13"/>
      <c r="O746" s="13"/>
      <c r="P746" s="13"/>
    </row>
    <row r="747" customHeight="1" spans="9:16">
      <c r="I747" s="13"/>
      <c r="J747" s="13"/>
      <c r="K747" s="13"/>
      <c r="L747" s="13"/>
      <c r="M747" s="13"/>
      <c r="N747" s="13"/>
      <c r="O747" s="13"/>
      <c r="P747" s="13"/>
    </row>
    <row r="748" customHeight="1" spans="9:16">
      <c r="I748" s="13"/>
      <c r="J748" s="13"/>
      <c r="K748" s="13"/>
      <c r="L748" s="13"/>
      <c r="M748" s="13"/>
      <c r="N748" s="13"/>
      <c r="O748" s="13"/>
      <c r="P748" s="13"/>
    </row>
    <row r="749" customHeight="1" spans="9:16">
      <c r="I749" s="13"/>
      <c r="J749" s="13"/>
      <c r="K749" s="13"/>
      <c r="L749" s="13"/>
      <c r="M749" s="13"/>
      <c r="N749" s="13"/>
      <c r="O749" s="13"/>
      <c r="P749" s="13"/>
    </row>
    <row r="750" customHeight="1" spans="9:16">
      <c r="I750" s="13"/>
      <c r="J750" s="13"/>
      <c r="K750" s="13"/>
      <c r="L750" s="13"/>
      <c r="M750" s="13"/>
      <c r="N750" s="13"/>
      <c r="O750" s="13"/>
      <c r="P750" s="13"/>
    </row>
    <row r="751" customHeight="1" spans="9:16">
      <c r="I751" s="13"/>
      <c r="J751" s="13"/>
      <c r="K751" s="13"/>
      <c r="L751" s="13"/>
      <c r="M751" s="13"/>
      <c r="N751" s="13"/>
      <c r="O751" s="13"/>
      <c r="P751" s="13"/>
    </row>
    <row r="752" customHeight="1" spans="9:16">
      <c r="I752" s="13"/>
      <c r="J752" s="13"/>
      <c r="K752" s="13"/>
      <c r="L752" s="13"/>
      <c r="M752" s="13"/>
      <c r="N752" s="13"/>
      <c r="O752" s="13"/>
      <c r="P752" s="13"/>
    </row>
    <row r="753" customHeight="1" spans="9:16">
      <c r="I753" s="13"/>
      <c r="J753" s="13"/>
      <c r="K753" s="13"/>
      <c r="L753" s="13"/>
      <c r="M753" s="13"/>
      <c r="N753" s="13"/>
      <c r="O753" s="13"/>
      <c r="P753" s="13"/>
    </row>
    <row r="754" customHeight="1" spans="9:16">
      <c r="I754" s="13"/>
      <c r="J754" s="13"/>
      <c r="K754" s="13"/>
      <c r="L754" s="13"/>
      <c r="M754" s="13"/>
      <c r="N754" s="13"/>
      <c r="O754" s="13"/>
      <c r="P754" s="13"/>
    </row>
    <row r="755" customHeight="1" spans="9:16">
      <c r="I755" s="13"/>
      <c r="J755" s="13"/>
      <c r="K755" s="13"/>
      <c r="L755" s="13"/>
      <c r="M755" s="13"/>
      <c r="N755" s="13"/>
      <c r="O755" s="13"/>
      <c r="P755" s="13"/>
    </row>
    <row r="756" customHeight="1" spans="9:16">
      <c r="I756" s="13"/>
      <c r="J756" s="13"/>
      <c r="K756" s="13"/>
      <c r="L756" s="13"/>
      <c r="M756" s="13"/>
      <c r="N756" s="13"/>
      <c r="O756" s="13"/>
      <c r="P756" s="13"/>
    </row>
    <row r="757" customHeight="1" spans="9:16">
      <c r="I757" s="13"/>
      <c r="J757" s="13"/>
      <c r="K757" s="13"/>
      <c r="L757" s="13"/>
      <c r="M757" s="13"/>
      <c r="N757" s="13"/>
      <c r="O757" s="13"/>
      <c r="P757" s="13"/>
    </row>
    <row r="758" customHeight="1" spans="9:16">
      <c r="I758" s="13"/>
      <c r="J758" s="13"/>
      <c r="K758" s="13"/>
      <c r="L758" s="13"/>
      <c r="M758" s="13"/>
      <c r="N758" s="13"/>
      <c r="O758" s="13"/>
      <c r="P758" s="13"/>
    </row>
    <row r="759" customHeight="1" spans="9:16">
      <c r="I759" s="13"/>
      <c r="J759" s="13"/>
      <c r="K759" s="13"/>
      <c r="L759" s="13"/>
      <c r="M759" s="13"/>
      <c r="N759" s="13"/>
      <c r="O759" s="13"/>
      <c r="P759" s="13"/>
    </row>
    <row r="760" customHeight="1" spans="9:16">
      <c r="I760" s="13"/>
      <c r="J760" s="13"/>
      <c r="K760" s="13"/>
      <c r="L760" s="13"/>
      <c r="M760" s="13"/>
      <c r="N760" s="13"/>
      <c r="O760" s="13"/>
      <c r="P760" s="13"/>
    </row>
    <row r="761" customHeight="1" spans="9:16">
      <c r="I761" s="13"/>
      <c r="J761" s="13"/>
      <c r="K761" s="13"/>
      <c r="L761" s="13"/>
      <c r="M761" s="13"/>
      <c r="N761" s="13"/>
      <c r="O761" s="13"/>
      <c r="P761" s="13"/>
    </row>
    <row r="762" customHeight="1" spans="9:16">
      <c r="I762" s="13"/>
      <c r="J762" s="13"/>
      <c r="K762" s="13"/>
      <c r="L762" s="13"/>
      <c r="M762" s="13"/>
      <c r="N762" s="13"/>
      <c r="O762" s="13"/>
      <c r="P762" s="13"/>
    </row>
    <row r="763" customHeight="1" spans="9:16">
      <c r="I763" s="13"/>
      <c r="J763" s="13"/>
      <c r="K763" s="13"/>
      <c r="L763" s="13"/>
      <c r="M763" s="13"/>
      <c r="N763" s="13"/>
      <c r="O763" s="13"/>
      <c r="P763" s="13"/>
    </row>
    <row r="764" customHeight="1" spans="9:16">
      <c r="I764" s="13"/>
      <c r="J764" s="13"/>
      <c r="K764" s="13"/>
      <c r="L764" s="13"/>
      <c r="M764" s="13"/>
      <c r="N764" s="13"/>
      <c r="O764" s="13"/>
      <c r="P764" s="13"/>
    </row>
    <row r="765" customHeight="1" spans="9:16">
      <c r="I765" s="13"/>
      <c r="J765" s="13"/>
      <c r="K765" s="13"/>
      <c r="L765" s="13"/>
      <c r="M765" s="13"/>
      <c r="N765" s="13"/>
      <c r="O765" s="13"/>
      <c r="P765" s="13"/>
    </row>
    <row r="766" customHeight="1" spans="9:16">
      <c r="I766" s="13"/>
      <c r="J766" s="13"/>
      <c r="K766" s="13"/>
      <c r="L766" s="13"/>
      <c r="M766" s="13"/>
      <c r="N766" s="13"/>
      <c r="O766" s="13"/>
      <c r="P766" s="13"/>
    </row>
    <row r="767" customHeight="1" spans="9:16">
      <c r="I767" s="13"/>
      <c r="J767" s="13"/>
      <c r="K767" s="13"/>
      <c r="L767" s="13"/>
      <c r="M767" s="13"/>
      <c r="N767" s="13"/>
      <c r="O767" s="13"/>
      <c r="P767" s="13"/>
    </row>
    <row r="768" customHeight="1" spans="9:16">
      <c r="I768" s="13"/>
      <c r="J768" s="13"/>
      <c r="K768" s="13"/>
      <c r="L768" s="13"/>
      <c r="M768" s="13"/>
      <c r="N768" s="13"/>
      <c r="O768" s="13"/>
      <c r="P768" s="13"/>
    </row>
    <row r="769" customHeight="1" spans="9:16">
      <c r="I769" s="13"/>
      <c r="J769" s="13"/>
      <c r="K769" s="13"/>
      <c r="L769" s="13"/>
      <c r="M769" s="13"/>
      <c r="N769" s="13"/>
      <c r="O769" s="13"/>
      <c r="P769" s="13"/>
    </row>
    <row r="770" customHeight="1" spans="9:16">
      <c r="I770" s="13"/>
      <c r="J770" s="13"/>
      <c r="K770" s="13"/>
      <c r="L770" s="13"/>
      <c r="M770" s="13"/>
      <c r="N770" s="13"/>
      <c r="O770" s="13"/>
      <c r="P770" s="13"/>
    </row>
    <row r="771" customHeight="1" spans="9:16">
      <c r="I771" s="13"/>
      <c r="J771" s="13"/>
      <c r="K771" s="13"/>
      <c r="L771" s="13"/>
      <c r="M771" s="13"/>
      <c r="N771" s="13"/>
      <c r="O771" s="13"/>
      <c r="P771" s="13"/>
    </row>
    <row r="772" customHeight="1" spans="9:16">
      <c r="I772" s="13"/>
      <c r="J772" s="13"/>
      <c r="K772" s="13"/>
      <c r="L772" s="13"/>
      <c r="M772" s="13"/>
      <c r="N772" s="13"/>
      <c r="O772" s="13"/>
      <c r="P772" s="13"/>
    </row>
    <row r="773" customHeight="1" spans="9:16">
      <c r="I773" s="13"/>
      <c r="J773" s="13"/>
      <c r="K773" s="13"/>
      <c r="L773" s="13"/>
      <c r="M773" s="13"/>
      <c r="N773" s="13"/>
      <c r="O773" s="13"/>
      <c r="P773" s="13"/>
    </row>
    <row r="774" customHeight="1" spans="9:16">
      <c r="I774" s="13"/>
      <c r="J774" s="13"/>
      <c r="K774" s="13"/>
      <c r="L774" s="13"/>
      <c r="M774" s="13"/>
      <c r="N774" s="13"/>
      <c r="O774" s="13"/>
      <c r="P774" s="13"/>
    </row>
    <row r="775" customHeight="1" spans="9:16">
      <c r="I775" s="13"/>
      <c r="J775" s="13"/>
      <c r="K775" s="13"/>
      <c r="L775" s="13"/>
      <c r="M775" s="13"/>
      <c r="N775" s="13"/>
      <c r="O775" s="13"/>
      <c r="P775" s="13"/>
    </row>
    <row r="776" customHeight="1" spans="9:16">
      <c r="I776" s="13"/>
      <c r="J776" s="13"/>
      <c r="K776" s="13"/>
      <c r="L776" s="13"/>
      <c r="M776" s="13"/>
      <c r="N776" s="13"/>
      <c r="O776" s="13"/>
      <c r="P776" s="13"/>
    </row>
    <row r="777" customHeight="1" spans="9:16">
      <c r="I777" s="13"/>
      <c r="J777" s="13"/>
      <c r="K777" s="13"/>
      <c r="L777" s="13"/>
      <c r="M777" s="13"/>
      <c r="N777" s="13"/>
      <c r="O777" s="13"/>
      <c r="P777" s="13"/>
    </row>
    <row r="778" customHeight="1" spans="9:16">
      <c r="I778" s="13"/>
      <c r="J778" s="13"/>
      <c r="K778" s="13"/>
      <c r="L778" s="13"/>
      <c r="M778" s="13"/>
      <c r="N778" s="13"/>
      <c r="O778" s="13"/>
      <c r="P778" s="13"/>
    </row>
    <row r="779" customHeight="1" spans="9:16">
      <c r="I779" s="13"/>
      <c r="J779" s="13"/>
      <c r="K779" s="13"/>
      <c r="L779" s="13"/>
      <c r="M779" s="13"/>
      <c r="N779" s="13"/>
      <c r="O779" s="13"/>
      <c r="P779" s="13"/>
    </row>
    <row r="780" customHeight="1" spans="9:16">
      <c r="I780" s="13"/>
      <c r="J780" s="13"/>
      <c r="K780" s="13"/>
      <c r="L780" s="13"/>
      <c r="M780" s="13"/>
      <c r="N780" s="13"/>
      <c r="O780" s="13"/>
      <c r="P780" s="13"/>
    </row>
    <row r="781" customHeight="1" spans="9:16">
      <c r="I781" s="13"/>
      <c r="J781" s="13"/>
      <c r="K781" s="13"/>
      <c r="L781" s="13"/>
      <c r="M781" s="13"/>
      <c r="N781" s="13"/>
      <c r="O781" s="13"/>
      <c r="P781" s="13"/>
    </row>
    <row r="782" customHeight="1" spans="9:16">
      <c r="I782" s="13"/>
      <c r="J782" s="13"/>
      <c r="K782" s="13"/>
      <c r="L782" s="13"/>
      <c r="M782" s="13"/>
      <c r="N782" s="13"/>
      <c r="O782" s="13"/>
      <c r="P782" s="13"/>
    </row>
    <row r="783" customHeight="1" spans="9:16">
      <c r="I783" s="13"/>
      <c r="J783" s="13"/>
      <c r="K783" s="13"/>
      <c r="L783" s="13"/>
      <c r="M783" s="13"/>
      <c r="N783" s="13"/>
      <c r="O783" s="13"/>
      <c r="P783" s="13"/>
    </row>
    <row r="784" customHeight="1" spans="9:16">
      <c r="I784" s="13"/>
      <c r="J784" s="13"/>
      <c r="K784" s="13"/>
      <c r="L784" s="13"/>
      <c r="M784" s="13"/>
      <c r="N784" s="13"/>
      <c r="O784" s="13"/>
      <c r="P784" s="13"/>
    </row>
    <row r="785" customHeight="1" spans="9:16">
      <c r="I785" s="13"/>
      <c r="J785" s="13"/>
      <c r="K785" s="13"/>
      <c r="L785" s="13"/>
      <c r="M785" s="13"/>
      <c r="N785" s="13"/>
      <c r="O785" s="13"/>
      <c r="P785" s="13"/>
    </row>
    <row r="786" customHeight="1" spans="9:16">
      <c r="I786" s="13"/>
      <c r="J786" s="13"/>
      <c r="K786" s="13"/>
      <c r="L786" s="13"/>
      <c r="M786" s="13"/>
      <c r="N786" s="13"/>
      <c r="O786" s="13"/>
      <c r="P786" s="13"/>
    </row>
    <row r="787" customHeight="1" spans="9:16">
      <c r="I787" s="13"/>
      <c r="J787" s="13"/>
      <c r="K787" s="13"/>
      <c r="L787" s="13"/>
      <c r="M787" s="13"/>
      <c r="N787" s="13"/>
      <c r="O787" s="13"/>
      <c r="P787" s="13"/>
    </row>
    <row r="788" customHeight="1" spans="9:16">
      <c r="I788" s="13"/>
      <c r="J788" s="13"/>
      <c r="K788" s="13"/>
      <c r="L788" s="13"/>
      <c r="M788" s="13"/>
      <c r="N788" s="13"/>
      <c r="O788" s="13"/>
      <c r="P788" s="13"/>
    </row>
    <row r="789" customHeight="1" spans="9:16">
      <c r="I789" s="13"/>
      <c r="J789" s="13"/>
      <c r="K789" s="13"/>
      <c r="L789" s="13"/>
      <c r="M789" s="13"/>
      <c r="N789" s="13"/>
      <c r="O789" s="13"/>
      <c r="P789" s="13"/>
    </row>
    <row r="790" customHeight="1" spans="9:16">
      <c r="I790" s="13"/>
      <c r="J790" s="13"/>
      <c r="K790" s="13"/>
      <c r="L790" s="13"/>
      <c r="M790" s="13"/>
      <c r="N790" s="13"/>
      <c r="O790" s="13"/>
      <c r="P790" s="13"/>
    </row>
    <row r="791" customHeight="1" spans="9:16">
      <c r="I791" s="13"/>
      <c r="J791" s="13"/>
      <c r="K791" s="13"/>
      <c r="L791" s="13"/>
      <c r="M791" s="13"/>
      <c r="N791" s="13"/>
      <c r="O791" s="13"/>
      <c r="P791" s="13"/>
    </row>
    <row r="792" customHeight="1" spans="9:16">
      <c r="I792" s="13"/>
      <c r="J792" s="13"/>
      <c r="K792" s="13"/>
      <c r="L792" s="13"/>
      <c r="M792" s="13"/>
      <c r="N792" s="13"/>
      <c r="O792" s="13"/>
      <c r="P792" s="13"/>
    </row>
    <row r="793" customHeight="1" spans="9:16">
      <c r="I793" s="13"/>
      <c r="J793" s="13"/>
      <c r="K793" s="13"/>
      <c r="L793" s="13"/>
      <c r="M793" s="13"/>
      <c r="N793" s="13"/>
      <c r="O793" s="13"/>
      <c r="P793" s="13"/>
    </row>
    <row r="794" customHeight="1" spans="9:16">
      <c r="I794" s="13"/>
      <c r="J794" s="13"/>
      <c r="K794" s="13"/>
      <c r="L794" s="13"/>
      <c r="M794" s="13"/>
      <c r="N794" s="13"/>
      <c r="O794" s="13"/>
      <c r="P794" s="13"/>
    </row>
    <row r="795" customHeight="1" spans="9:16">
      <c r="I795" s="13"/>
      <c r="J795" s="13"/>
      <c r="K795" s="13"/>
      <c r="L795" s="13"/>
      <c r="M795" s="13"/>
      <c r="N795" s="13"/>
      <c r="O795" s="13"/>
      <c r="P795" s="13"/>
    </row>
    <row r="796" customHeight="1" spans="9:16">
      <c r="I796" s="13"/>
      <c r="J796" s="13"/>
      <c r="K796" s="13"/>
      <c r="L796" s="13"/>
      <c r="M796" s="13"/>
      <c r="N796" s="13"/>
      <c r="O796" s="13"/>
      <c r="P796" s="13"/>
    </row>
    <row r="797" customHeight="1" spans="9:16">
      <c r="I797" s="13"/>
      <c r="J797" s="13"/>
      <c r="K797" s="13"/>
      <c r="L797" s="13"/>
      <c r="M797" s="13"/>
      <c r="N797" s="13"/>
      <c r="O797" s="13"/>
      <c r="P797" s="13"/>
    </row>
    <row r="798" customHeight="1" spans="9:16">
      <c r="I798" s="13"/>
      <c r="J798" s="13"/>
      <c r="K798" s="13"/>
      <c r="L798" s="13"/>
      <c r="M798" s="13"/>
      <c r="N798" s="13"/>
      <c r="O798" s="13"/>
      <c r="P798" s="13"/>
    </row>
    <row r="799" customHeight="1" spans="9:16">
      <c r="I799" s="13"/>
      <c r="J799" s="13"/>
      <c r="K799" s="13"/>
      <c r="L799" s="13"/>
      <c r="M799" s="13"/>
      <c r="N799" s="13"/>
      <c r="O799" s="13"/>
      <c r="P799" s="13"/>
    </row>
    <row r="800" customHeight="1" spans="9:16">
      <c r="I800" s="13"/>
      <c r="J800" s="13"/>
      <c r="K800" s="13"/>
      <c r="L800" s="13"/>
      <c r="M800" s="13"/>
      <c r="N800" s="13"/>
      <c r="O800" s="13"/>
      <c r="P800" s="13"/>
    </row>
    <row r="801" customHeight="1" spans="9:16">
      <c r="I801" s="13"/>
      <c r="J801" s="13"/>
      <c r="K801" s="13"/>
      <c r="L801" s="13"/>
      <c r="M801" s="13"/>
      <c r="N801" s="13"/>
      <c r="O801" s="13"/>
      <c r="P801" s="13"/>
    </row>
    <row r="802" customHeight="1" spans="9:16">
      <c r="I802" s="13"/>
      <c r="J802" s="13"/>
      <c r="K802" s="13"/>
      <c r="L802" s="13"/>
      <c r="M802" s="13"/>
      <c r="N802" s="13"/>
      <c r="O802" s="13"/>
      <c r="P802" s="13"/>
    </row>
    <row r="803" customHeight="1" spans="9:16">
      <c r="I803" s="13"/>
      <c r="J803" s="13"/>
      <c r="K803" s="13"/>
      <c r="L803" s="13"/>
      <c r="M803" s="13"/>
      <c r="N803" s="13"/>
      <c r="O803" s="13"/>
      <c r="P803" s="13"/>
    </row>
    <row r="804" customHeight="1" spans="9:16">
      <c r="I804" s="13"/>
      <c r="J804" s="13"/>
      <c r="K804" s="13"/>
      <c r="L804" s="13"/>
      <c r="M804" s="13"/>
      <c r="N804" s="13"/>
      <c r="O804" s="13"/>
      <c r="P804" s="13"/>
    </row>
    <row r="805" customHeight="1" spans="9:16">
      <c r="I805" s="13"/>
      <c r="J805" s="13"/>
      <c r="K805" s="13"/>
      <c r="L805" s="13"/>
      <c r="M805" s="13"/>
      <c r="N805" s="13"/>
      <c r="O805" s="13"/>
      <c r="P805" s="13"/>
    </row>
    <row r="806" customHeight="1" spans="9:16">
      <c r="I806" s="13"/>
      <c r="J806" s="13"/>
      <c r="K806" s="13"/>
      <c r="L806" s="13"/>
      <c r="M806" s="13"/>
      <c r="N806" s="13"/>
      <c r="O806" s="13"/>
      <c r="P806" s="13"/>
    </row>
    <row r="807" customHeight="1" spans="9:16">
      <c r="I807" s="13"/>
      <c r="J807" s="13"/>
      <c r="K807" s="13"/>
      <c r="L807" s="13"/>
      <c r="M807" s="13"/>
      <c r="N807" s="13"/>
      <c r="O807" s="13"/>
      <c r="P807" s="13"/>
    </row>
    <row r="808" customHeight="1" spans="9:16">
      <c r="I808" s="13"/>
      <c r="J808" s="13"/>
      <c r="K808" s="13"/>
      <c r="L808" s="13"/>
      <c r="M808" s="13"/>
      <c r="N808" s="13"/>
      <c r="O808" s="13"/>
      <c r="P808" s="13"/>
    </row>
    <row r="809" customHeight="1" spans="9:16">
      <c r="I809" s="13"/>
      <c r="J809" s="13"/>
      <c r="K809" s="13"/>
      <c r="L809" s="13"/>
      <c r="M809" s="13"/>
      <c r="N809" s="13"/>
      <c r="O809" s="13"/>
      <c r="P809" s="13"/>
    </row>
    <row r="810" customHeight="1" spans="9:16">
      <c r="I810" s="13"/>
      <c r="J810" s="13"/>
      <c r="K810" s="13"/>
      <c r="L810" s="13"/>
      <c r="M810" s="13"/>
      <c r="N810" s="13"/>
      <c r="O810" s="13"/>
      <c r="P810" s="13"/>
    </row>
    <row r="811" customHeight="1" spans="9:16">
      <c r="I811" s="13"/>
      <c r="J811" s="13"/>
      <c r="K811" s="13"/>
      <c r="L811" s="13"/>
      <c r="M811" s="13"/>
      <c r="N811" s="13"/>
      <c r="O811" s="13"/>
      <c r="P811" s="13"/>
    </row>
    <row r="812" customHeight="1" spans="9:16">
      <c r="I812" s="13"/>
      <c r="J812" s="13"/>
      <c r="K812" s="13"/>
      <c r="L812" s="13"/>
      <c r="M812" s="13"/>
      <c r="N812" s="13"/>
      <c r="O812" s="13"/>
      <c r="P812" s="13"/>
    </row>
    <row r="813" customHeight="1" spans="9:16">
      <c r="I813" s="13"/>
      <c r="J813" s="13"/>
      <c r="K813" s="13"/>
      <c r="L813" s="13"/>
      <c r="M813" s="13"/>
      <c r="N813" s="13"/>
      <c r="O813" s="13"/>
      <c r="P813" s="13"/>
    </row>
    <row r="814" customHeight="1" spans="9:16">
      <c r="I814" s="13"/>
      <c r="J814" s="13"/>
      <c r="K814" s="13"/>
      <c r="L814" s="13"/>
      <c r="M814" s="13"/>
      <c r="N814" s="13"/>
      <c r="O814" s="13"/>
      <c r="P814" s="13"/>
    </row>
    <row r="815" customHeight="1" spans="9:16">
      <c r="I815" s="13"/>
      <c r="J815" s="13"/>
      <c r="K815" s="13"/>
      <c r="L815" s="13"/>
      <c r="M815" s="13"/>
      <c r="N815" s="13"/>
      <c r="O815" s="13"/>
      <c r="P815" s="13"/>
    </row>
    <row r="816" customHeight="1" spans="9:16">
      <c r="I816" s="13"/>
      <c r="J816" s="13"/>
      <c r="K816" s="13"/>
      <c r="L816" s="13"/>
      <c r="M816" s="13"/>
      <c r="N816" s="13"/>
      <c r="O816" s="13"/>
      <c r="P816" s="13"/>
    </row>
    <row r="817" customHeight="1" spans="9:16">
      <c r="I817" s="13"/>
      <c r="J817" s="13"/>
      <c r="K817" s="13"/>
      <c r="L817" s="13"/>
      <c r="M817" s="13"/>
      <c r="N817" s="13"/>
      <c r="O817" s="13"/>
      <c r="P817" s="13"/>
    </row>
    <row r="818" customHeight="1" spans="9:16">
      <c r="I818" s="13"/>
      <c r="J818" s="13"/>
      <c r="K818" s="13"/>
      <c r="L818" s="13"/>
      <c r="M818" s="13"/>
      <c r="N818" s="13"/>
      <c r="O818" s="13"/>
      <c r="P818" s="13"/>
    </row>
    <row r="819" customHeight="1" spans="9:16">
      <c r="I819" s="13"/>
      <c r="J819" s="13"/>
      <c r="K819" s="13"/>
      <c r="L819" s="13"/>
      <c r="M819" s="13"/>
      <c r="N819" s="13"/>
      <c r="O819" s="13"/>
      <c r="P819" s="13"/>
    </row>
    <row r="820" customHeight="1" spans="9:16">
      <c r="I820" s="13"/>
      <c r="J820" s="13"/>
      <c r="K820" s="13"/>
      <c r="L820" s="13"/>
      <c r="M820" s="13"/>
      <c r="N820" s="13"/>
      <c r="O820" s="13"/>
      <c r="P820" s="13"/>
    </row>
    <row r="821" customHeight="1" spans="9:16">
      <c r="I821" s="13"/>
      <c r="J821" s="13"/>
      <c r="K821" s="13"/>
      <c r="L821" s="13"/>
      <c r="M821" s="13"/>
      <c r="N821" s="13"/>
      <c r="O821" s="13"/>
      <c r="P821" s="13"/>
    </row>
    <row r="822" customHeight="1" spans="9:16">
      <c r="I822" s="13"/>
      <c r="J822" s="13"/>
      <c r="K822" s="13"/>
      <c r="L822" s="13"/>
      <c r="M822" s="13"/>
      <c r="N822" s="13"/>
      <c r="O822" s="13"/>
      <c r="P822" s="13"/>
    </row>
    <row r="823" customHeight="1" spans="9:16">
      <c r="I823" s="13"/>
      <c r="J823" s="13"/>
      <c r="K823" s="13"/>
      <c r="L823" s="13"/>
      <c r="M823" s="13"/>
      <c r="N823" s="13"/>
      <c r="O823" s="13"/>
      <c r="P823" s="13"/>
    </row>
    <row r="824" customHeight="1" spans="9:16">
      <c r="I824" s="13"/>
      <c r="J824" s="13"/>
      <c r="K824" s="13"/>
      <c r="L824" s="13"/>
      <c r="M824" s="13"/>
      <c r="N824" s="13"/>
      <c r="O824" s="13"/>
      <c r="P824" s="13"/>
    </row>
    <row r="825" customHeight="1" spans="9:16">
      <c r="I825" s="13"/>
      <c r="J825" s="13"/>
      <c r="K825" s="13"/>
      <c r="L825" s="13"/>
      <c r="M825" s="13"/>
      <c r="N825" s="13"/>
      <c r="O825" s="13"/>
      <c r="P825" s="13"/>
    </row>
    <row r="826" customHeight="1" spans="9:16">
      <c r="I826" s="13"/>
      <c r="J826" s="13"/>
      <c r="K826" s="13"/>
      <c r="L826" s="13"/>
      <c r="M826" s="13"/>
      <c r="N826" s="13"/>
      <c r="O826" s="13"/>
      <c r="P826" s="13"/>
    </row>
    <row r="827" customHeight="1" spans="9:16">
      <c r="I827" s="13"/>
      <c r="J827" s="13"/>
      <c r="K827" s="13"/>
      <c r="L827" s="13"/>
      <c r="M827" s="13"/>
      <c r="N827" s="13"/>
      <c r="O827" s="13"/>
      <c r="P827" s="13"/>
    </row>
    <row r="828" customHeight="1" spans="9:16">
      <c r="I828" s="13"/>
      <c r="J828" s="13"/>
      <c r="K828" s="13"/>
      <c r="L828" s="13"/>
      <c r="M828" s="13"/>
      <c r="N828" s="13"/>
      <c r="O828" s="13"/>
      <c r="P828" s="13"/>
    </row>
    <row r="829" customHeight="1" spans="9:16">
      <c r="I829" s="13"/>
      <c r="J829" s="13"/>
      <c r="K829" s="13"/>
      <c r="L829" s="13"/>
      <c r="M829" s="13"/>
      <c r="N829" s="13"/>
      <c r="O829" s="13"/>
      <c r="P829" s="13"/>
    </row>
    <row r="830" customHeight="1" spans="9:16">
      <c r="I830" s="13"/>
      <c r="J830" s="13"/>
      <c r="K830" s="13"/>
      <c r="L830" s="13"/>
      <c r="M830" s="13"/>
      <c r="N830" s="13"/>
      <c r="O830" s="13"/>
      <c r="P830" s="13"/>
    </row>
    <row r="831" customHeight="1" spans="9:16">
      <c r="I831" s="13"/>
      <c r="J831" s="13"/>
      <c r="K831" s="13"/>
      <c r="L831" s="13"/>
      <c r="M831" s="13"/>
      <c r="N831" s="13"/>
      <c r="O831" s="13"/>
      <c r="P831" s="13"/>
    </row>
    <row r="832" customHeight="1" spans="9:16">
      <c r="I832" s="13"/>
      <c r="J832" s="13"/>
      <c r="K832" s="13"/>
      <c r="L832" s="13"/>
      <c r="M832" s="13"/>
      <c r="N832" s="13"/>
      <c r="O832" s="13"/>
      <c r="P832" s="13"/>
    </row>
    <row r="833" customHeight="1" spans="9:16">
      <c r="I833" s="13"/>
      <c r="J833" s="13"/>
      <c r="K833" s="13"/>
      <c r="L833" s="13"/>
      <c r="M833" s="13"/>
      <c r="N833" s="13"/>
      <c r="O833" s="13"/>
      <c r="P833" s="13"/>
    </row>
    <row r="834" customHeight="1" spans="9:16">
      <c r="I834" s="13"/>
      <c r="J834" s="13"/>
      <c r="K834" s="13"/>
      <c r="L834" s="13"/>
      <c r="M834" s="13"/>
      <c r="N834" s="13"/>
      <c r="O834" s="13"/>
      <c r="P834" s="13"/>
    </row>
    <row r="835" customHeight="1" spans="9:16">
      <c r="I835" s="13"/>
      <c r="J835" s="13"/>
      <c r="K835" s="13"/>
      <c r="L835" s="13"/>
      <c r="M835" s="13"/>
      <c r="N835" s="13"/>
      <c r="O835" s="13"/>
      <c r="P835" s="13"/>
    </row>
    <row r="836" customHeight="1" spans="9:16">
      <c r="I836" s="13"/>
      <c r="J836" s="13"/>
      <c r="K836" s="13"/>
      <c r="L836" s="13"/>
      <c r="M836" s="13"/>
      <c r="N836" s="13"/>
      <c r="O836" s="13"/>
      <c r="P836" s="13"/>
    </row>
    <row r="837" customHeight="1" spans="9:16">
      <c r="I837" s="13"/>
      <c r="J837" s="13"/>
      <c r="K837" s="13"/>
      <c r="L837" s="13"/>
      <c r="M837" s="13"/>
      <c r="N837" s="13"/>
      <c r="O837" s="13"/>
      <c r="P837" s="13"/>
    </row>
    <row r="838" customHeight="1" spans="9:16">
      <c r="I838" s="13"/>
      <c r="J838" s="13"/>
      <c r="K838" s="13"/>
      <c r="L838" s="13"/>
      <c r="M838" s="13"/>
      <c r="N838" s="13"/>
      <c r="O838" s="13"/>
      <c r="P838" s="13"/>
    </row>
    <row r="839" customHeight="1" spans="9:16">
      <c r="I839" s="13"/>
      <c r="J839" s="13"/>
      <c r="K839" s="13"/>
      <c r="L839" s="13"/>
      <c r="M839" s="13"/>
      <c r="N839" s="13"/>
      <c r="O839" s="13"/>
      <c r="P839" s="13"/>
    </row>
    <row r="840" customHeight="1" spans="9:16">
      <c r="I840" s="13"/>
      <c r="J840" s="13"/>
      <c r="K840" s="13"/>
      <c r="L840" s="13"/>
      <c r="M840" s="13"/>
      <c r="N840" s="13"/>
      <c r="O840" s="13"/>
      <c r="P840" s="13"/>
    </row>
    <row r="841" customHeight="1" spans="9:16">
      <c r="I841" s="13"/>
      <c r="J841" s="13"/>
      <c r="K841" s="13"/>
      <c r="L841" s="13"/>
      <c r="M841" s="13"/>
      <c r="N841" s="13"/>
      <c r="O841" s="13"/>
      <c r="P841" s="13"/>
    </row>
    <row r="842" customHeight="1" spans="9:16">
      <c r="I842" s="13"/>
      <c r="J842" s="13"/>
      <c r="K842" s="13"/>
      <c r="L842" s="13"/>
      <c r="M842" s="13"/>
      <c r="N842" s="13"/>
      <c r="O842" s="13"/>
      <c r="P842" s="13"/>
    </row>
    <row r="843" customHeight="1" spans="9:16">
      <c r="I843" s="13"/>
      <c r="J843" s="13"/>
      <c r="K843" s="13"/>
      <c r="L843" s="13"/>
      <c r="M843" s="13"/>
      <c r="N843" s="13"/>
      <c r="O843" s="13"/>
      <c r="P843" s="13"/>
    </row>
    <row r="844" customHeight="1" spans="9:16">
      <c r="I844" s="13"/>
      <c r="J844" s="13"/>
      <c r="K844" s="13"/>
      <c r="L844" s="13"/>
      <c r="M844" s="13"/>
      <c r="N844" s="13"/>
      <c r="O844" s="13"/>
      <c r="P844" s="13"/>
    </row>
    <row r="845" customHeight="1" spans="9:16">
      <c r="I845" s="13"/>
      <c r="J845" s="13"/>
      <c r="K845" s="13"/>
      <c r="L845" s="13"/>
      <c r="M845" s="13"/>
      <c r="N845" s="13"/>
      <c r="O845" s="13"/>
      <c r="P845" s="13"/>
    </row>
    <row r="846" customHeight="1" spans="9:16">
      <c r="I846" s="13"/>
      <c r="J846" s="13"/>
      <c r="K846" s="13"/>
      <c r="L846" s="13"/>
      <c r="M846" s="13"/>
      <c r="N846" s="13"/>
      <c r="O846" s="13"/>
      <c r="P846" s="13"/>
    </row>
    <row r="847" customHeight="1" spans="9:16">
      <c r="I847" s="13"/>
      <c r="J847" s="13"/>
      <c r="K847" s="13"/>
      <c r="L847" s="13"/>
      <c r="M847" s="13"/>
      <c r="N847" s="13"/>
      <c r="O847" s="13"/>
      <c r="P847" s="13"/>
    </row>
    <row r="848" customHeight="1" spans="9:16">
      <c r="I848" s="13"/>
      <c r="J848" s="13"/>
      <c r="K848" s="13"/>
      <c r="L848" s="13"/>
      <c r="M848" s="13"/>
      <c r="N848" s="13"/>
      <c r="O848" s="13"/>
      <c r="P848" s="13"/>
    </row>
    <row r="849" customHeight="1" spans="9:16">
      <c r="I849" s="13"/>
      <c r="J849" s="13"/>
      <c r="K849" s="13"/>
      <c r="L849" s="13"/>
      <c r="M849" s="13"/>
      <c r="N849" s="13"/>
      <c r="O849" s="13"/>
      <c r="P849" s="13"/>
    </row>
    <row r="850" customHeight="1" spans="9:16">
      <c r="I850" s="13"/>
      <c r="J850" s="13"/>
      <c r="K850" s="13"/>
      <c r="L850" s="13"/>
      <c r="M850" s="13"/>
      <c r="N850" s="13"/>
      <c r="O850" s="13"/>
      <c r="P850" s="13"/>
    </row>
    <row r="851" customHeight="1" spans="9:16">
      <c r="I851" s="13"/>
      <c r="J851" s="13"/>
      <c r="K851" s="13"/>
      <c r="L851" s="13"/>
      <c r="M851" s="13"/>
      <c r="N851" s="13"/>
      <c r="O851" s="13"/>
      <c r="P851" s="13"/>
    </row>
    <row r="852" customHeight="1" spans="9:16">
      <c r="I852" s="13"/>
      <c r="J852" s="13"/>
      <c r="K852" s="13"/>
      <c r="L852" s="13"/>
      <c r="M852" s="13"/>
      <c r="N852" s="13"/>
      <c r="O852" s="13"/>
      <c r="P852" s="13"/>
    </row>
    <row r="853" customHeight="1" spans="9:16">
      <c r="I853" s="13"/>
      <c r="J853" s="13"/>
      <c r="K853" s="13"/>
      <c r="L853" s="13"/>
      <c r="M853" s="13"/>
      <c r="N853" s="13"/>
      <c r="O853" s="13"/>
      <c r="P853" s="13"/>
    </row>
    <row r="854" customHeight="1" spans="9:16">
      <c r="I854" s="13"/>
      <c r="J854" s="13"/>
      <c r="K854" s="13"/>
      <c r="L854" s="13"/>
      <c r="M854" s="13"/>
      <c r="N854" s="13"/>
      <c r="O854" s="13"/>
      <c r="P854" s="13"/>
    </row>
    <row r="855" customHeight="1" spans="9:16">
      <c r="I855" s="13"/>
      <c r="J855" s="13"/>
      <c r="K855" s="13"/>
      <c r="L855" s="13"/>
      <c r="M855" s="13"/>
      <c r="N855" s="13"/>
      <c r="O855" s="13"/>
      <c r="P855" s="13"/>
    </row>
    <row r="856" customHeight="1" spans="9:16">
      <c r="I856" s="13"/>
      <c r="J856" s="13"/>
      <c r="K856" s="13"/>
      <c r="L856" s="13"/>
      <c r="M856" s="13"/>
      <c r="N856" s="13"/>
      <c r="O856" s="13"/>
      <c r="P856" s="13"/>
    </row>
    <row r="857" customHeight="1" spans="9:16">
      <c r="I857" s="13"/>
      <c r="J857" s="13"/>
      <c r="K857" s="13"/>
      <c r="L857" s="13"/>
      <c r="M857" s="13"/>
      <c r="N857" s="13"/>
      <c r="O857" s="13"/>
      <c r="P857" s="13"/>
    </row>
    <row r="858" customHeight="1" spans="9:16">
      <c r="I858" s="13"/>
      <c r="J858" s="13"/>
      <c r="K858" s="13"/>
      <c r="L858" s="13"/>
      <c r="M858" s="13"/>
      <c r="N858" s="13"/>
      <c r="O858" s="13"/>
      <c r="P858" s="13"/>
    </row>
    <row r="859" customHeight="1" spans="9:16">
      <c r="I859" s="13"/>
      <c r="J859" s="13"/>
      <c r="K859" s="13"/>
      <c r="L859" s="13"/>
      <c r="M859" s="13"/>
      <c r="N859" s="13"/>
      <c r="O859" s="13"/>
      <c r="P859" s="13"/>
    </row>
    <row r="860" customHeight="1" spans="9:16">
      <c r="I860" s="13"/>
      <c r="J860" s="13"/>
      <c r="K860" s="13"/>
      <c r="L860" s="13"/>
      <c r="M860" s="13"/>
      <c r="N860" s="13"/>
      <c r="O860" s="13"/>
      <c r="P860" s="13"/>
    </row>
    <row r="861" customHeight="1" spans="9:16">
      <c r="I861" s="13"/>
      <c r="J861" s="13"/>
      <c r="K861" s="13"/>
      <c r="L861" s="13"/>
      <c r="M861" s="13"/>
      <c r="N861" s="13"/>
      <c r="O861" s="13"/>
      <c r="P861" s="13"/>
    </row>
    <row r="862" customHeight="1" spans="9:16">
      <c r="I862" s="13"/>
      <c r="J862" s="13"/>
      <c r="K862" s="13"/>
      <c r="L862" s="13"/>
      <c r="M862" s="13"/>
      <c r="N862" s="13"/>
      <c r="O862" s="13"/>
      <c r="P862" s="13"/>
    </row>
    <row r="863" customHeight="1" spans="9:16">
      <c r="I863" s="13"/>
      <c r="J863" s="13"/>
      <c r="K863" s="13"/>
      <c r="L863" s="13"/>
      <c r="M863" s="13"/>
      <c r="N863" s="13"/>
      <c r="O863" s="13"/>
      <c r="P863" s="13"/>
    </row>
    <row r="864" customHeight="1" spans="9:16">
      <c r="I864" s="13"/>
      <c r="J864" s="13"/>
      <c r="K864" s="13"/>
      <c r="L864" s="13"/>
      <c r="M864" s="13"/>
      <c r="N864" s="13"/>
      <c r="O864" s="13"/>
      <c r="P864" s="13"/>
    </row>
    <row r="865" customHeight="1" spans="9:16">
      <c r="I865" s="13"/>
      <c r="J865" s="13"/>
      <c r="K865" s="13"/>
      <c r="L865" s="13"/>
      <c r="M865" s="13"/>
      <c r="N865" s="13"/>
      <c r="O865" s="13"/>
      <c r="P865" s="13"/>
    </row>
    <row r="866" customHeight="1" spans="9:16">
      <c r="I866" s="13"/>
      <c r="J866" s="13"/>
      <c r="K866" s="13"/>
      <c r="L866" s="13"/>
      <c r="M866" s="13"/>
      <c r="N866" s="13"/>
      <c r="O866" s="13"/>
      <c r="P866" s="13"/>
    </row>
    <row r="867" customHeight="1" spans="9:16">
      <c r="I867" s="13"/>
      <c r="J867" s="13"/>
      <c r="K867" s="13"/>
      <c r="L867" s="13"/>
      <c r="M867" s="13"/>
      <c r="N867" s="13"/>
      <c r="O867" s="13"/>
      <c r="P867" s="13"/>
    </row>
    <row r="868" customHeight="1" spans="9:16">
      <c r="I868" s="13"/>
      <c r="J868" s="13"/>
      <c r="K868" s="13"/>
      <c r="L868" s="13"/>
      <c r="M868" s="13"/>
      <c r="N868" s="13"/>
      <c r="O868" s="13"/>
      <c r="P868" s="13"/>
    </row>
    <row r="869" customHeight="1" spans="9:16">
      <c r="I869" s="13"/>
      <c r="J869" s="13"/>
      <c r="K869" s="13"/>
      <c r="L869" s="13"/>
      <c r="M869" s="13"/>
      <c r="N869" s="13"/>
      <c r="O869" s="13"/>
      <c r="P869" s="13"/>
    </row>
    <row r="870" customHeight="1" spans="9:16">
      <c r="I870" s="13"/>
      <c r="J870" s="13"/>
      <c r="K870" s="13"/>
      <c r="L870" s="13"/>
      <c r="M870" s="13"/>
      <c r="N870" s="13"/>
      <c r="O870" s="13"/>
      <c r="P870" s="13"/>
    </row>
    <row r="871" customHeight="1" spans="9:16">
      <c r="I871" s="13"/>
      <c r="J871" s="13"/>
      <c r="K871" s="13"/>
      <c r="L871" s="13"/>
      <c r="M871" s="13"/>
      <c r="N871" s="13"/>
      <c r="O871" s="13"/>
      <c r="P871" s="13"/>
    </row>
    <row r="872" customHeight="1" spans="9:16">
      <c r="I872" s="13"/>
      <c r="J872" s="13"/>
      <c r="K872" s="13"/>
      <c r="L872" s="13"/>
      <c r="M872" s="13"/>
      <c r="N872" s="13"/>
      <c r="O872" s="13"/>
      <c r="P872" s="13"/>
    </row>
    <row r="873" customHeight="1" spans="9:16">
      <c r="I873" s="13"/>
      <c r="J873" s="13"/>
      <c r="K873" s="13"/>
      <c r="L873" s="13"/>
      <c r="M873" s="13"/>
      <c r="N873" s="13"/>
      <c r="O873" s="13"/>
      <c r="P873" s="13"/>
    </row>
    <row r="874" customHeight="1" spans="9:16">
      <c r="I874" s="13"/>
      <c r="J874" s="13"/>
      <c r="K874" s="13"/>
      <c r="L874" s="13"/>
      <c r="M874" s="13"/>
      <c r="N874" s="13"/>
      <c r="O874" s="13"/>
      <c r="P874" s="13"/>
    </row>
    <row r="875" customHeight="1" spans="9:16">
      <c r="I875" s="13"/>
      <c r="J875" s="13"/>
      <c r="K875" s="13"/>
      <c r="L875" s="13"/>
      <c r="M875" s="13"/>
      <c r="N875" s="13"/>
      <c r="O875" s="13"/>
      <c r="P875" s="13"/>
    </row>
    <row r="876" customHeight="1" spans="9:16">
      <c r="I876" s="13"/>
      <c r="J876" s="13"/>
      <c r="K876" s="13"/>
      <c r="L876" s="13"/>
      <c r="M876" s="13"/>
      <c r="N876" s="13"/>
      <c r="O876" s="13"/>
      <c r="P876" s="13"/>
    </row>
    <row r="877" customHeight="1" spans="9:16">
      <c r="I877" s="13"/>
      <c r="J877" s="13"/>
      <c r="K877" s="13"/>
      <c r="L877" s="13"/>
      <c r="M877" s="13"/>
      <c r="N877" s="13"/>
      <c r="O877" s="13"/>
      <c r="P877" s="13"/>
    </row>
    <row r="878" customHeight="1" spans="9:16">
      <c r="I878" s="13"/>
      <c r="J878" s="13"/>
      <c r="K878" s="13"/>
      <c r="L878" s="13"/>
      <c r="M878" s="13"/>
      <c r="N878" s="13"/>
      <c r="O878" s="13"/>
      <c r="P878" s="13"/>
    </row>
    <row r="879" customHeight="1" spans="9:16">
      <c r="I879" s="13"/>
      <c r="J879" s="13"/>
      <c r="K879" s="13"/>
      <c r="L879" s="13"/>
      <c r="M879" s="13"/>
      <c r="N879" s="13"/>
      <c r="O879" s="13"/>
      <c r="P879" s="13"/>
    </row>
    <row r="880" customHeight="1" spans="9:16">
      <c r="I880" s="13"/>
      <c r="J880" s="13"/>
      <c r="K880" s="13"/>
      <c r="L880" s="13"/>
      <c r="M880" s="13"/>
      <c r="N880" s="13"/>
      <c r="O880" s="13"/>
      <c r="P880" s="13"/>
    </row>
    <row r="881" customHeight="1" spans="9:16">
      <c r="I881" s="13"/>
      <c r="J881" s="13"/>
      <c r="K881" s="13"/>
      <c r="L881" s="13"/>
      <c r="M881" s="13"/>
      <c r="N881" s="13"/>
      <c r="O881" s="13"/>
      <c r="P881" s="13"/>
    </row>
    <row r="882" customHeight="1" spans="9:16">
      <c r="I882" s="13"/>
      <c r="J882" s="13"/>
      <c r="K882" s="13"/>
      <c r="L882" s="13"/>
      <c r="M882" s="13"/>
      <c r="N882" s="13"/>
      <c r="O882" s="13"/>
      <c r="P882" s="13"/>
    </row>
    <row r="883" customHeight="1" spans="9:16">
      <c r="I883" s="13"/>
      <c r="J883" s="13"/>
      <c r="K883" s="13"/>
      <c r="L883" s="13"/>
      <c r="M883" s="13"/>
      <c r="N883" s="13"/>
      <c r="O883" s="13"/>
      <c r="P883" s="13"/>
    </row>
    <row r="884" customHeight="1" spans="9:16">
      <c r="I884" s="13"/>
      <c r="J884" s="13"/>
      <c r="K884" s="13"/>
      <c r="L884" s="13"/>
      <c r="M884" s="13"/>
      <c r="N884" s="13"/>
      <c r="O884" s="13"/>
      <c r="P884" s="13"/>
    </row>
    <row r="885" customHeight="1" spans="9:16">
      <c r="I885" s="13"/>
      <c r="J885" s="13"/>
      <c r="K885" s="13"/>
      <c r="L885" s="13"/>
      <c r="M885" s="13"/>
      <c r="N885" s="13"/>
      <c r="O885" s="13"/>
      <c r="P885" s="13"/>
    </row>
    <row r="886" customHeight="1" spans="9:16">
      <c r="I886" s="13"/>
      <c r="J886" s="13"/>
      <c r="K886" s="13"/>
      <c r="L886" s="13"/>
      <c r="M886" s="13"/>
      <c r="N886" s="13"/>
      <c r="O886" s="13"/>
      <c r="P886" s="13"/>
    </row>
    <row r="887" customHeight="1" spans="9:16">
      <c r="I887" s="13"/>
      <c r="J887" s="13"/>
      <c r="K887" s="13"/>
      <c r="L887" s="13"/>
      <c r="M887" s="13"/>
      <c r="N887" s="13"/>
      <c r="O887" s="13"/>
      <c r="P887" s="13"/>
    </row>
    <row r="888" customHeight="1" spans="9:16">
      <c r="I888" s="13"/>
      <c r="J888" s="13"/>
      <c r="K888" s="13"/>
      <c r="L888" s="13"/>
      <c r="M888" s="13"/>
      <c r="N888" s="13"/>
      <c r="O888" s="13"/>
      <c r="P888" s="13"/>
    </row>
    <row r="889" customHeight="1" spans="9:16">
      <c r="I889" s="13"/>
      <c r="J889" s="13"/>
      <c r="K889" s="13"/>
      <c r="L889" s="13"/>
      <c r="M889" s="13"/>
      <c r="N889" s="13"/>
      <c r="O889" s="13"/>
      <c r="P889" s="13"/>
    </row>
    <row r="890" customHeight="1" spans="9:16">
      <c r="I890" s="13"/>
      <c r="J890" s="13"/>
      <c r="K890" s="13"/>
      <c r="L890" s="13"/>
      <c r="M890" s="13"/>
      <c r="N890" s="13"/>
      <c r="O890" s="13"/>
      <c r="P890" s="13"/>
    </row>
    <row r="891" customHeight="1" spans="9:16">
      <c r="I891" s="13"/>
      <c r="J891" s="13"/>
      <c r="K891" s="13"/>
      <c r="L891" s="13"/>
      <c r="M891" s="13"/>
      <c r="N891" s="13"/>
      <c r="O891" s="13"/>
      <c r="P891" s="13"/>
    </row>
    <row r="892" customHeight="1" spans="9:16">
      <c r="I892" s="13"/>
      <c r="J892" s="13"/>
      <c r="K892" s="13"/>
      <c r="L892" s="13"/>
      <c r="M892" s="13"/>
      <c r="N892" s="13"/>
      <c r="O892" s="13"/>
      <c r="P892" s="13"/>
    </row>
    <row r="893" customHeight="1" spans="9:16">
      <c r="I893" s="13"/>
      <c r="J893" s="13"/>
      <c r="K893" s="13"/>
      <c r="L893" s="13"/>
      <c r="M893" s="13"/>
      <c r="N893" s="13"/>
      <c r="O893" s="13"/>
      <c r="P893" s="13"/>
    </row>
    <row r="894" customHeight="1" spans="9:16">
      <c r="I894" s="13"/>
      <c r="J894" s="13"/>
      <c r="K894" s="13"/>
      <c r="L894" s="13"/>
      <c r="M894" s="13"/>
      <c r="N894" s="13"/>
      <c r="O894" s="13"/>
      <c r="P894" s="13"/>
    </row>
    <row r="895" customHeight="1" spans="9:16">
      <c r="I895" s="13"/>
      <c r="J895" s="13"/>
      <c r="K895" s="13"/>
      <c r="L895" s="13"/>
      <c r="M895" s="13"/>
      <c r="N895" s="13"/>
      <c r="O895" s="13"/>
      <c r="P895" s="13"/>
    </row>
    <row r="896" customHeight="1" spans="9:16">
      <c r="I896" s="13"/>
      <c r="J896" s="13"/>
      <c r="K896" s="13"/>
      <c r="L896" s="13"/>
      <c r="M896" s="13"/>
      <c r="N896" s="13"/>
      <c r="O896" s="13"/>
      <c r="P896" s="13"/>
    </row>
    <row r="897" customHeight="1" spans="9:16">
      <c r="I897" s="13"/>
      <c r="J897" s="13"/>
      <c r="K897" s="13"/>
      <c r="L897" s="13"/>
      <c r="M897" s="13"/>
      <c r="N897" s="13"/>
      <c r="O897" s="13"/>
      <c r="P897" s="13"/>
    </row>
    <row r="898" customHeight="1" spans="9:16">
      <c r="I898" s="13"/>
      <c r="J898" s="13"/>
      <c r="K898" s="13"/>
      <c r="L898" s="13"/>
      <c r="M898" s="13"/>
      <c r="N898" s="13"/>
      <c r="O898" s="13"/>
      <c r="P898" s="13"/>
    </row>
    <row r="899" customHeight="1" spans="9:16">
      <c r="I899" s="13"/>
      <c r="J899" s="13"/>
      <c r="K899" s="13"/>
      <c r="L899" s="13"/>
      <c r="M899" s="13"/>
      <c r="N899" s="13"/>
      <c r="O899" s="13"/>
      <c r="P899" s="13"/>
    </row>
    <row r="900" customHeight="1" spans="9:16">
      <c r="I900" s="13"/>
      <c r="J900" s="13"/>
      <c r="K900" s="13"/>
      <c r="L900" s="13"/>
      <c r="M900" s="13"/>
      <c r="N900" s="13"/>
      <c r="O900" s="13"/>
      <c r="P900" s="13"/>
    </row>
    <row r="901" customHeight="1" spans="9:16">
      <c r="I901" s="13"/>
      <c r="J901" s="13"/>
      <c r="K901" s="13"/>
      <c r="L901" s="13"/>
      <c r="M901" s="13"/>
      <c r="N901" s="13"/>
      <c r="O901" s="13"/>
      <c r="P901" s="13"/>
    </row>
    <row r="902" customHeight="1" spans="9:16">
      <c r="I902" s="13"/>
      <c r="J902" s="13"/>
      <c r="K902" s="13"/>
      <c r="L902" s="13"/>
      <c r="M902" s="13"/>
      <c r="N902" s="13"/>
      <c r="O902" s="13"/>
      <c r="P902" s="13"/>
    </row>
    <row r="903" customHeight="1" spans="9:16">
      <c r="I903" s="13"/>
      <c r="J903" s="13"/>
      <c r="K903" s="13"/>
      <c r="L903" s="13"/>
      <c r="M903" s="13"/>
      <c r="N903" s="13"/>
      <c r="O903" s="13"/>
      <c r="P903" s="13"/>
    </row>
    <row r="904" customHeight="1" spans="9:16">
      <c r="I904" s="13"/>
      <c r="J904" s="13"/>
      <c r="K904" s="13"/>
      <c r="L904" s="13"/>
      <c r="M904" s="13"/>
      <c r="N904" s="13"/>
      <c r="O904" s="13"/>
      <c r="P904" s="13"/>
    </row>
    <row r="905" customHeight="1" spans="9:16">
      <c r="I905" s="13"/>
      <c r="J905" s="13"/>
      <c r="K905" s="13"/>
      <c r="L905" s="13"/>
      <c r="M905" s="13"/>
      <c r="N905" s="13"/>
      <c r="O905" s="13"/>
      <c r="P905" s="13"/>
    </row>
    <row r="906" customHeight="1" spans="9:16">
      <c r="I906" s="13"/>
      <c r="J906" s="13"/>
      <c r="K906" s="13"/>
      <c r="L906" s="13"/>
      <c r="M906" s="13"/>
      <c r="N906" s="13"/>
      <c r="O906" s="13"/>
      <c r="P906" s="13"/>
    </row>
    <row r="907" customHeight="1" spans="9:16">
      <c r="I907" s="13"/>
      <c r="J907" s="13"/>
      <c r="K907" s="13"/>
      <c r="L907" s="13"/>
      <c r="M907" s="13"/>
      <c r="N907" s="13"/>
      <c r="O907" s="13"/>
      <c r="P907" s="13"/>
    </row>
    <row r="908" customHeight="1" spans="9:16">
      <c r="I908" s="13"/>
      <c r="J908" s="13"/>
      <c r="K908" s="13"/>
      <c r="L908" s="13"/>
      <c r="M908" s="13"/>
      <c r="N908" s="13"/>
      <c r="O908" s="13"/>
      <c r="P908" s="13"/>
    </row>
    <row r="909" customHeight="1" spans="9:16">
      <c r="I909" s="13"/>
      <c r="J909" s="13"/>
      <c r="K909" s="13"/>
      <c r="L909" s="13"/>
      <c r="M909" s="13"/>
      <c r="N909" s="13"/>
      <c r="O909" s="13"/>
      <c r="P909" s="13"/>
    </row>
    <row r="910" customHeight="1" spans="9:16">
      <c r="I910" s="13"/>
      <c r="J910" s="13"/>
      <c r="K910" s="13"/>
      <c r="L910" s="13"/>
      <c r="M910" s="13"/>
      <c r="N910" s="13"/>
      <c r="O910" s="13"/>
      <c r="P910" s="13"/>
    </row>
    <row r="911" customHeight="1" spans="9:16">
      <c r="I911" s="13"/>
      <c r="J911" s="13"/>
      <c r="K911" s="13"/>
      <c r="L911" s="13"/>
      <c r="M911" s="13"/>
      <c r="N911" s="13"/>
      <c r="O911" s="13"/>
      <c r="P911" s="13"/>
    </row>
    <row r="912" customHeight="1" spans="9:16">
      <c r="I912" s="13"/>
      <c r="J912" s="13"/>
      <c r="K912" s="13"/>
      <c r="L912" s="13"/>
      <c r="M912" s="13"/>
      <c r="N912" s="13"/>
      <c r="O912" s="13"/>
      <c r="P912" s="13"/>
    </row>
    <row r="913" customHeight="1" spans="9:16">
      <c r="I913" s="13"/>
      <c r="J913" s="13"/>
      <c r="K913" s="13"/>
      <c r="L913" s="13"/>
      <c r="M913" s="13"/>
      <c r="N913" s="13"/>
      <c r="O913" s="13"/>
      <c r="P913" s="13"/>
    </row>
    <row r="914" customHeight="1" spans="9:16">
      <c r="I914" s="13"/>
      <c r="J914" s="13"/>
      <c r="K914" s="13"/>
      <c r="L914" s="13"/>
      <c r="M914" s="13"/>
      <c r="N914" s="13"/>
      <c r="O914" s="13"/>
      <c r="P914" s="13"/>
    </row>
    <row r="915" customHeight="1" spans="9:16">
      <c r="I915" s="13"/>
      <c r="J915" s="13"/>
      <c r="K915" s="13"/>
      <c r="L915" s="13"/>
      <c r="M915" s="13"/>
      <c r="N915" s="13"/>
      <c r="O915" s="13"/>
      <c r="P915" s="13"/>
    </row>
    <row r="916" customHeight="1" spans="9:16">
      <c r="I916" s="13"/>
      <c r="J916" s="13"/>
      <c r="K916" s="13"/>
      <c r="L916" s="13"/>
      <c r="M916" s="13"/>
      <c r="N916" s="13"/>
      <c r="O916" s="13"/>
      <c r="P916" s="13"/>
    </row>
    <row r="917" customHeight="1" spans="9:16">
      <c r="I917" s="13"/>
      <c r="J917" s="13"/>
      <c r="K917" s="13"/>
      <c r="L917" s="13"/>
      <c r="M917" s="13"/>
      <c r="N917" s="13"/>
      <c r="O917" s="13"/>
      <c r="P917" s="13"/>
    </row>
    <row r="918" customHeight="1" spans="9:16">
      <c r="I918" s="13"/>
      <c r="J918" s="13"/>
      <c r="K918" s="13"/>
      <c r="L918" s="13"/>
      <c r="M918" s="13"/>
      <c r="N918" s="13"/>
      <c r="O918" s="13"/>
      <c r="P918" s="13"/>
    </row>
    <row r="919" customHeight="1" spans="9:16">
      <c r="I919" s="13"/>
      <c r="J919" s="13"/>
      <c r="K919" s="13"/>
      <c r="L919" s="13"/>
      <c r="M919" s="13"/>
      <c r="N919" s="13"/>
      <c r="O919" s="13"/>
      <c r="P919" s="13"/>
    </row>
    <row r="920" customHeight="1" spans="9:16">
      <c r="I920" s="13"/>
      <c r="J920" s="13"/>
      <c r="K920" s="13"/>
      <c r="L920" s="13"/>
      <c r="M920" s="13"/>
      <c r="N920" s="13"/>
      <c r="O920" s="13"/>
      <c r="P920" s="13"/>
    </row>
    <row r="921" customHeight="1" spans="9:16">
      <c r="I921" s="13"/>
      <c r="J921" s="13"/>
      <c r="K921" s="13"/>
      <c r="L921" s="13"/>
      <c r="M921" s="13"/>
      <c r="N921" s="13"/>
      <c r="O921" s="13"/>
      <c r="P921" s="13"/>
    </row>
    <row r="922" customHeight="1" spans="9:16">
      <c r="I922" s="13"/>
      <c r="J922" s="13"/>
      <c r="K922" s="13"/>
      <c r="L922" s="13"/>
      <c r="M922" s="13"/>
      <c r="N922" s="13"/>
      <c r="O922" s="13"/>
      <c r="P922" s="13"/>
    </row>
    <row r="923" customHeight="1" spans="9:16">
      <c r="I923" s="13"/>
      <c r="J923" s="13"/>
      <c r="K923" s="13"/>
      <c r="L923" s="13"/>
      <c r="M923" s="13"/>
      <c r="N923" s="13"/>
      <c r="O923" s="13"/>
      <c r="P923" s="13"/>
    </row>
    <row r="924" customHeight="1" spans="9:16">
      <c r="I924" s="13"/>
      <c r="J924" s="13"/>
      <c r="K924" s="13"/>
      <c r="L924" s="13"/>
      <c r="M924" s="13"/>
      <c r="N924" s="13"/>
      <c r="O924" s="13"/>
      <c r="P924" s="13"/>
    </row>
    <row r="925" customHeight="1" spans="9:16">
      <c r="I925" s="13"/>
      <c r="J925" s="13"/>
      <c r="K925" s="13"/>
      <c r="L925" s="13"/>
      <c r="M925" s="13"/>
      <c r="N925" s="13"/>
      <c r="O925" s="13"/>
      <c r="P925" s="13"/>
    </row>
    <row r="926" customHeight="1" spans="9:16">
      <c r="I926" s="13"/>
      <c r="J926" s="13"/>
      <c r="K926" s="13"/>
      <c r="L926" s="13"/>
      <c r="M926" s="13"/>
      <c r="N926" s="13"/>
      <c r="O926" s="13"/>
      <c r="P926" s="13"/>
    </row>
    <row r="927" customHeight="1" spans="9:16">
      <c r="I927" s="13"/>
      <c r="J927" s="13"/>
      <c r="K927" s="13"/>
      <c r="L927" s="13"/>
      <c r="M927" s="13"/>
      <c r="N927" s="13"/>
      <c r="O927" s="13"/>
      <c r="P927" s="13"/>
    </row>
    <row r="928" customHeight="1" spans="9:16">
      <c r="I928" s="13"/>
      <c r="J928" s="13"/>
      <c r="K928" s="13"/>
      <c r="L928" s="13"/>
      <c r="M928" s="13"/>
      <c r="N928" s="13"/>
      <c r="O928" s="13"/>
      <c r="P928" s="13"/>
    </row>
    <row r="929" customHeight="1" spans="9:16">
      <c r="I929" s="13"/>
      <c r="J929" s="13"/>
      <c r="K929" s="13"/>
      <c r="L929" s="13"/>
      <c r="M929" s="13"/>
      <c r="N929" s="13"/>
      <c r="O929" s="13"/>
      <c r="P929" s="13"/>
    </row>
    <row r="930" customHeight="1" spans="9:16">
      <c r="I930" s="13"/>
      <c r="J930" s="13"/>
      <c r="K930" s="13"/>
      <c r="L930" s="13"/>
      <c r="M930" s="13"/>
      <c r="N930" s="13"/>
      <c r="O930" s="13"/>
      <c r="P930" s="13"/>
    </row>
    <row r="931" customHeight="1" spans="9:16">
      <c r="I931" s="13"/>
      <c r="J931" s="13"/>
      <c r="K931" s="13"/>
      <c r="L931" s="13"/>
      <c r="M931" s="13"/>
      <c r="N931" s="13"/>
      <c r="O931" s="13"/>
      <c r="P931" s="13"/>
    </row>
    <row r="932" customHeight="1" spans="9:16">
      <c r="I932" s="13"/>
      <c r="J932" s="13"/>
      <c r="K932" s="13"/>
      <c r="L932" s="13"/>
      <c r="M932" s="13"/>
      <c r="N932" s="13"/>
      <c r="O932" s="13"/>
      <c r="P932" s="13"/>
    </row>
    <row r="933" customHeight="1" spans="9:16">
      <c r="I933" s="13"/>
      <c r="J933" s="13"/>
      <c r="K933" s="13"/>
      <c r="L933" s="13"/>
      <c r="M933" s="13"/>
      <c r="N933" s="13"/>
      <c r="O933" s="13"/>
      <c r="P933" s="13"/>
    </row>
    <row r="934" customHeight="1" spans="9:16">
      <c r="I934" s="13"/>
      <c r="J934" s="13"/>
      <c r="K934" s="13"/>
      <c r="L934" s="13"/>
      <c r="M934" s="13"/>
      <c r="N934" s="13"/>
      <c r="O934" s="13"/>
      <c r="P934" s="13"/>
    </row>
    <row r="935" customHeight="1" spans="9:16">
      <c r="I935" s="13"/>
      <c r="J935" s="13"/>
      <c r="K935" s="13"/>
      <c r="L935" s="13"/>
      <c r="M935" s="13"/>
      <c r="N935" s="13"/>
      <c r="O935" s="13"/>
      <c r="P935" s="13"/>
    </row>
    <row r="936" customHeight="1" spans="9:16">
      <c r="I936" s="13"/>
      <c r="J936" s="13"/>
      <c r="K936" s="13"/>
      <c r="L936" s="13"/>
      <c r="M936" s="13"/>
      <c r="N936" s="13"/>
      <c r="O936" s="13"/>
      <c r="P936" s="13"/>
    </row>
    <row r="937" customHeight="1" spans="9:16">
      <c r="I937" s="13"/>
      <c r="J937" s="13"/>
      <c r="K937" s="13"/>
      <c r="L937" s="13"/>
      <c r="M937" s="13"/>
      <c r="N937" s="13"/>
      <c r="O937" s="13"/>
      <c r="P937" s="13"/>
    </row>
    <row r="938" customHeight="1" spans="9:16">
      <c r="I938" s="13"/>
      <c r="J938" s="13"/>
      <c r="K938" s="13"/>
      <c r="L938" s="13"/>
      <c r="M938" s="13"/>
      <c r="N938" s="13"/>
      <c r="O938" s="13"/>
      <c r="P938" s="13"/>
    </row>
    <row r="939" customHeight="1" spans="9:16">
      <c r="I939" s="13"/>
      <c r="J939" s="13"/>
      <c r="K939" s="13"/>
      <c r="L939" s="13"/>
      <c r="M939" s="13"/>
      <c r="N939" s="13"/>
      <c r="O939" s="13"/>
      <c r="P939" s="13"/>
    </row>
    <row r="940" customHeight="1" spans="9:16">
      <c r="I940" s="13"/>
      <c r="J940" s="13"/>
      <c r="K940" s="13"/>
      <c r="L940" s="13"/>
      <c r="M940" s="13"/>
      <c r="N940" s="13"/>
      <c r="O940" s="13"/>
      <c r="P940" s="13"/>
    </row>
    <row r="941" customHeight="1" spans="9:16">
      <c r="I941" s="13"/>
      <c r="J941" s="13"/>
      <c r="K941" s="13"/>
      <c r="L941" s="13"/>
      <c r="M941" s="13"/>
      <c r="N941" s="13"/>
      <c r="O941" s="13"/>
      <c r="P941" s="13"/>
    </row>
    <row r="942" customHeight="1" spans="9:16">
      <c r="I942" s="13"/>
      <c r="J942" s="13"/>
      <c r="K942" s="13"/>
      <c r="L942" s="13"/>
      <c r="M942" s="13"/>
      <c r="N942" s="13"/>
      <c r="O942" s="13"/>
      <c r="P942" s="13"/>
    </row>
    <row r="943" customHeight="1" spans="9:16">
      <c r="I943" s="13"/>
      <c r="J943" s="13"/>
      <c r="K943" s="13"/>
      <c r="L943" s="13"/>
      <c r="M943" s="13"/>
      <c r="N943" s="13"/>
      <c r="O943" s="13"/>
      <c r="P943" s="13"/>
    </row>
    <row r="944" customHeight="1" spans="9:16">
      <c r="I944" s="13"/>
      <c r="J944" s="13"/>
      <c r="K944" s="13"/>
      <c r="L944" s="13"/>
      <c r="M944" s="13"/>
      <c r="N944" s="13"/>
      <c r="O944" s="13"/>
      <c r="P944" s="13"/>
    </row>
    <row r="945" customHeight="1" spans="9:16">
      <c r="I945" s="13"/>
      <c r="J945" s="13"/>
      <c r="K945" s="13"/>
      <c r="L945" s="13"/>
      <c r="M945" s="13"/>
      <c r="N945" s="13"/>
      <c r="O945" s="13"/>
      <c r="P945" s="13"/>
    </row>
    <row r="946" customHeight="1" spans="9:16">
      <c r="I946" s="13"/>
      <c r="J946" s="13"/>
      <c r="K946" s="13"/>
      <c r="L946" s="13"/>
      <c r="M946" s="13"/>
      <c r="N946" s="13"/>
      <c r="O946" s="13"/>
      <c r="P946" s="13"/>
    </row>
    <row r="947" customHeight="1" spans="9:16">
      <c r="I947" s="13"/>
      <c r="J947" s="13"/>
      <c r="K947" s="13"/>
      <c r="L947" s="13"/>
      <c r="M947" s="13"/>
      <c r="N947" s="13"/>
      <c r="O947" s="13"/>
      <c r="P947" s="13"/>
    </row>
    <row r="948" customHeight="1" spans="9:16">
      <c r="I948" s="13"/>
      <c r="J948" s="13"/>
      <c r="K948" s="13"/>
      <c r="L948" s="13"/>
      <c r="M948" s="13"/>
      <c r="N948" s="13"/>
      <c r="O948" s="13"/>
      <c r="P948" s="13"/>
    </row>
    <row r="949" customHeight="1" spans="9:16">
      <c r="I949" s="13"/>
      <c r="J949" s="13"/>
      <c r="K949" s="13"/>
      <c r="L949" s="13"/>
      <c r="M949" s="13"/>
      <c r="N949" s="13"/>
      <c r="O949" s="13"/>
      <c r="P949" s="13"/>
    </row>
    <row r="950" customHeight="1" spans="9:16">
      <c r="I950" s="13"/>
      <c r="J950" s="13"/>
      <c r="K950" s="13"/>
      <c r="L950" s="13"/>
      <c r="M950" s="13"/>
      <c r="N950" s="13"/>
      <c r="O950" s="13"/>
      <c r="P950" s="13"/>
    </row>
    <row r="951" customHeight="1" spans="9:16">
      <c r="I951" s="13"/>
      <c r="J951" s="13"/>
      <c r="K951" s="13"/>
      <c r="L951" s="13"/>
      <c r="M951" s="13"/>
      <c r="N951" s="13"/>
      <c r="O951" s="13"/>
      <c r="P951" s="13"/>
    </row>
    <row r="952" customHeight="1" spans="9:16">
      <c r="I952" s="13"/>
      <c r="J952" s="13"/>
      <c r="K952" s="13"/>
      <c r="L952" s="13"/>
      <c r="M952" s="13"/>
      <c r="N952" s="13"/>
      <c r="O952" s="13"/>
      <c r="P952" s="13"/>
    </row>
    <row r="953" customHeight="1" spans="9:16">
      <c r="I953" s="13"/>
      <c r="J953" s="13"/>
      <c r="K953" s="13"/>
      <c r="L953" s="13"/>
      <c r="M953" s="13"/>
      <c r="N953" s="13"/>
      <c r="O953" s="13"/>
      <c r="P953" s="13"/>
    </row>
    <row r="954" customHeight="1" spans="9:16">
      <c r="I954" s="13"/>
      <c r="J954" s="13"/>
      <c r="K954" s="13"/>
      <c r="L954" s="13"/>
      <c r="M954" s="13"/>
      <c r="N954" s="13"/>
      <c r="O954" s="13"/>
      <c r="P954" s="13"/>
    </row>
    <row r="955" customHeight="1" spans="9:16">
      <c r="I955" s="13"/>
      <c r="J955" s="13"/>
      <c r="K955" s="13"/>
      <c r="L955" s="13"/>
      <c r="M955" s="13"/>
      <c r="N955" s="13"/>
      <c r="O955" s="13"/>
      <c r="P955" s="13"/>
    </row>
    <row r="956" customHeight="1" spans="9:16">
      <c r="I956" s="13"/>
      <c r="J956" s="13"/>
      <c r="K956" s="13"/>
      <c r="L956" s="13"/>
      <c r="M956" s="13"/>
      <c r="N956" s="13"/>
      <c r="O956" s="13"/>
      <c r="P956" s="13"/>
    </row>
    <row r="957" customHeight="1" spans="9:16">
      <c r="I957" s="13"/>
      <c r="J957" s="13"/>
      <c r="K957" s="13"/>
      <c r="L957" s="13"/>
      <c r="M957" s="13"/>
      <c r="N957" s="13"/>
      <c r="O957" s="13"/>
      <c r="P957" s="13"/>
    </row>
    <row r="958" customHeight="1" spans="9:16">
      <c r="I958" s="13"/>
      <c r="J958" s="13"/>
      <c r="K958" s="13"/>
      <c r="L958" s="13"/>
      <c r="M958" s="13"/>
      <c r="N958" s="13"/>
      <c r="O958" s="13"/>
      <c r="P958" s="13"/>
    </row>
    <row r="959" customHeight="1" spans="9:16">
      <c r="I959" s="13"/>
      <c r="J959" s="13"/>
      <c r="K959" s="13"/>
      <c r="L959" s="13"/>
      <c r="M959" s="13"/>
      <c r="N959" s="13"/>
      <c r="O959" s="13"/>
      <c r="P959" s="13"/>
    </row>
    <row r="960" customHeight="1" spans="9:16">
      <c r="I960" s="13"/>
      <c r="J960" s="13"/>
      <c r="K960" s="13"/>
      <c r="L960" s="13"/>
      <c r="M960" s="13"/>
      <c r="N960" s="13"/>
      <c r="O960" s="13"/>
      <c r="P960" s="13"/>
    </row>
    <row r="961" customHeight="1" spans="9:16">
      <c r="I961" s="13"/>
      <c r="J961" s="13"/>
      <c r="K961" s="13"/>
      <c r="L961" s="13"/>
      <c r="M961" s="13"/>
      <c r="N961" s="13"/>
      <c r="O961" s="13"/>
      <c r="P961" s="13"/>
    </row>
    <row r="962" customHeight="1" spans="9:16">
      <c r="I962" s="13"/>
      <c r="J962" s="13"/>
      <c r="K962" s="13"/>
      <c r="L962" s="13"/>
      <c r="M962" s="13"/>
      <c r="N962" s="13"/>
      <c r="O962" s="13"/>
      <c r="P962" s="13"/>
    </row>
    <row r="963" customHeight="1" spans="9:16">
      <c r="I963" s="13"/>
      <c r="J963" s="13"/>
      <c r="K963" s="13"/>
      <c r="L963" s="13"/>
      <c r="M963" s="13"/>
      <c r="N963" s="13"/>
      <c r="O963" s="13"/>
      <c r="P963" s="13"/>
    </row>
    <row r="964" customHeight="1" spans="9:16">
      <c r="I964" s="13"/>
      <c r="J964" s="13"/>
      <c r="K964" s="13"/>
      <c r="L964" s="13"/>
      <c r="M964" s="13"/>
      <c r="N964" s="13"/>
      <c r="O964" s="13"/>
      <c r="P964" s="13"/>
    </row>
    <row r="965" customHeight="1" spans="9:16">
      <c r="I965" s="13"/>
      <c r="J965" s="13"/>
      <c r="K965" s="13"/>
      <c r="L965" s="13"/>
      <c r="M965" s="13"/>
      <c r="N965" s="13"/>
      <c r="O965" s="13"/>
      <c r="P965" s="13"/>
    </row>
    <row r="966" customHeight="1" spans="9:16">
      <c r="I966" s="13"/>
      <c r="J966" s="13"/>
      <c r="K966" s="13"/>
      <c r="L966" s="13"/>
      <c r="M966" s="13"/>
      <c r="N966" s="13"/>
      <c r="O966" s="13"/>
      <c r="P966" s="13"/>
    </row>
    <row r="967" customHeight="1" spans="9:16">
      <c r="I967" s="13"/>
      <c r="J967" s="13"/>
      <c r="K967" s="13"/>
      <c r="L967" s="13"/>
      <c r="M967" s="13"/>
      <c r="N967" s="13"/>
      <c r="O967" s="13"/>
      <c r="P967" s="13"/>
    </row>
    <row r="968" customHeight="1" spans="9:16">
      <c r="I968" s="13"/>
      <c r="J968" s="13"/>
      <c r="K968" s="13"/>
      <c r="L968" s="13"/>
      <c r="M968" s="13"/>
      <c r="N968" s="13"/>
      <c r="O968" s="13"/>
      <c r="P968" s="13"/>
    </row>
    <row r="969" customHeight="1" spans="9:16">
      <c r="I969" s="13"/>
      <c r="J969" s="13"/>
      <c r="K969" s="13"/>
      <c r="L969" s="13"/>
      <c r="M969" s="13"/>
      <c r="N969" s="13"/>
      <c r="O969" s="13"/>
      <c r="P969" s="13"/>
    </row>
    <row r="970" customHeight="1" spans="9:16">
      <c r="I970" s="13"/>
      <c r="J970" s="13"/>
      <c r="K970" s="13"/>
      <c r="L970" s="13"/>
      <c r="M970" s="13"/>
      <c r="N970" s="13"/>
      <c r="O970" s="13"/>
      <c r="P970" s="13"/>
    </row>
    <row r="971" customHeight="1" spans="9:16">
      <c r="I971" s="13"/>
      <c r="J971" s="13"/>
      <c r="K971" s="13"/>
      <c r="L971" s="13"/>
      <c r="M971" s="13"/>
      <c r="N971" s="13"/>
      <c r="O971" s="13"/>
      <c r="P971" s="13"/>
    </row>
    <row r="972" customHeight="1" spans="9:16">
      <c r="I972" s="13"/>
      <c r="J972" s="13"/>
      <c r="K972" s="13"/>
      <c r="L972" s="13"/>
      <c r="M972" s="13"/>
      <c r="N972" s="13"/>
      <c r="O972" s="13"/>
      <c r="P972" s="13"/>
    </row>
    <row r="973" customHeight="1" spans="9:16">
      <c r="I973" s="13"/>
      <c r="J973" s="13"/>
      <c r="K973" s="13"/>
      <c r="L973" s="13"/>
      <c r="M973" s="13"/>
      <c r="N973" s="13"/>
      <c r="O973" s="13"/>
      <c r="P973" s="13"/>
    </row>
    <row r="974" customHeight="1" spans="9:16">
      <c r="I974" s="13"/>
      <c r="J974" s="13"/>
      <c r="K974" s="13"/>
      <c r="L974" s="13"/>
      <c r="M974" s="13"/>
      <c r="N974" s="13"/>
      <c r="O974" s="13"/>
      <c r="P974" s="13"/>
    </row>
    <row r="975" customHeight="1" spans="9:16">
      <c r="I975" s="13"/>
      <c r="J975" s="13"/>
      <c r="K975" s="13"/>
      <c r="L975" s="13"/>
      <c r="M975" s="13"/>
      <c r="N975" s="13"/>
      <c r="O975" s="13"/>
      <c r="P975" s="13"/>
    </row>
    <row r="976" customHeight="1" spans="9:16">
      <c r="I976" s="13"/>
      <c r="J976" s="13"/>
      <c r="K976" s="13"/>
      <c r="L976" s="13"/>
      <c r="M976" s="13"/>
      <c r="N976" s="13"/>
      <c r="O976" s="13"/>
      <c r="P976" s="13"/>
    </row>
    <row r="977" customHeight="1" spans="9:16">
      <c r="I977" s="13"/>
      <c r="J977" s="13"/>
      <c r="K977" s="13"/>
      <c r="L977" s="13"/>
      <c r="M977" s="13"/>
      <c r="N977" s="13"/>
      <c r="O977" s="13"/>
      <c r="P977" s="13"/>
    </row>
    <row r="978" customHeight="1" spans="9:16">
      <c r="I978" s="13"/>
      <c r="J978" s="13"/>
      <c r="K978" s="13"/>
      <c r="L978" s="13"/>
      <c r="M978" s="13"/>
      <c r="N978" s="13"/>
      <c r="O978" s="13"/>
      <c r="P978" s="13"/>
    </row>
    <row r="979" customHeight="1" spans="9:16">
      <c r="I979" s="13"/>
      <c r="J979" s="13"/>
      <c r="K979" s="13"/>
      <c r="L979" s="13"/>
      <c r="M979" s="13"/>
      <c r="N979" s="13"/>
      <c r="O979" s="13"/>
      <c r="P979" s="13"/>
    </row>
    <row r="980" customHeight="1" spans="9:16">
      <c r="I980" s="13"/>
      <c r="J980" s="13"/>
      <c r="K980" s="13"/>
      <c r="L980" s="13"/>
      <c r="M980" s="13"/>
      <c r="N980" s="13"/>
      <c r="O980" s="13"/>
      <c r="P980" s="13"/>
    </row>
    <row r="981" customHeight="1" spans="9:16">
      <c r="I981" s="13"/>
      <c r="J981" s="13"/>
      <c r="K981" s="13"/>
      <c r="L981" s="13"/>
      <c r="M981" s="13"/>
      <c r="N981" s="13"/>
      <c r="O981" s="13"/>
      <c r="P981" s="13"/>
    </row>
    <row r="982" customHeight="1" spans="9:16">
      <c r="I982" s="13"/>
      <c r="J982" s="13"/>
      <c r="K982" s="13"/>
      <c r="L982" s="13"/>
      <c r="M982" s="13"/>
      <c r="N982" s="13"/>
      <c r="O982" s="13"/>
      <c r="P982" s="13"/>
    </row>
    <row r="983" customHeight="1" spans="9:16">
      <c r="I983" s="13"/>
      <c r="J983" s="13"/>
      <c r="K983" s="13"/>
      <c r="L983" s="13"/>
      <c r="M983" s="13"/>
      <c r="N983" s="13"/>
      <c r="O983" s="13"/>
      <c r="P983" s="13"/>
    </row>
    <row r="984" customHeight="1" spans="9:16">
      <c r="I984" s="13"/>
      <c r="J984" s="13"/>
      <c r="K984" s="13"/>
      <c r="L984" s="13"/>
      <c r="M984" s="13"/>
      <c r="N984" s="13"/>
      <c r="O984" s="13"/>
      <c r="P984" s="13"/>
    </row>
    <row r="985" customHeight="1" spans="9:16">
      <c r="I985" s="13"/>
      <c r="J985" s="13"/>
      <c r="K985" s="13"/>
      <c r="L985" s="13"/>
      <c r="M985" s="13"/>
      <c r="N985" s="13"/>
      <c r="O985" s="13"/>
      <c r="P985" s="13"/>
    </row>
    <row r="986" customHeight="1" spans="9:16">
      <c r="I986" s="13"/>
      <c r="J986" s="13"/>
      <c r="K986" s="13"/>
      <c r="L986" s="13"/>
      <c r="M986" s="13"/>
      <c r="N986" s="13"/>
      <c r="O986" s="13"/>
      <c r="P986" s="13"/>
    </row>
    <row r="987" customHeight="1" spans="9:16">
      <c r="I987" s="13"/>
      <c r="J987" s="13"/>
      <c r="K987" s="13"/>
      <c r="L987" s="13"/>
      <c r="M987" s="13"/>
      <c r="N987" s="13"/>
      <c r="O987" s="13"/>
      <c r="P987" s="13"/>
    </row>
    <row r="988" customHeight="1" spans="9:16">
      <c r="I988" s="13"/>
      <c r="J988" s="13"/>
      <c r="K988" s="13"/>
      <c r="L988" s="13"/>
      <c r="M988" s="13"/>
      <c r="N988" s="13"/>
      <c r="O988" s="13"/>
      <c r="P988" s="13"/>
    </row>
    <row r="989" customHeight="1" spans="9:16">
      <c r="I989" s="13"/>
      <c r="J989" s="13"/>
      <c r="K989" s="13"/>
      <c r="L989" s="13"/>
      <c r="M989" s="13"/>
      <c r="N989" s="13"/>
      <c r="O989" s="13"/>
      <c r="P989" s="13"/>
    </row>
    <row r="990" customHeight="1" spans="9:16">
      <c r="I990" s="13"/>
      <c r="J990" s="13"/>
      <c r="K990" s="13"/>
      <c r="L990" s="13"/>
      <c r="M990" s="13"/>
      <c r="N990" s="13"/>
      <c r="O990" s="13"/>
      <c r="P990" s="13"/>
    </row>
    <row r="991" customHeight="1" spans="9:16">
      <c r="I991" s="13"/>
      <c r="J991" s="13"/>
      <c r="K991" s="13"/>
      <c r="L991" s="13"/>
      <c r="M991" s="13"/>
      <c r="N991" s="13"/>
      <c r="O991" s="13"/>
      <c r="P991" s="13"/>
    </row>
    <row r="992" customHeight="1" spans="9:16">
      <c r="I992" s="13"/>
      <c r="J992" s="13"/>
      <c r="K992" s="13"/>
      <c r="L992" s="13"/>
      <c r="M992" s="13"/>
      <c r="N992" s="13"/>
      <c r="O992" s="13"/>
      <c r="P992" s="13"/>
    </row>
    <row r="993" customHeight="1" spans="9:16">
      <c r="I993" s="13"/>
      <c r="J993" s="13"/>
      <c r="K993" s="13"/>
      <c r="L993" s="13"/>
      <c r="M993" s="13"/>
      <c r="N993" s="13"/>
      <c r="O993" s="13"/>
      <c r="P993" s="13"/>
    </row>
    <row r="994" customHeight="1" spans="9:16">
      <c r="I994" s="13"/>
      <c r="J994" s="13"/>
      <c r="K994" s="13"/>
      <c r="L994" s="13"/>
      <c r="M994" s="13"/>
      <c r="N994" s="13"/>
      <c r="O994" s="13"/>
      <c r="P994" s="13"/>
    </row>
    <row r="995" customHeight="1" spans="9:16">
      <c r="I995" s="13"/>
      <c r="J995" s="13"/>
      <c r="K995" s="13"/>
      <c r="L995" s="13"/>
      <c r="M995" s="13"/>
      <c r="N995" s="13"/>
      <c r="O995" s="13"/>
      <c r="P995" s="13"/>
    </row>
    <row r="996" customHeight="1" spans="9:16">
      <c r="I996" s="13"/>
      <c r="J996" s="13"/>
      <c r="K996" s="13"/>
      <c r="L996" s="13"/>
      <c r="M996" s="13"/>
      <c r="N996" s="13"/>
      <c r="O996" s="13"/>
      <c r="P996" s="13"/>
    </row>
    <row r="997" customHeight="1" spans="9:16">
      <c r="I997" s="13"/>
      <c r="J997" s="13"/>
      <c r="K997" s="13"/>
      <c r="L997" s="13"/>
      <c r="M997" s="13"/>
      <c r="N997" s="13"/>
      <c r="O997" s="13"/>
      <c r="P997" s="13"/>
    </row>
    <row r="998" customHeight="1" spans="9:16">
      <c r="I998" s="13"/>
      <c r="J998" s="13"/>
      <c r="K998" s="13"/>
      <c r="L998" s="13"/>
      <c r="M998" s="13"/>
      <c r="N998" s="13"/>
      <c r="O998" s="13"/>
      <c r="P998" s="13"/>
    </row>
    <row r="999" customHeight="1" spans="9:16">
      <c r="I999" s="13"/>
      <c r="J999" s="13"/>
      <c r="K999" s="13"/>
      <c r="L999" s="13"/>
      <c r="M999" s="13"/>
      <c r="N999" s="13"/>
      <c r="O999" s="13"/>
      <c r="P999" s="13"/>
    </row>
    <row r="1000" customHeight="1" spans="9:16">
      <c r="I1000" s="13"/>
      <c r="J1000" s="13"/>
      <c r="K1000" s="13"/>
      <c r="L1000" s="13"/>
      <c r="M1000" s="13"/>
      <c r="N1000" s="13"/>
      <c r="O1000" s="13"/>
      <c r="P1000" s="13"/>
    </row>
    <row r="1001" customHeight="1" spans="9:16">
      <c r="I1001" s="13"/>
      <c r="J1001" s="13"/>
      <c r="K1001" s="13"/>
      <c r="L1001" s="13"/>
      <c r="M1001" s="13"/>
      <c r="N1001" s="13"/>
      <c r="O1001" s="13"/>
      <c r="P1001" s="13"/>
    </row>
    <row r="1002" customHeight="1" spans="9:16">
      <c r="I1002" s="13"/>
      <c r="J1002" s="13"/>
      <c r="K1002" s="13"/>
      <c r="L1002" s="13"/>
      <c r="M1002" s="13"/>
      <c r="N1002" s="13"/>
      <c r="O1002" s="13"/>
      <c r="P1002" s="13"/>
    </row>
    <row r="1003" customHeight="1" spans="9:16">
      <c r="I1003" s="13"/>
      <c r="J1003" s="13"/>
      <c r="K1003" s="13"/>
      <c r="L1003" s="13"/>
      <c r="M1003" s="13"/>
      <c r="N1003" s="13"/>
      <c r="O1003" s="13"/>
      <c r="P1003" s="13"/>
    </row>
    <row r="1004" customHeight="1" spans="9:16">
      <c r="I1004" s="13"/>
      <c r="J1004" s="13"/>
      <c r="K1004" s="13"/>
      <c r="L1004" s="13"/>
      <c r="M1004" s="13"/>
      <c r="N1004" s="13"/>
      <c r="O1004" s="13"/>
      <c r="P1004" s="13"/>
    </row>
  </sheetData>
  <mergeCells count="4">
    <mergeCell ref="G1:H1"/>
    <mergeCell ref="G2:H2"/>
    <mergeCell ref="G3:H3"/>
    <mergeCell ref="G14:G16"/>
  </mergeCells>
  <conditionalFormatting sqref="I2">
    <cfRule type="cellIs" dxfId="0" priority="1" operator="equal">
      <formula>1</formula>
    </cfRule>
    <cfRule type="cellIs" dxfId="1" priority="2" operator="notEqual">
      <formula>1</formula>
    </cfRule>
  </conditionalFormatting>
  <conditionalFormatting sqref="I3">
    <cfRule type="cellIs" dxfId="0" priority="5" operator="equal">
      <formula>"TRUE"</formula>
    </cfRule>
    <cfRule type="cellIs" dxfId="1" priority="6" operator="notEqual">
      <formula>"FALSE"</formula>
    </cfRule>
  </conditionalFormatting>
  <conditionalFormatting sqref="I14:AG16">
    <cfRule type="cellIs" dxfId="0" priority="3" operator="equal">
      <formula>"TRUE"</formula>
    </cfRule>
    <cfRule type="cellIs" dxfId="1" priority="4" operator="equal">
      <formula>"FALSE"</formula>
    </cfRule>
  </conditionalFormatting>
  <dataValidations count="1">
    <dataValidation type="list" allowBlank="1" showErrorMessage="1" sqref="I11:AG11">
      <formula1>"Linear,Sigmoid"</formula1>
    </dataValidation>
  </dataValidations>
  <printOptions horizontalCentered="1" gridLines="1"/>
  <pageMargins left="0.7" right="0.7" top="0.75" bottom="0.75" header="0" footer="0"/>
  <pageSetup paperSize="1" fitToHeight="0" pageOrder="overThenDown" orientation="landscape" cellComments="atEnd"/>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6"/>
  <sheetViews>
    <sheetView workbookViewId="0">
      <selection activeCell="A1" sqref="A1"/>
    </sheetView>
  </sheetViews>
  <sheetFormatPr defaultColWidth="12.6296296296296" defaultRowHeight="15.75" customHeight="1" outlineLevelCol="3"/>
  <cols>
    <col min="2" max="2" width="19.1296296296296" customWidth="1"/>
  </cols>
  <sheetData>
    <row r="1" customHeight="1" spans="1:4">
      <c r="A1" s="5" t="s">
        <v>37</v>
      </c>
      <c r="B1" s="5" t="s">
        <v>38</v>
      </c>
      <c r="C1" s="5" t="s">
        <v>39</v>
      </c>
      <c r="D1" s="5" t="s">
        <v>40</v>
      </c>
    </row>
    <row r="2" customHeight="1" spans="1:4">
      <c r="A2" s="2">
        <v>1</v>
      </c>
      <c r="B2" s="6" t="s">
        <v>41</v>
      </c>
      <c r="C2" s="6">
        <v>2666666</v>
      </c>
      <c r="D2" s="6">
        <v>222222</v>
      </c>
    </row>
    <row r="3" customHeight="1" spans="1:4">
      <c r="A3" s="2">
        <v>2</v>
      </c>
      <c r="B3" s="6" t="s">
        <v>42</v>
      </c>
      <c r="C3" s="6">
        <v>2666666</v>
      </c>
      <c r="D3" s="6">
        <v>222222</v>
      </c>
    </row>
    <row r="4" customHeight="1" spans="1:4">
      <c r="A4" s="2">
        <v>3</v>
      </c>
      <c r="B4" s="6" t="s">
        <v>43</v>
      </c>
      <c r="C4" s="6">
        <v>2666666</v>
      </c>
      <c r="D4" s="6">
        <v>222222</v>
      </c>
    </row>
    <row r="5" customHeight="1" spans="1:4">
      <c r="A5" s="2">
        <v>4</v>
      </c>
      <c r="B5" s="6" t="s">
        <v>44</v>
      </c>
      <c r="C5" s="6">
        <v>1333333</v>
      </c>
      <c r="D5" s="6">
        <v>111111</v>
      </c>
    </row>
    <row r="6" customHeight="1" spans="1:4">
      <c r="A6" s="2">
        <v>5</v>
      </c>
      <c r="B6" s="6" t="s">
        <v>45</v>
      </c>
      <c r="C6" s="6">
        <v>1333333</v>
      </c>
      <c r="D6" s="6">
        <v>111111</v>
      </c>
    </row>
    <row r="7" customHeight="1" spans="1:4">
      <c r="A7" s="2">
        <v>6</v>
      </c>
      <c r="B7" s="6" t="s">
        <v>46</v>
      </c>
      <c r="C7" s="6">
        <v>1333333</v>
      </c>
      <c r="D7" s="6">
        <v>111111</v>
      </c>
    </row>
    <row r="8" customHeight="1" spans="1:4">
      <c r="A8" s="2">
        <v>7</v>
      </c>
      <c r="B8" s="6" t="s">
        <v>47</v>
      </c>
      <c r="C8" s="6">
        <v>1333333</v>
      </c>
      <c r="D8" s="6">
        <v>111111</v>
      </c>
    </row>
    <row r="9" customHeight="1" spans="1:4">
      <c r="A9" s="2">
        <v>8</v>
      </c>
      <c r="B9" s="6" t="s">
        <v>48</v>
      </c>
      <c r="C9" s="6">
        <v>1333333</v>
      </c>
      <c r="D9" s="6">
        <v>111111</v>
      </c>
    </row>
    <row r="10" customHeight="1" spans="1:4">
      <c r="A10" s="2">
        <v>9</v>
      </c>
      <c r="B10" s="6" t="s">
        <v>49</v>
      </c>
      <c r="C10" s="6">
        <v>1333333</v>
      </c>
      <c r="D10" s="6">
        <v>111111</v>
      </c>
    </row>
    <row r="11" customHeight="1" spans="1:4">
      <c r="A11" s="2">
        <v>10</v>
      </c>
      <c r="B11" s="6" t="s">
        <v>50</v>
      </c>
      <c r="C11" s="6">
        <v>1333333</v>
      </c>
      <c r="D11" s="6">
        <v>111111</v>
      </c>
    </row>
    <row r="12" customHeight="1" spans="1:4">
      <c r="A12" s="2">
        <v>11</v>
      </c>
      <c r="B12" s="6" t="s">
        <v>51</v>
      </c>
      <c r="C12" s="6">
        <v>1333333</v>
      </c>
      <c r="D12" s="6">
        <v>111111</v>
      </c>
    </row>
    <row r="13" customHeight="1" spans="1:4">
      <c r="A13" s="2">
        <v>12</v>
      </c>
      <c r="B13" s="6" t="s">
        <v>52</v>
      </c>
      <c r="C13" s="6">
        <v>1333333</v>
      </c>
      <c r="D13" s="6">
        <v>111111</v>
      </c>
    </row>
    <row r="16" customHeight="1" spans="1:1">
      <c r="A16" s="2" t="s">
        <v>53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373"/>
  <sheetViews>
    <sheetView workbookViewId="0">
      <selection activeCell="A1" sqref="A1"/>
    </sheetView>
  </sheetViews>
  <sheetFormatPr defaultColWidth="12.6296296296296" defaultRowHeight="15.75" customHeight="1"/>
  <cols>
    <col min="1" max="1" width="21.75" customWidth="1"/>
    <col min="6" max="6" width="16.5" customWidth="1"/>
    <col min="7" max="7" width="16.1296296296296" customWidth="1"/>
  </cols>
  <sheetData>
    <row r="1" customHeight="1" spans="1:23">
      <c r="A1" s="1" t="str">
        <f>'Supply (Allocation &amp; Emissions)'!H5</f>
        <v>Role</v>
      </c>
      <c r="B1" s="1" t="str">
        <f>'Supply (Allocation &amp; Emissions)'!I5</f>
        <v>Team</v>
      </c>
      <c r="C1" s="1" t="str">
        <f>'Supply (Allocation &amp; Emissions)'!J5</f>
        <v>Foundation</v>
      </c>
      <c r="D1" s="1" t="e">
        <f>#REF!</f>
        <v>#REF!</v>
      </c>
      <c r="E1" s="1" t="str">
        <f>'Supply (Allocation &amp; Emissions)'!L5</f>
        <v>Private Investors</v>
      </c>
      <c r="F1" s="1" t="str">
        <f>'Supply (Allocation &amp; Emissions)'!M5</f>
        <v>Public rounds</v>
      </c>
      <c r="G1" s="1" t="str">
        <f>'Supply (Allocation &amp; Emissions)'!N5</f>
        <v>Community Rewards</v>
      </c>
      <c r="H1" s="1" t="e">
        <f>#REF!</f>
        <v>#REF!</v>
      </c>
      <c r="I1" s="1" t="str">
        <f>'Supply (Allocation &amp; Emissions)'!Q5</f>
        <v>Air drops</v>
      </c>
      <c r="J1" s="1" t="e">
        <f>#REF!</f>
        <v>#REF!</v>
      </c>
      <c r="K1" s="1" t="str">
        <f>'Supply (Allocation &amp; Emissions)'!P5</f>
        <v>Staking</v>
      </c>
      <c r="L1" s="1" t="str">
        <f>'Supply (Allocation &amp; Emissions)'!S5</f>
        <v>Testnet Incentive</v>
      </c>
      <c r="M1" s="1" t="e">
        <f>#REF!</f>
        <v>#REF!</v>
      </c>
      <c r="N1" s="1">
        <f>'Supply (Allocation &amp; Emissions)'!T5</f>
        <v>0</v>
      </c>
      <c r="O1" s="1">
        <f>'Supply (Allocation &amp; Emissions)'!U5</f>
        <v>0</v>
      </c>
      <c r="P1" s="1">
        <f>'Supply (Allocation &amp; Emissions)'!V5</f>
        <v>0</v>
      </c>
      <c r="Q1" s="1">
        <f>'Supply (Allocation &amp; Emissions)'!W5</f>
        <v>0</v>
      </c>
      <c r="R1" s="1">
        <f>'Supply (Allocation &amp; Emissions)'!X5</f>
        <v>0</v>
      </c>
      <c r="S1" s="1">
        <f>'Supply (Allocation &amp; Emissions)'!Y5</f>
        <v>0</v>
      </c>
      <c r="T1" s="1">
        <f>'Supply (Allocation &amp; Emissions)'!Z5</f>
        <v>0</v>
      </c>
      <c r="U1" s="1">
        <f>'Supply (Allocation &amp; Emissions)'!AA5</f>
        <v>0</v>
      </c>
      <c r="V1" s="1">
        <f>'Supply (Allocation &amp; Emissions)'!AB5</f>
        <v>0</v>
      </c>
      <c r="W1" s="1">
        <f>'Supply (Allocation &amp; Emissions)'!AC5</f>
        <v>0</v>
      </c>
    </row>
    <row r="2" customHeight="1" spans="1:23">
      <c r="A2" s="1" t="str">
        <f>'Supply (Allocation &amp; Emissions)'!H7</f>
        <v>Vesting Months</v>
      </c>
      <c r="B2" s="1">
        <f>'Supply (Allocation &amp; Emissions)'!I7</f>
        <v>48</v>
      </c>
      <c r="C2" s="1">
        <f>'Supply (Allocation &amp; Emissions)'!J7</f>
        <v>48</v>
      </c>
      <c r="D2" s="1">
        <f>'Supply (Allocation &amp; Emissions)'!K7</f>
        <v>24</v>
      </c>
      <c r="E2" s="1" t="e">
        <f>#REF!</f>
        <v>#REF!</v>
      </c>
      <c r="F2" s="1">
        <f>'Supply (Allocation &amp; Emissions)'!L7</f>
        <v>36</v>
      </c>
      <c r="G2" s="1">
        <f>'Supply (Allocation &amp; Emissions)'!M7</f>
        <v>24</v>
      </c>
      <c r="H2" s="1">
        <f>'Supply (Allocation &amp; Emissions)'!N7</f>
        <v>2</v>
      </c>
      <c r="I2" s="1">
        <f>'Supply (Allocation &amp; Emissions)'!P7</f>
        <v>6</v>
      </c>
      <c r="J2" s="1">
        <f>'Supply (Allocation &amp; Emissions)'!Q7</f>
        <v>0</v>
      </c>
      <c r="K2" s="1">
        <f>'Supply (Allocation &amp; Emissions)'!R7</f>
        <v>2</v>
      </c>
      <c r="L2" s="1">
        <f>'Supply (Allocation &amp; Emissions)'!S7</f>
        <v>2</v>
      </c>
      <c r="M2" s="1" t="e">
        <f>#REF!</f>
        <v>#REF!</v>
      </c>
      <c r="N2" s="1">
        <f>'Supply (Allocation &amp; Emissions)'!T7</f>
        <v>0</v>
      </c>
      <c r="O2" s="1">
        <f>'Supply (Allocation &amp; Emissions)'!U7</f>
        <v>0</v>
      </c>
      <c r="P2" s="1">
        <f>'Supply (Allocation &amp; Emissions)'!V7</f>
        <v>0</v>
      </c>
      <c r="Q2" s="1">
        <f>'Supply (Allocation &amp; Emissions)'!W7</f>
        <v>0</v>
      </c>
      <c r="R2" s="1">
        <f>'Supply (Allocation &amp; Emissions)'!X7</f>
        <v>0</v>
      </c>
      <c r="S2" s="1">
        <f>'Supply (Allocation &amp; Emissions)'!Y7</f>
        <v>0</v>
      </c>
      <c r="T2" s="1">
        <f>'Supply (Allocation &amp; Emissions)'!Z7</f>
        <v>0</v>
      </c>
      <c r="U2" s="1">
        <f>'Supply (Allocation &amp; Emissions)'!AA7</f>
        <v>0</v>
      </c>
      <c r="V2" s="1">
        <f>'Supply (Allocation &amp; Emissions)'!AB7</f>
        <v>0</v>
      </c>
      <c r="W2" s="1">
        <f>'Supply (Allocation &amp; Emissions)'!AC7</f>
        <v>0</v>
      </c>
    </row>
    <row r="3" customHeight="1" spans="1:23">
      <c r="A3" s="2" t="str">
        <f>'Supply (Allocation &amp; Emissions)'!H8</f>
        <v>Cliff Months</v>
      </c>
      <c r="B3" s="2">
        <f>'Supply (Allocation &amp; Emissions)'!I8</f>
        <v>12</v>
      </c>
      <c r="C3" s="2">
        <f>'Supply (Allocation &amp; Emissions)'!J8</f>
        <v>12</v>
      </c>
      <c r="D3" s="2">
        <f>'Supply (Allocation &amp; Emissions)'!K8</f>
        <v>6</v>
      </c>
      <c r="E3" s="2" t="e">
        <f>#REF!</f>
        <v>#REF!</v>
      </c>
      <c r="F3" s="2">
        <f>'Supply (Allocation &amp; Emissions)'!L8</f>
        <v>12</v>
      </c>
      <c r="G3" s="2">
        <f>'Supply (Allocation &amp; Emissions)'!M8</f>
        <v>6</v>
      </c>
      <c r="H3" s="2">
        <f>'Supply (Allocation &amp; Emissions)'!N8</f>
        <v>0</v>
      </c>
      <c r="I3" s="2">
        <f>'Supply (Allocation &amp; Emissions)'!P8</f>
        <v>0</v>
      </c>
      <c r="J3" s="2">
        <f>'Supply (Allocation &amp; Emissions)'!Q8</f>
        <v>0</v>
      </c>
      <c r="K3" s="2">
        <f>'Supply (Allocation &amp; Emissions)'!R8</f>
        <v>0</v>
      </c>
      <c r="L3" s="2">
        <f>'Supply (Allocation &amp; Emissions)'!S8</f>
        <v>0</v>
      </c>
      <c r="M3" s="2" t="e">
        <f>#REF!</f>
        <v>#REF!</v>
      </c>
      <c r="N3" s="2">
        <f>'Supply (Allocation &amp; Emissions)'!T8</f>
        <v>0</v>
      </c>
      <c r="O3" s="2">
        <f>'Supply (Allocation &amp; Emissions)'!U8</f>
        <v>0</v>
      </c>
      <c r="P3" s="2">
        <f>'Supply (Allocation &amp; Emissions)'!V8</f>
        <v>0</v>
      </c>
      <c r="Q3" s="2">
        <f>'Supply (Allocation &amp; Emissions)'!W8</f>
        <v>0</v>
      </c>
      <c r="R3" s="2">
        <f>'Supply (Allocation &amp; Emissions)'!X8</f>
        <v>0</v>
      </c>
      <c r="S3" s="2">
        <f>'Supply (Allocation &amp; Emissions)'!Y8</f>
        <v>0</v>
      </c>
      <c r="T3" s="2">
        <f>'Supply (Allocation &amp; Emissions)'!Z8</f>
        <v>0</v>
      </c>
      <c r="U3" s="2">
        <f>'Supply (Allocation &amp; Emissions)'!AA8</f>
        <v>0</v>
      </c>
      <c r="V3" s="2">
        <f>'Supply (Allocation &amp; Emissions)'!AB8</f>
        <v>0</v>
      </c>
      <c r="W3" s="2">
        <f>'Supply (Allocation &amp; Emissions)'!AC8</f>
        <v>0</v>
      </c>
    </row>
    <row r="4" hidden="1" customHeight="1" spans="1:23">
      <c r="A4" s="2" t="str">
        <f>'Supply (Allocation &amp; Emissions)'!H9</f>
        <v>Delay Months</v>
      </c>
      <c r="B4" s="2">
        <f>'Supply (Allocation &amp; Emissions)'!I9</f>
        <v>0</v>
      </c>
      <c r="C4" s="2">
        <f>'Supply (Allocation &amp; Emissions)'!J9</f>
        <v>0</v>
      </c>
      <c r="D4" s="2">
        <f>'Supply (Allocation &amp; Emissions)'!K9</f>
        <v>0</v>
      </c>
      <c r="E4" s="2" t="e">
        <f>#REF!</f>
        <v>#REF!</v>
      </c>
      <c r="F4" s="2">
        <f>'Supply (Allocation &amp; Emissions)'!L9</f>
        <v>0</v>
      </c>
      <c r="G4" s="2">
        <f>'Supply (Allocation &amp; Emissions)'!M9</f>
        <v>0</v>
      </c>
      <c r="H4" s="2">
        <f>'Supply (Allocation &amp; Emissions)'!N9</f>
        <v>0</v>
      </c>
      <c r="J4" s="2">
        <f>'Supply (Allocation &amp; Emissions)'!Q9</f>
        <v>0</v>
      </c>
      <c r="K4" s="2">
        <f>'Supply (Allocation &amp; Emissions)'!R9</f>
        <v>0</v>
      </c>
      <c r="L4" s="2">
        <f>'Supply (Allocation &amp; Emissions)'!S9</f>
        <v>0</v>
      </c>
      <c r="M4" s="2" t="e">
        <f>#REF!</f>
        <v>#REF!</v>
      </c>
      <c r="N4" s="2">
        <f>'Supply (Allocation &amp; Emissions)'!T9</f>
        <v>0</v>
      </c>
      <c r="O4" s="2">
        <f>'Supply (Allocation &amp; Emissions)'!U9</f>
        <v>0</v>
      </c>
      <c r="P4" s="2">
        <f>'Supply (Allocation &amp; Emissions)'!V9</f>
        <v>0</v>
      </c>
      <c r="Q4" s="2">
        <f>'Supply (Allocation &amp; Emissions)'!W9</f>
        <v>0</v>
      </c>
      <c r="R4" s="2">
        <f>'Supply (Allocation &amp; Emissions)'!X9</f>
        <v>0</v>
      </c>
      <c r="S4" s="2">
        <f>'Supply (Allocation &amp; Emissions)'!Y9</f>
        <v>0</v>
      </c>
      <c r="T4" s="2">
        <f>'Supply (Allocation &amp; Emissions)'!Z9</f>
        <v>0</v>
      </c>
      <c r="U4" s="2">
        <f>'Supply (Allocation &amp; Emissions)'!AA9</f>
        <v>0</v>
      </c>
      <c r="V4" s="2">
        <f>'Supply (Allocation &amp; Emissions)'!AB9</f>
        <v>0</v>
      </c>
      <c r="W4" s="2">
        <f>'Supply (Allocation &amp; Emissions)'!AC9</f>
        <v>0</v>
      </c>
    </row>
    <row r="5" hidden="1" customHeight="1" spans="1:23">
      <c r="A5" s="2" t="str">
        <f>'Supply (Allocation &amp; Emissions)'!H10</f>
        <v>Spacing Months</v>
      </c>
      <c r="B5" s="2">
        <f>'Supply (Allocation &amp; Emissions)'!I10</f>
        <v>0</v>
      </c>
      <c r="C5" s="2">
        <f>'Supply (Allocation &amp; Emissions)'!J10</f>
        <v>0</v>
      </c>
      <c r="D5" s="2">
        <f>'Supply (Allocation &amp; Emissions)'!K10</f>
        <v>0</v>
      </c>
      <c r="E5" s="2" t="e">
        <f>#REF!</f>
        <v>#REF!</v>
      </c>
      <c r="F5" s="2">
        <f>'Supply (Allocation &amp; Emissions)'!L10</f>
        <v>0</v>
      </c>
      <c r="G5" s="2">
        <f>'Supply (Allocation &amp; Emissions)'!M10</f>
        <v>0</v>
      </c>
      <c r="H5" s="2">
        <f>'Supply (Allocation &amp; Emissions)'!N10</f>
        <v>0</v>
      </c>
      <c r="I5" s="2">
        <f>'Supply (Allocation &amp; Emissions)'!P10</f>
        <v>0</v>
      </c>
      <c r="J5" s="2">
        <f>'Supply (Allocation &amp; Emissions)'!Q10</f>
        <v>0</v>
      </c>
      <c r="K5" s="2">
        <f>'Supply (Allocation &amp; Emissions)'!R10</f>
        <v>0</v>
      </c>
      <c r="L5" s="2">
        <f>'Supply (Allocation &amp; Emissions)'!S10</f>
        <v>0</v>
      </c>
      <c r="M5" s="2" t="e">
        <f>#REF!</f>
        <v>#REF!</v>
      </c>
      <c r="N5" s="2">
        <f>'Supply (Allocation &amp; Emissions)'!T10</f>
        <v>0</v>
      </c>
      <c r="O5" s="2">
        <f>'Supply (Allocation &amp; Emissions)'!U10</f>
        <v>0</v>
      </c>
      <c r="P5" s="2">
        <f>'Supply (Allocation &amp; Emissions)'!V10</f>
        <v>0</v>
      </c>
      <c r="Q5" s="2">
        <f>'Supply (Allocation &amp; Emissions)'!W10</f>
        <v>0</v>
      </c>
      <c r="R5" s="2">
        <f>'Supply (Allocation &amp; Emissions)'!X10</f>
        <v>0</v>
      </c>
      <c r="S5" s="2">
        <f>'Supply (Allocation &amp; Emissions)'!Y10</f>
        <v>0</v>
      </c>
      <c r="T5" s="2">
        <f>'Supply (Allocation &amp; Emissions)'!Z10</f>
        <v>0</v>
      </c>
      <c r="U5" s="2">
        <f>'Supply (Allocation &amp; Emissions)'!AA10</f>
        <v>0</v>
      </c>
      <c r="V5" s="2">
        <f>'Supply (Allocation &amp; Emissions)'!AB10</f>
        <v>0</v>
      </c>
      <c r="W5" s="2">
        <f>'Supply (Allocation &amp; Emissions)'!AC10</f>
        <v>0</v>
      </c>
    </row>
    <row r="8" customHeight="1" spans="1:23">
      <c r="A8" s="2" t="s">
        <v>54</v>
      </c>
      <c r="B8" s="3">
        <f ca="1" t="shared" ref="B8:W8" si="0">IF(B2=0,0,OFFSET(B12,B4+1,0))</f>
        <v>0</v>
      </c>
      <c r="C8" s="3">
        <f ca="1" t="shared" si="0"/>
        <v>0</v>
      </c>
      <c r="D8" s="3">
        <f ca="1" t="shared" si="0"/>
        <v>0</v>
      </c>
      <c r="E8" s="3" t="e">
        <f ca="1" t="shared" si="0"/>
        <v>#REF!</v>
      </c>
      <c r="F8" s="3">
        <f ca="1" t="shared" si="0"/>
        <v>0</v>
      </c>
      <c r="G8" s="3">
        <f ca="1" t="shared" si="0"/>
        <v>0</v>
      </c>
      <c r="H8" s="3">
        <f ca="1" t="shared" si="0"/>
        <v>0</v>
      </c>
      <c r="I8" s="3">
        <f ca="1" t="shared" si="0"/>
        <v>0</v>
      </c>
      <c r="J8" s="3">
        <f ca="1" t="shared" si="0"/>
        <v>0</v>
      </c>
      <c r="K8" s="3">
        <f ca="1" t="shared" si="0"/>
        <v>0</v>
      </c>
      <c r="L8" s="3">
        <f ca="1" t="shared" si="0"/>
        <v>0</v>
      </c>
      <c r="M8" s="3" t="e">
        <f ca="1" t="shared" si="0"/>
        <v>#REF!</v>
      </c>
      <c r="N8" s="3">
        <f ca="1" t="shared" si="0"/>
        <v>0</v>
      </c>
      <c r="O8" s="3">
        <f ca="1" t="shared" si="0"/>
        <v>0</v>
      </c>
      <c r="P8" s="3">
        <f ca="1" t="shared" si="0"/>
        <v>0</v>
      </c>
      <c r="Q8" s="3">
        <f ca="1" t="shared" si="0"/>
        <v>0</v>
      </c>
      <c r="R8" s="3">
        <f ca="1" t="shared" si="0"/>
        <v>0</v>
      </c>
      <c r="S8" s="3">
        <f ca="1" t="shared" si="0"/>
        <v>0</v>
      </c>
      <c r="T8" s="3">
        <f ca="1" t="shared" si="0"/>
        <v>0</v>
      </c>
      <c r="U8" s="3">
        <f ca="1" t="shared" si="0"/>
        <v>0</v>
      </c>
      <c r="V8" s="3">
        <f ca="1" t="shared" si="0"/>
        <v>0</v>
      </c>
      <c r="W8" s="3">
        <f ca="1" t="shared" si="0"/>
        <v>0</v>
      </c>
    </row>
    <row r="9" customHeight="1" spans="1:23">
      <c r="A9" s="2" t="s">
        <v>55</v>
      </c>
      <c r="B9" s="3">
        <f ca="1" t="shared" ref="B9:W9" si="1">IF(B2=0,1,OFFSET(B12,B2+B4+1,0))</f>
        <v>1</v>
      </c>
      <c r="C9" s="3">
        <f ca="1" t="shared" si="1"/>
        <v>1</v>
      </c>
      <c r="D9" s="3">
        <f ca="1" t="shared" si="1"/>
        <v>1</v>
      </c>
      <c r="E9" s="3" t="e">
        <f ca="1" t="shared" si="1"/>
        <v>#REF!</v>
      </c>
      <c r="F9" s="3">
        <f ca="1" t="shared" si="1"/>
        <v>1</v>
      </c>
      <c r="G9" s="3">
        <f ca="1" t="shared" si="1"/>
        <v>1</v>
      </c>
      <c r="H9" s="3">
        <f ca="1" t="shared" si="1"/>
        <v>1</v>
      </c>
      <c r="I9" s="3">
        <f ca="1" t="shared" si="1"/>
        <v>1</v>
      </c>
      <c r="J9" s="3">
        <f ca="1" t="shared" si="1"/>
        <v>1</v>
      </c>
      <c r="K9" s="3">
        <f ca="1" t="shared" si="1"/>
        <v>1</v>
      </c>
      <c r="L9" s="3">
        <f ca="1" t="shared" si="1"/>
        <v>1</v>
      </c>
      <c r="M9" s="3" t="e">
        <f ca="1" t="shared" si="1"/>
        <v>#REF!</v>
      </c>
      <c r="N9" s="3">
        <f ca="1" t="shared" si="1"/>
        <v>1</v>
      </c>
      <c r="O9" s="3">
        <f ca="1" t="shared" si="1"/>
        <v>1</v>
      </c>
      <c r="P9" s="3">
        <f ca="1" t="shared" si="1"/>
        <v>1</v>
      </c>
      <c r="Q9" s="3">
        <f ca="1" t="shared" si="1"/>
        <v>1</v>
      </c>
      <c r="R9" s="3">
        <f ca="1" t="shared" si="1"/>
        <v>1</v>
      </c>
      <c r="S9" s="3">
        <f ca="1" t="shared" si="1"/>
        <v>1</v>
      </c>
      <c r="T9" s="3">
        <f ca="1" t="shared" si="1"/>
        <v>1</v>
      </c>
      <c r="U9" s="3">
        <f ca="1" t="shared" si="1"/>
        <v>1</v>
      </c>
      <c r="V9" s="3">
        <f ca="1" t="shared" si="1"/>
        <v>1</v>
      </c>
      <c r="W9" s="3">
        <f ca="1" t="shared" si="1"/>
        <v>1</v>
      </c>
    </row>
    <row r="10" customHeight="1" spans="1:23">
      <c r="A10" s="2" t="s">
        <v>56</v>
      </c>
      <c r="B10" s="3">
        <f ca="1" t="shared" ref="B10:W10" si="2">B9-B8</f>
        <v>1</v>
      </c>
      <c r="C10" s="3">
        <f ca="1" t="shared" si="2"/>
        <v>1</v>
      </c>
      <c r="D10" s="3">
        <f ca="1" t="shared" si="2"/>
        <v>1</v>
      </c>
      <c r="E10" s="1" t="e">
        <f ca="1" t="shared" si="2"/>
        <v>#REF!</v>
      </c>
      <c r="F10" s="3">
        <f ca="1" t="shared" si="2"/>
        <v>1</v>
      </c>
      <c r="G10" s="3">
        <f ca="1" t="shared" si="2"/>
        <v>1</v>
      </c>
      <c r="H10" s="3">
        <f ca="1" t="shared" si="2"/>
        <v>1</v>
      </c>
      <c r="I10" s="3">
        <f ca="1" t="shared" si="2"/>
        <v>1</v>
      </c>
      <c r="J10" s="3">
        <f ca="1" t="shared" si="2"/>
        <v>1</v>
      </c>
      <c r="K10" s="3">
        <f ca="1" t="shared" si="2"/>
        <v>1</v>
      </c>
      <c r="L10" s="3">
        <f ca="1" t="shared" si="2"/>
        <v>1</v>
      </c>
      <c r="M10" s="1" t="e">
        <f ca="1" t="shared" si="2"/>
        <v>#REF!</v>
      </c>
      <c r="N10" s="3">
        <f ca="1" t="shared" si="2"/>
        <v>1</v>
      </c>
      <c r="O10" s="3">
        <f ca="1" t="shared" si="2"/>
        <v>1</v>
      </c>
      <c r="P10" s="3">
        <f ca="1" t="shared" si="2"/>
        <v>1</v>
      </c>
      <c r="Q10" s="3">
        <f ca="1" t="shared" si="2"/>
        <v>1</v>
      </c>
      <c r="R10" s="3">
        <f ca="1" t="shared" si="2"/>
        <v>1</v>
      </c>
      <c r="S10" s="3">
        <f ca="1" t="shared" si="2"/>
        <v>1</v>
      </c>
      <c r="T10" s="3">
        <f ca="1" t="shared" si="2"/>
        <v>1</v>
      </c>
      <c r="U10" s="3">
        <f ca="1" t="shared" si="2"/>
        <v>1</v>
      </c>
      <c r="V10" s="3">
        <f ca="1" t="shared" si="2"/>
        <v>1</v>
      </c>
      <c r="W10" s="3">
        <f ca="1" t="shared" si="2"/>
        <v>1</v>
      </c>
    </row>
    <row r="11" customHeight="1" spans="1:1">
      <c r="A11" s="2"/>
    </row>
    <row r="12" customHeight="1" spans="1:2">
      <c r="A12" s="2" t="s">
        <v>29</v>
      </c>
      <c r="B12" s="4" t="s">
        <v>57</v>
      </c>
    </row>
    <row r="13" customHeight="1" spans="1:23">
      <c r="A13" s="2">
        <v>0</v>
      </c>
      <c r="B13" s="3">
        <f t="shared" ref="B13:W13" si="3">MIN(1,IF($A13&lt;B$4+B$3,0,IF(B$2=0,1,IF(B$5=0,($A13-B$4)/B$2,IF(MOD($A13-B$4,B$5)=0,($A13-B$4)/B$2,QUOTIENT($A13-B$4,B$5)*B$5/B$2)))))</f>
        <v>0</v>
      </c>
      <c r="C13" s="3">
        <f t="shared" si="3"/>
        <v>0</v>
      </c>
      <c r="D13" s="3">
        <f t="shared" si="3"/>
        <v>0</v>
      </c>
      <c r="E13" s="3" t="e">
        <f t="shared" si="3"/>
        <v>#REF!</v>
      </c>
      <c r="F13" s="3">
        <f t="shared" si="3"/>
        <v>0</v>
      </c>
      <c r="G13" s="3">
        <f t="shared" si="3"/>
        <v>0</v>
      </c>
      <c r="H13" s="3">
        <f t="shared" si="3"/>
        <v>0</v>
      </c>
      <c r="I13" s="3">
        <f t="shared" si="3"/>
        <v>0</v>
      </c>
      <c r="J13" s="3">
        <f t="shared" si="3"/>
        <v>1</v>
      </c>
      <c r="K13" s="3">
        <f t="shared" si="3"/>
        <v>0</v>
      </c>
      <c r="L13" s="3">
        <f t="shared" si="3"/>
        <v>0</v>
      </c>
      <c r="M13" s="3" t="e">
        <f t="shared" si="3"/>
        <v>#REF!</v>
      </c>
      <c r="N13" s="3">
        <f t="shared" si="3"/>
        <v>1</v>
      </c>
      <c r="O13" s="3">
        <f t="shared" si="3"/>
        <v>1</v>
      </c>
      <c r="P13" s="3">
        <f t="shared" si="3"/>
        <v>1</v>
      </c>
      <c r="Q13" s="3">
        <f t="shared" si="3"/>
        <v>1</v>
      </c>
      <c r="R13" s="3">
        <f t="shared" si="3"/>
        <v>1</v>
      </c>
      <c r="S13" s="3">
        <f t="shared" si="3"/>
        <v>1</v>
      </c>
      <c r="T13" s="3">
        <f t="shared" si="3"/>
        <v>1</v>
      </c>
      <c r="U13" s="3">
        <f t="shared" si="3"/>
        <v>1</v>
      </c>
      <c r="V13" s="3">
        <f t="shared" si="3"/>
        <v>1</v>
      </c>
      <c r="W13" s="3">
        <f t="shared" si="3"/>
        <v>1</v>
      </c>
    </row>
    <row r="14" customHeight="1" spans="1:23">
      <c r="A14" s="2">
        <v>1</v>
      </c>
      <c r="B14" s="3">
        <f t="shared" ref="B14:W14" si="4">MIN(1,IF($A14&lt;B$4+B$3,0,IF(B$2=0,1,IF(B$5=0,($A14-B$4)/B$2,IF(MOD($A14-B$4,B$5)=0,($A14-B$4)/B$2,QUOTIENT($A14-B$4,B$5)*B$5/B$2)))))</f>
        <v>0</v>
      </c>
      <c r="C14" s="3">
        <f t="shared" si="4"/>
        <v>0</v>
      </c>
      <c r="D14" s="3">
        <f t="shared" si="4"/>
        <v>0</v>
      </c>
      <c r="E14" s="3" t="e">
        <f t="shared" si="4"/>
        <v>#REF!</v>
      </c>
      <c r="F14" s="3">
        <f t="shared" si="4"/>
        <v>0</v>
      </c>
      <c r="G14" s="3">
        <f t="shared" si="4"/>
        <v>0</v>
      </c>
      <c r="H14" s="3">
        <f t="shared" si="4"/>
        <v>0.5</v>
      </c>
      <c r="I14" s="3">
        <f t="shared" si="4"/>
        <v>0.166666666666667</v>
      </c>
      <c r="J14" s="3">
        <f t="shared" si="4"/>
        <v>1</v>
      </c>
      <c r="K14" s="3">
        <f t="shared" si="4"/>
        <v>0.5</v>
      </c>
      <c r="L14" s="3">
        <f t="shared" si="4"/>
        <v>0.5</v>
      </c>
      <c r="M14" s="3" t="e">
        <f t="shared" si="4"/>
        <v>#REF!</v>
      </c>
      <c r="N14" s="3">
        <f t="shared" si="4"/>
        <v>1</v>
      </c>
      <c r="O14" s="3">
        <f t="shared" si="4"/>
        <v>1</v>
      </c>
      <c r="P14" s="3">
        <f t="shared" si="4"/>
        <v>1</v>
      </c>
      <c r="Q14" s="3">
        <f t="shared" si="4"/>
        <v>1</v>
      </c>
      <c r="R14" s="3">
        <f t="shared" si="4"/>
        <v>1</v>
      </c>
      <c r="S14" s="3">
        <f t="shared" si="4"/>
        <v>1</v>
      </c>
      <c r="T14" s="3">
        <f t="shared" si="4"/>
        <v>1</v>
      </c>
      <c r="U14" s="3">
        <f t="shared" si="4"/>
        <v>1</v>
      </c>
      <c r="V14" s="3">
        <f t="shared" si="4"/>
        <v>1</v>
      </c>
      <c r="W14" s="3">
        <f t="shared" si="4"/>
        <v>1</v>
      </c>
    </row>
    <row r="15" customHeight="1" spans="1:23">
      <c r="A15" s="2">
        <v>2</v>
      </c>
      <c r="B15" s="3">
        <f t="shared" ref="B15:W15" si="5">MIN(1,IF($A15&lt;B$4+B$3,0,IF(B$2=0,1,IF(B$5=0,($A15-B$4)/B$2,IF(MOD($A15-B$4,B$5)=0,($A15-B$4)/B$2,QUOTIENT($A15-B$4,B$5)*B$5/B$2)))))</f>
        <v>0</v>
      </c>
      <c r="C15" s="3">
        <f t="shared" si="5"/>
        <v>0</v>
      </c>
      <c r="D15" s="3">
        <f t="shared" si="5"/>
        <v>0</v>
      </c>
      <c r="E15" s="3" t="e">
        <f t="shared" si="5"/>
        <v>#REF!</v>
      </c>
      <c r="F15" s="3">
        <f t="shared" si="5"/>
        <v>0</v>
      </c>
      <c r="G15" s="3">
        <f t="shared" si="5"/>
        <v>0</v>
      </c>
      <c r="H15" s="3">
        <f t="shared" si="5"/>
        <v>1</v>
      </c>
      <c r="I15" s="3">
        <f t="shared" si="5"/>
        <v>0.333333333333333</v>
      </c>
      <c r="J15" s="3">
        <f t="shared" si="5"/>
        <v>1</v>
      </c>
      <c r="K15" s="3">
        <f t="shared" si="5"/>
        <v>1</v>
      </c>
      <c r="L15" s="3">
        <f t="shared" si="5"/>
        <v>1</v>
      </c>
      <c r="M15" s="3" t="e">
        <f t="shared" si="5"/>
        <v>#REF!</v>
      </c>
      <c r="N15" s="3">
        <f t="shared" si="5"/>
        <v>1</v>
      </c>
      <c r="O15" s="3">
        <f t="shared" si="5"/>
        <v>1</v>
      </c>
      <c r="P15" s="3">
        <f t="shared" si="5"/>
        <v>1</v>
      </c>
      <c r="Q15" s="3">
        <f t="shared" si="5"/>
        <v>1</v>
      </c>
      <c r="R15" s="3">
        <f t="shared" si="5"/>
        <v>1</v>
      </c>
      <c r="S15" s="3">
        <f t="shared" si="5"/>
        <v>1</v>
      </c>
      <c r="T15" s="3">
        <f t="shared" si="5"/>
        <v>1</v>
      </c>
      <c r="U15" s="3">
        <f t="shared" si="5"/>
        <v>1</v>
      </c>
      <c r="V15" s="3">
        <f t="shared" si="5"/>
        <v>1</v>
      </c>
      <c r="W15" s="3">
        <f t="shared" si="5"/>
        <v>1</v>
      </c>
    </row>
    <row r="16" customHeight="1" spans="1:23">
      <c r="A16" s="2">
        <v>3</v>
      </c>
      <c r="B16" s="3">
        <f t="shared" ref="B16:W16" si="6">MIN(1,IF($A16&lt;B$4+B$3,0,IF(B$2=0,1,IF(B$5=0,($A16-B$4)/B$2,IF(MOD($A16-B$4,B$5)=0,($A16-B$4)/B$2,QUOTIENT($A16-B$4,B$5)*B$5/B$2)))))</f>
        <v>0</v>
      </c>
      <c r="C16" s="3">
        <f t="shared" si="6"/>
        <v>0</v>
      </c>
      <c r="D16" s="3">
        <f t="shared" si="6"/>
        <v>0</v>
      </c>
      <c r="E16" s="3" t="e">
        <f t="shared" si="6"/>
        <v>#REF!</v>
      </c>
      <c r="F16" s="3">
        <f t="shared" si="6"/>
        <v>0</v>
      </c>
      <c r="G16" s="3">
        <f t="shared" si="6"/>
        <v>0</v>
      </c>
      <c r="H16" s="3">
        <f t="shared" si="6"/>
        <v>1</v>
      </c>
      <c r="I16" s="3">
        <f t="shared" si="6"/>
        <v>0.5</v>
      </c>
      <c r="J16" s="3">
        <f t="shared" si="6"/>
        <v>1</v>
      </c>
      <c r="K16" s="3">
        <f t="shared" si="6"/>
        <v>1</v>
      </c>
      <c r="L16" s="3">
        <f t="shared" si="6"/>
        <v>1</v>
      </c>
      <c r="M16" s="3" t="e">
        <f t="shared" si="6"/>
        <v>#REF!</v>
      </c>
      <c r="N16" s="3">
        <f t="shared" si="6"/>
        <v>1</v>
      </c>
      <c r="O16" s="3">
        <f t="shared" si="6"/>
        <v>1</v>
      </c>
      <c r="P16" s="3">
        <f t="shared" si="6"/>
        <v>1</v>
      </c>
      <c r="Q16" s="3">
        <f t="shared" si="6"/>
        <v>1</v>
      </c>
      <c r="R16" s="3">
        <f t="shared" si="6"/>
        <v>1</v>
      </c>
      <c r="S16" s="3">
        <f t="shared" si="6"/>
        <v>1</v>
      </c>
      <c r="T16" s="3">
        <f t="shared" si="6"/>
        <v>1</v>
      </c>
      <c r="U16" s="3">
        <f t="shared" si="6"/>
        <v>1</v>
      </c>
      <c r="V16" s="3">
        <f t="shared" si="6"/>
        <v>1</v>
      </c>
      <c r="W16" s="3">
        <f t="shared" si="6"/>
        <v>1</v>
      </c>
    </row>
    <row r="17" customHeight="1" spans="1:23">
      <c r="A17" s="2">
        <v>4</v>
      </c>
      <c r="B17" s="3">
        <f t="shared" ref="B17:W17" si="7">MIN(1,IF($A17&lt;B$4+B$3,0,IF(B$2=0,1,IF(B$5=0,($A17-B$4)/B$2,IF(MOD($A17-B$4,B$5)=0,($A17-B$4)/B$2,QUOTIENT($A17-B$4,B$5)*B$5/B$2)))))</f>
        <v>0</v>
      </c>
      <c r="C17" s="3">
        <f t="shared" si="7"/>
        <v>0</v>
      </c>
      <c r="D17" s="3">
        <f t="shared" si="7"/>
        <v>0</v>
      </c>
      <c r="E17" s="3" t="e">
        <f t="shared" si="7"/>
        <v>#REF!</v>
      </c>
      <c r="F17" s="3">
        <f t="shared" si="7"/>
        <v>0</v>
      </c>
      <c r="G17" s="3">
        <f t="shared" si="7"/>
        <v>0</v>
      </c>
      <c r="H17" s="3">
        <f t="shared" si="7"/>
        <v>1</v>
      </c>
      <c r="I17" s="3">
        <f t="shared" si="7"/>
        <v>0.666666666666667</v>
      </c>
      <c r="J17" s="3">
        <f t="shared" si="7"/>
        <v>1</v>
      </c>
      <c r="K17" s="3">
        <f t="shared" si="7"/>
        <v>1</v>
      </c>
      <c r="L17" s="3">
        <f t="shared" si="7"/>
        <v>1</v>
      </c>
      <c r="M17" s="3" t="e">
        <f t="shared" si="7"/>
        <v>#REF!</v>
      </c>
      <c r="N17" s="3">
        <f t="shared" si="7"/>
        <v>1</v>
      </c>
      <c r="O17" s="3">
        <f t="shared" si="7"/>
        <v>1</v>
      </c>
      <c r="P17" s="3">
        <f t="shared" si="7"/>
        <v>1</v>
      </c>
      <c r="Q17" s="3">
        <f t="shared" si="7"/>
        <v>1</v>
      </c>
      <c r="R17" s="3">
        <f t="shared" si="7"/>
        <v>1</v>
      </c>
      <c r="S17" s="3">
        <f t="shared" si="7"/>
        <v>1</v>
      </c>
      <c r="T17" s="3">
        <f t="shared" si="7"/>
        <v>1</v>
      </c>
      <c r="U17" s="3">
        <f t="shared" si="7"/>
        <v>1</v>
      </c>
      <c r="V17" s="3">
        <f t="shared" si="7"/>
        <v>1</v>
      </c>
      <c r="W17" s="3">
        <f t="shared" si="7"/>
        <v>1</v>
      </c>
    </row>
    <row r="18" customHeight="1" spans="1:23">
      <c r="A18" s="2">
        <v>5</v>
      </c>
      <c r="B18" s="3">
        <f t="shared" ref="B18:W18" si="8">MIN(1,IF($A18&lt;B$4+B$3,0,IF(B$2=0,1,IF(B$5=0,($A18-B$4)/B$2,IF(MOD($A18-B$4,B$5)=0,($A18-B$4)/B$2,QUOTIENT($A18-B$4,B$5)*B$5/B$2)))))</f>
        <v>0</v>
      </c>
      <c r="C18" s="3">
        <f t="shared" si="8"/>
        <v>0</v>
      </c>
      <c r="D18" s="3">
        <f t="shared" si="8"/>
        <v>0</v>
      </c>
      <c r="E18" s="3" t="e">
        <f t="shared" si="8"/>
        <v>#REF!</v>
      </c>
      <c r="F18" s="3">
        <f t="shared" si="8"/>
        <v>0</v>
      </c>
      <c r="G18" s="3">
        <f t="shared" si="8"/>
        <v>0</v>
      </c>
      <c r="H18" s="3">
        <f t="shared" si="8"/>
        <v>1</v>
      </c>
      <c r="I18" s="3">
        <f t="shared" si="8"/>
        <v>0.833333333333333</v>
      </c>
      <c r="J18" s="3">
        <f t="shared" si="8"/>
        <v>1</v>
      </c>
      <c r="K18" s="3">
        <f t="shared" si="8"/>
        <v>1</v>
      </c>
      <c r="L18" s="3">
        <f t="shared" si="8"/>
        <v>1</v>
      </c>
      <c r="M18" s="3" t="e">
        <f t="shared" si="8"/>
        <v>#REF!</v>
      </c>
      <c r="N18" s="3">
        <f t="shared" si="8"/>
        <v>1</v>
      </c>
      <c r="O18" s="3">
        <f t="shared" si="8"/>
        <v>1</v>
      </c>
      <c r="P18" s="3">
        <f t="shared" si="8"/>
        <v>1</v>
      </c>
      <c r="Q18" s="3">
        <f t="shared" si="8"/>
        <v>1</v>
      </c>
      <c r="R18" s="3">
        <f t="shared" si="8"/>
        <v>1</v>
      </c>
      <c r="S18" s="3">
        <f t="shared" si="8"/>
        <v>1</v>
      </c>
      <c r="T18" s="3">
        <f t="shared" si="8"/>
        <v>1</v>
      </c>
      <c r="U18" s="3">
        <f t="shared" si="8"/>
        <v>1</v>
      </c>
      <c r="V18" s="3">
        <f t="shared" si="8"/>
        <v>1</v>
      </c>
      <c r="W18" s="3">
        <f t="shared" si="8"/>
        <v>1</v>
      </c>
    </row>
    <row r="19" customHeight="1" spans="1:23">
      <c r="A19" s="2">
        <v>6</v>
      </c>
      <c r="B19" s="3">
        <f t="shared" ref="B19:W19" si="9">MIN(1,IF($A19&lt;B$4+B$3,0,IF(B$2=0,1,IF(B$5=0,($A19-B$4)/B$2,IF(MOD($A19-B$4,B$5)=0,($A19-B$4)/B$2,QUOTIENT($A19-B$4,B$5)*B$5/B$2)))))</f>
        <v>0</v>
      </c>
      <c r="C19" s="3">
        <f t="shared" si="9"/>
        <v>0</v>
      </c>
      <c r="D19" s="3">
        <f t="shared" si="9"/>
        <v>0.25</v>
      </c>
      <c r="E19" s="3" t="e">
        <f t="shared" si="9"/>
        <v>#REF!</v>
      </c>
      <c r="F19" s="3">
        <f t="shared" si="9"/>
        <v>0</v>
      </c>
      <c r="G19" s="3">
        <f t="shared" si="9"/>
        <v>0.25</v>
      </c>
      <c r="H19" s="3">
        <f t="shared" si="9"/>
        <v>1</v>
      </c>
      <c r="I19" s="3">
        <f t="shared" si="9"/>
        <v>1</v>
      </c>
      <c r="J19" s="3">
        <f t="shared" si="9"/>
        <v>1</v>
      </c>
      <c r="K19" s="3">
        <f t="shared" si="9"/>
        <v>1</v>
      </c>
      <c r="L19" s="3">
        <f t="shared" si="9"/>
        <v>1</v>
      </c>
      <c r="M19" s="3" t="e">
        <f t="shared" si="9"/>
        <v>#REF!</v>
      </c>
      <c r="N19" s="3">
        <f t="shared" si="9"/>
        <v>1</v>
      </c>
      <c r="O19" s="3">
        <f t="shared" si="9"/>
        <v>1</v>
      </c>
      <c r="P19" s="3">
        <f t="shared" si="9"/>
        <v>1</v>
      </c>
      <c r="Q19" s="3">
        <f t="shared" si="9"/>
        <v>1</v>
      </c>
      <c r="R19" s="3">
        <f t="shared" si="9"/>
        <v>1</v>
      </c>
      <c r="S19" s="3">
        <f t="shared" si="9"/>
        <v>1</v>
      </c>
      <c r="T19" s="3">
        <f t="shared" si="9"/>
        <v>1</v>
      </c>
      <c r="U19" s="3">
        <f t="shared" si="9"/>
        <v>1</v>
      </c>
      <c r="V19" s="3">
        <f t="shared" si="9"/>
        <v>1</v>
      </c>
      <c r="W19" s="3">
        <f t="shared" si="9"/>
        <v>1</v>
      </c>
    </row>
    <row r="20" customHeight="1" spans="1:23">
      <c r="A20" s="2">
        <v>7</v>
      </c>
      <c r="B20" s="3">
        <f t="shared" ref="B20:W20" si="10">MIN(1,IF($A20&lt;B$4+B$3,0,IF(B$2=0,1,IF(B$5=0,($A20-B$4)/B$2,IF(MOD($A20-B$4,B$5)=0,($A20-B$4)/B$2,QUOTIENT($A20-B$4,B$5)*B$5/B$2)))))</f>
        <v>0</v>
      </c>
      <c r="C20" s="3">
        <f t="shared" si="10"/>
        <v>0</v>
      </c>
      <c r="D20" s="3">
        <f t="shared" si="10"/>
        <v>0.291666666666667</v>
      </c>
      <c r="E20" s="3" t="e">
        <f t="shared" si="10"/>
        <v>#REF!</v>
      </c>
      <c r="F20" s="3">
        <f t="shared" si="10"/>
        <v>0</v>
      </c>
      <c r="G20" s="3">
        <f t="shared" si="10"/>
        <v>0.291666666666667</v>
      </c>
      <c r="H20" s="3">
        <f t="shared" si="10"/>
        <v>1</v>
      </c>
      <c r="I20" s="3">
        <f t="shared" si="10"/>
        <v>1</v>
      </c>
      <c r="J20" s="3">
        <f t="shared" si="10"/>
        <v>1</v>
      </c>
      <c r="K20" s="3">
        <f t="shared" si="10"/>
        <v>1</v>
      </c>
      <c r="L20" s="3">
        <f t="shared" si="10"/>
        <v>1</v>
      </c>
      <c r="M20" s="3" t="e">
        <f t="shared" si="10"/>
        <v>#REF!</v>
      </c>
      <c r="N20" s="3">
        <f t="shared" si="10"/>
        <v>1</v>
      </c>
      <c r="O20" s="3">
        <f t="shared" si="10"/>
        <v>1</v>
      </c>
      <c r="P20" s="3">
        <f t="shared" si="10"/>
        <v>1</v>
      </c>
      <c r="Q20" s="3">
        <f t="shared" si="10"/>
        <v>1</v>
      </c>
      <c r="R20" s="3">
        <f t="shared" si="10"/>
        <v>1</v>
      </c>
      <c r="S20" s="3">
        <f t="shared" si="10"/>
        <v>1</v>
      </c>
      <c r="T20" s="3">
        <f t="shared" si="10"/>
        <v>1</v>
      </c>
      <c r="U20" s="3">
        <f t="shared" si="10"/>
        <v>1</v>
      </c>
      <c r="V20" s="3">
        <f t="shared" si="10"/>
        <v>1</v>
      </c>
      <c r="W20" s="3">
        <f t="shared" si="10"/>
        <v>1</v>
      </c>
    </row>
    <row r="21" customHeight="1" spans="1:23">
      <c r="A21" s="2">
        <v>8</v>
      </c>
      <c r="B21" s="3">
        <f t="shared" ref="B21:W21" si="11">MIN(1,IF($A21&lt;B$4+B$3,0,IF(B$2=0,1,IF(B$5=0,($A21-B$4)/B$2,IF(MOD($A21-B$4,B$5)=0,($A21-B$4)/B$2,QUOTIENT($A21-B$4,B$5)*B$5/B$2)))))</f>
        <v>0</v>
      </c>
      <c r="C21" s="3">
        <f t="shared" si="11"/>
        <v>0</v>
      </c>
      <c r="D21" s="3">
        <f t="shared" si="11"/>
        <v>0.333333333333333</v>
      </c>
      <c r="E21" s="3" t="e">
        <f t="shared" si="11"/>
        <v>#REF!</v>
      </c>
      <c r="F21" s="3">
        <f t="shared" si="11"/>
        <v>0</v>
      </c>
      <c r="G21" s="3">
        <f t="shared" si="11"/>
        <v>0.333333333333333</v>
      </c>
      <c r="H21" s="3">
        <f t="shared" si="11"/>
        <v>1</v>
      </c>
      <c r="I21" s="3">
        <f t="shared" si="11"/>
        <v>1</v>
      </c>
      <c r="J21" s="3">
        <f t="shared" si="11"/>
        <v>1</v>
      </c>
      <c r="K21" s="3">
        <f t="shared" si="11"/>
        <v>1</v>
      </c>
      <c r="L21" s="3">
        <f t="shared" si="11"/>
        <v>1</v>
      </c>
      <c r="M21" s="3" t="e">
        <f t="shared" si="11"/>
        <v>#REF!</v>
      </c>
      <c r="N21" s="3">
        <f t="shared" si="11"/>
        <v>1</v>
      </c>
      <c r="O21" s="3">
        <f t="shared" si="11"/>
        <v>1</v>
      </c>
      <c r="P21" s="3">
        <f t="shared" si="11"/>
        <v>1</v>
      </c>
      <c r="Q21" s="3">
        <f t="shared" si="11"/>
        <v>1</v>
      </c>
      <c r="R21" s="3">
        <f t="shared" si="11"/>
        <v>1</v>
      </c>
      <c r="S21" s="3">
        <f t="shared" si="11"/>
        <v>1</v>
      </c>
      <c r="T21" s="3">
        <f t="shared" si="11"/>
        <v>1</v>
      </c>
      <c r="U21" s="3">
        <f t="shared" si="11"/>
        <v>1</v>
      </c>
      <c r="V21" s="3">
        <f t="shared" si="11"/>
        <v>1</v>
      </c>
      <c r="W21" s="3">
        <f t="shared" si="11"/>
        <v>1</v>
      </c>
    </row>
    <row r="22" customHeight="1" spans="1:23">
      <c r="A22" s="2">
        <v>9</v>
      </c>
      <c r="B22" s="3">
        <f t="shared" ref="B22:W22" si="12">MIN(1,IF($A22&lt;B$4+B$3,0,IF(B$2=0,1,IF(B$5=0,($A22-B$4)/B$2,IF(MOD($A22-B$4,B$5)=0,($A22-B$4)/B$2,QUOTIENT($A22-B$4,B$5)*B$5/B$2)))))</f>
        <v>0</v>
      </c>
      <c r="C22" s="3">
        <f t="shared" si="12"/>
        <v>0</v>
      </c>
      <c r="D22" s="3">
        <f t="shared" si="12"/>
        <v>0.375</v>
      </c>
      <c r="E22" s="3" t="e">
        <f t="shared" si="12"/>
        <v>#REF!</v>
      </c>
      <c r="F22" s="3">
        <f t="shared" si="12"/>
        <v>0</v>
      </c>
      <c r="G22" s="3">
        <f t="shared" si="12"/>
        <v>0.375</v>
      </c>
      <c r="H22" s="3">
        <f t="shared" si="12"/>
        <v>1</v>
      </c>
      <c r="I22" s="3">
        <f t="shared" si="12"/>
        <v>1</v>
      </c>
      <c r="J22" s="3">
        <f t="shared" si="12"/>
        <v>1</v>
      </c>
      <c r="K22" s="3">
        <f t="shared" si="12"/>
        <v>1</v>
      </c>
      <c r="L22" s="3">
        <f t="shared" si="12"/>
        <v>1</v>
      </c>
      <c r="M22" s="3" t="e">
        <f t="shared" si="12"/>
        <v>#REF!</v>
      </c>
      <c r="N22" s="3">
        <f t="shared" si="12"/>
        <v>1</v>
      </c>
      <c r="O22" s="3">
        <f t="shared" si="12"/>
        <v>1</v>
      </c>
      <c r="P22" s="3">
        <f t="shared" si="12"/>
        <v>1</v>
      </c>
      <c r="Q22" s="3">
        <f t="shared" si="12"/>
        <v>1</v>
      </c>
      <c r="R22" s="3">
        <f t="shared" si="12"/>
        <v>1</v>
      </c>
      <c r="S22" s="3">
        <f t="shared" si="12"/>
        <v>1</v>
      </c>
      <c r="T22" s="3">
        <f t="shared" si="12"/>
        <v>1</v>
      </c>
      <c r="U22" s="3">
        <f t="shared" si="12"/>
        <v>1</v>
      </c>
      <c r="V22" s="3">
        <f t="shared" si="12"/>
        <v>1</v>
      </c>
      <c r="W22" s="3">
        <f t="shared" si="12"/>
        <v>1</v>
      </c>
    </row>
    <row r="23" customHeight="1" spans="1:23">
      <c r="A23" s="2">
        <v>10</v>
      </c>
      <c r="B23" s="3">
        <f t="shared" ref="B23:W23" si="13">MIN(1,IF($A23&lt;B$4+B$3,0,IF(B$2=0,1,IF(B$5=0,($A23-B$4)/B$2,IF(MOD($A23-B$4,B$5)=0,($A23-B$4)/B$2,QUOTIENT($A23-B$4,B$5)*B$5/B$2)))))</f>
        <v>0</v>
      </c>
      <c r="C23" s="3">
        <f t="shared" si="13"/>
        <v>0</v>
      </c>
      <c r="D23" s="3">
        <f t="shared" si="13"/>
        <v>0.416666666666667</v>
      </c>
      <c r="E23" s="3" t="e">
        <f t="shared" si="13"/>
        <v>#REF!</v>
      </c>
      <c r="F23" s="3">
        <f t="shared" si="13"/>
        <v>0</v>
      </c>
      <c r="G23" s="3">
        <f t="shared" si="13"/>
        <v>0.416666666666667</v>
      </c>
      <c r="H23" s="3">
        <f t="shared" si="13"/>
        <v>1</v>
      </c>
      <c r="I23" s="3">
        <f t="shared" si="13"/>
        <v>1</v>
      </c>
      <c r="J23" s="3">
        <f t="shared" si="13"/>
        <v>1</v>
      </c>
      <c r="K23" s="3">
        <f t="shared" si="13"/>
        <v>1</v>
      </c>
      <c r="L23" s="3">
        <f t="shared" si="13"/>
        <v>1</v>
      </c>
      <c r="M23" s="3" t="e">
        <f t="shared" si="13"/>
        <v>#REF!</v>
      </c>
      <c r="N23" s="3">
        <f t="shared" si="13"/>
        <v>1</v>
      </c>
      <c r="O23" s="3">
        <f t="shared" si="13"/>
        <v>1</v>
      </c>
      <c r="P23" s="3">
        <f t="shared" si="13"/>
        <v>1</v>
      </c>
      <c r="Q23" s="3">
        <f t="shared" si="13"/>
        <v>1</v>
      </c>
      <c r="R23" s="3">
        <f t="shared" si="13"/>
        <v>1</v>
      </c>
      <c r="S23" s="3">
        <f t="shared" si="13"/>
        <v>1</v>
      </c>
      <c r="T23" s="3">
        <f t="shared" si="13"/>
        <v>1</v>
      </c>
      <c r="U23" s="3">
        <f t="shared" si="13"/>
        <v>1</v>
      </c>
      <c r="V23" s="3">
        <f t="shared" si="13"/>
        <v>1</v>
      </c>
      <c r="W23" s="3">
        <f t="shared" si="13"/>
        <v>1</v>
      </c>
    </row>
    <row r="24" customHeight="1" spans="1:23">
      <c r="A24" s="2">
        <v>11</v>
      </c>
      <c r="B24" s="3">
        <f t="shared" ref="B24:W24" si="14">MIN(1,IF($A24&lt;B$4+B$3,0,IF(B$2=0,1,IF(B$5=0,($A24-B$4)/B$2,IF(MOD($A24-B$4,B$5)=0,($A24-B$4)/B$2,QUOTIENT($A24-B$4,B$5)*B$5/B$2)))))</f>
        <v>0</v>
      </c>
      <c r="C24" s="3">
        <f t="shared" si="14"/>
        <v>0</v>
      </c>
      <c r="D24" s="3">
        <f t="shared" si="14"/>
        <v>0.458333333333333</v>
      </c>
      <c r="E24" s="3" t="e">
        <f t="shared" si="14"/>
        <v>#REF!</v>
      </c>
      <c r="F24" s="3">
        <f t="shared" si="14"/>
        <v>0</v>
      </c>
      <c r="G24" s="3">
        <f t="shared" si="14"/>
        <v>0.458333333333333</v>
      </c>
      <c r="H24" s="3">
        <f t="shared" si="14"/>
        <v>1</v>
      </c>
      <c r="I24" s="3">
        <f t="shared" si="14"/>
        <v>1</v>
      </c>
      <c r="J24" s="3">
        <f t="shared" si="14"/>
        <v>1</v>
      </c>
      <c r="K24" s="3">
        <f t="shared" si="14"/>
        <v>1</v>
      </c>
      <c r="L24" s="3">
        <f t="shared" si="14"/>
        <v>1</v>
      </c>
      <c r="M24" s="3" t="e">
        <f t="shared" si="14"/>
        <v>#REF!</v>
      </c>
      <c r="N24" s="3">
        <f t="shared" si="14"/>
        <v>1</v>
      </c>
      <c r="O24" s="3">
        <f t="shared" si="14"/>
        <v>1</v>
      </c>
      <c r="P24" s="3">
        <f t="shared" si="14"/>
        <v>1</v>
      </c>
      <c r="Q24" s="3">
        <f t="shared" si="14"/>
        <v>1</v>
      </c>
      <c r="R24" s="3">
        <f t="shared" si="14"/>
        <v>1</v>
      </c>
      <c r="S24" s="3">
        <f t="shared" si="14"/>
        <v>1</v>
      </c>
      <c r="T24" s="3">
        <f t="shared" si="14"/>
        <v>1</v>
      </c>
      <c r="U24" s="3">
        <f t="shared" si="14"/>
        <v>1</v>
      </c>
      <c r="V24" s="3">
        <f t="shared" si="14"/>
        <v>1</v>
      </c>
      <c r="W24" s="3">
        <f t="shared" si="14"/>
        <v>1</v>
      </c>
    </row>
    <row r="25" customHeight="1" spans="1:23">
      <c r="A25" s="2">
        <v>12</v>
      </c>
      <c r="B25" s="3">
        <f t="shared" ref="B25:W25" si="15">MIN(1,IF($A25&lt;B$4+B$3,0,IF(B$2=0,1,IF(B$5=0,($A25-B$4)/B$2,IF(MOD($A25-B$4,B$5)=0,($A25-B$4)/B$2,QUOTIENT($A25-B$4,B$5)*B$5/B$2)))))</f>
        <v>0.25</v>
      </c>
      <c r="C25" s="3">
        <f t="shared" si="15"/>
        <v>0.25</v>
      </c>
      <c r="D25" s="3">
        <f t="shared" si="15"/>
        <v>0.5</v>
      </c>
      <c r="E25" s="3" t="e">
        <f t="shared" si="15"/>
        <v>#REF!</v>
      </c>
      <c r="F25" s="3">
        <f t="shared" si="15"/>
        <v>0.333333333333333</v>
      </c>
      <c r="G25" s="3">
        <f t="shared" si="15"/>
        <v>0.5</v>
      </c>
      <c r="H25" s="3">
        <f t="shared" si="15"/>
        <v>1</v>
      </c>
      <c r="I25" s="3">
        <f t="shared" si="15"/>
        <v>1</v>
      </c>
      <c r="J25" s="3">
        <f t="shared" si="15"/>
        <v>1</v>
      </c>
      <c r="K25" s="3">
        <f t="shared" si="15"/>
        <v>1</v>
      </c>
      <c r="L25" s="3">
        <f t="shared" si="15"/>
        <v>1</v>
      </c>
      <c r="M25" s="3" t="e">
        <f t="shared" si="15"/>
        <v>#REF!</v>
      </c>
      <c r="N25" s="3">
        <f t="shared" si="15"/>
        <v>1</v>
      </c>
      <c r="O25" s="3">
        <f t="shared" si="15"/>
        <v>1</v>
      </c>
      <c r="P25" s="3">
        <f t="shared" si="15"/>
        <v>1</v>
      </c>
      <c r="Q25" s="3">
        <f t="shared" si="15"/>
        <v>1</v>
      </c>
      <c r="R25" s="3">
        <f t="shared" si="15"/>
        <v>1</v>
      </c>
      <c r="S25" s="3">
        <f t="shared" si="15"/>
        <v>1</v>
      </c>
      <c r="T25" s="3">
        <f t="shared" si="15"/>
        <v>1</v>
      </c>
      <c r="U25" s="3">
        <f t="shared" si="15"/>
        <v>1</v>
      </c>
      <c r="V25" s="3">
        <f t="shared" si="15"/>
        <v>1</v>
      </c>
      <c r="W25" s="3">
        <f t="shared" si="15"/>
        <v>1</v>
      </c>
    </row>
    <row r="26" customHeight="1" spans="1:23">
      <c r="A26" s="2">
        <v>13</v>
      </c>
      <c r="B26" s="3">
        <f t="shared" ref="B26:W26" si="16">MIN(1,IF($A26&lt;B$4+B$3,0,IF(B$2=0,1,IF(B$5=0,($A26-B$4)/B$2,IF(MOD($A26-B$4,B$5)=0,($A26-B$4)/B$2,QUOTIENT($A26-B$4,B$5)*B$5/B$2)))))</f>
        <v>0.270833333333333</v>
      </c>
      <c r="C26" s="3">
        <f t="shared" si="16"/>
        <v>0.270833333333333</v>
      </c>
      <c r="D26" s="3">
        <f t="shared" si="16"/>
        <v>0.541666666666667</v>
      </c>
      <c r="E26" s="3" t="e">
        <f t="shared" si="16"/>
        <v>#REF!</v>
      </c>
      <c r="F26" s="3">
        <f t="shared" si="16"/>
        <v>0.361111111111111</v>
      </c>
      <c r="G26" s="3">
        <f t="shared" si="16"/>
        <v>0.541666666666667</v>
      </c>
      <c r="H26" s="3">
        <f t="shared" si="16"/>
        <v>1</v>
      </c>
      <c r="I26" s="3">
        <f t="shared" si="16"/>
        <v>1</v>
      </c>
      <c r="J26" s="3">
        <f t="shared" si="16"/>
        <v>1</v>
      </c>
      <c r="K26" s="3">
        <f t="shared" si="16"/>
        <v>1</v>
      </c>
      <c r="L26" s="3">
        <f t="shared" si="16"/>
        <v>1</v>
      </c>
      <c r="M26" s="3" t="e">
        <f t="shared" si="16"/>
        <v>#REF!</v>
      </c>
      <c r="N26" s="3">
        <f t="shared" si="16"/>
        <v>1</v>
      </c>
      <c r="O26" s="3">
        <f t="shared" si="16"/>
        <v>1</v>
      </c>
      <c r="P26" s="3">
        <f t="shared" si="16"/>
        <v>1</v>
      </c>
      <c r="Q26" s="3">
        <f t="shared" si="16"/>
        <v>1</v>
      </c>
      <c r="R26" s="3">
        <f t="shared" si="16"/>
        <v>1</v>
      </c>
      <c r="S26" s="3">
        <f t="shared" si="16"/>
        <v>1</v>
      </c>
      <c r="T26" s="3">
        <f t="shared" si="16"/>
        <v>1</v>
      </c>
      <c r="U26" s="3">
        <f t="shared" si="16"/>
        <v>1</v>
      </c>
      <c r="V26" s="3">
        <f t="shared" si="16"/>
        <v>1</v>
      </c>
      <c r="W26" s="3">
        <f t="shared" si="16"/>
        <v>1</v>
      </c>
    </row>
    <row r="27" customHeight="1" spans="1:23">
      <c r="A27" s="2">
        <v>14</v>
      </c>
      <c r="B27" s="3">
        <f t="shared" ref="B27:W27" si="17">MIN(1,IF($A27&lt;B$4+B$3,0,IF(B$2=0,1,IF(B$5=0,($A27-B$4)/B$2,IF(MOD($A27-B$4,B$5)=0,($A27-B$4)/B$2,QUOTIENT($A27-B$4,B$5)*B$5/B$2)))))</f>
        <v>0.291666666666667</v>
      </c>
      <c r="C27" s="3">
        <f t="shared" si="17"/>
        <v>0.291666666666667</v>
      </c>
      <c r="D27" s="3">
        <f t="shared" si="17"/>
        <v>0.583333333333333</v>
      </c>
      <c r="E27" s="3" t="e">
        <f t="shared" si="17"/>
        <v>#REF!</v>
      </c>
      <c r="F27" s="3">
        <f t="shared" si="17"/>
        <v>0.388888888888889</v>
      </c>
      <c r="G27" s="3">
        <f t="shared" si="17"/>
        <v>0.583333333333333</v>
      </c>
      <c r="H27" s="3">
        <f t="shared" si="17"/>
        <v>1</v>
      </c>
      <c r="I27" s="3">
        <f t="shared" si="17"/>
        <v>1</v>
      </c>
      <c r="J27" s="3">
        <f t="shared" si="17"/>
        <v>1</v>
      </c>
      <c r="K27" s="3">
        <f t="shared" si="17"/>
        <v>1</v>
      </c>
      <c r="L27" s="3">
        <f t="shared" si="17"/>
        <v>1</v>
      </c>
      <c r="M27" s="3" t="e">
        <f t="shared" si="17"/>
        <v>#REF!</v>
      </c>
      <c r="N27" s="3">
        <f t="shared" si="17"/>
        <v>1</v>
      </c>
      <c r="O27" s="3">
        <f t="shared" si="17"/>
        <v>1</v>
      </c>
      <c r="P27" s="3">
        <f t="shared" si="17"/>
        <v>1</v>
      </c>
      <c r="Q27" s="3">
        <f t="shared" si="17"/>
        <v>1</v>
      </c>
      <c r="R27" s="3">
        <f t="shared" si="17"/>
        <v>1</v>
      </c>
      <c r="S27" s="3">
        <f t="shared" si="17"/>
        <v>1</v>
      </c>
      <c r="T27" s="3">
        <f t="shared" si="17"/>
        <v>1</v>
      </c>
      <c r="U27" s="3">
        <f t="shared" si="17"/>
        <v>1</v>
      </c>
      <c r="V27" s="3">
        <f t="shared" si="17"/>
        <v>1</v>
      </c>
      <c r="W27" s="3">
        <f t="shared" si="17"/>
        <v>1</v>
      </c>
    </row>
    <row r="28" customHeight="1" spans="1:23">
      <c r="A28" s="2">
        <v>15</v>
      </c>
      <c r="B28" s="3">
        <f t="shared" ref="B28:W28" si="18">MIN(1,IF($A28&lt;B$4+B$3,0,IF(B$2=0,1,IF(B$5=0,($A28-B$4)/B$2,IF(MOD($A28-B$4,B$5)=0,($A28-B$4)/B$2,QUOTIENT($A28-B$4,B$5)*B$5/B$2)))))</f>
        <v>0.3125</v>
      </c>
      <c r="C28" s="3">
        <f t="shared" si="18"/>
        <v>0.3125</v>
      </c>
      <c r="D28" s="3">
        <f t="shared" si="18"/>
        <v>0.625</v>
      </c>
      <c r="E28" s="3" t="e">
        <f t="shared" si="18"/>
        <v>#REF!</v>
      </c>
      <c r="F28" s="3">
        <f t="shared" si="18"/>
        <v>0.416666666666667</v>
      </c>
      <c r="G28" s="3">
        <f t="shared" si="18"/>
        <v>0.625</v>
      </c>
      <c r="H28" s="3">
        <f t="shared" si="18"/>
        <v>1</v>
      </c>
      <c r="I28" s="3">
        <f t="shared" si="18"/>
        <v>1</v>
      </c>
      <c r="J28" s="3">
        <f t="shared" si="18"/>
        <v>1</v>
      </c>
      <c r="K28" s="3">
        <f t="shared" si="18"/>
        <v>1</v>
      </c>
      <c r="L28" s="3">
        <f t="shared" si="18"/>
        <v>1</v>
      </c>
      <c r="M28" s="3" t="e">
        <f t="shared" si="18"/>
        <v>#REF!</v>
      </c>
      <c r="N28" s="3">
        <f t="shared" si="18"/>
        <v>1</v>
      </c>
      <c r="O28" s="3">
        <f t="shared" si="18"/>
        <v>1</v>
      </c>
      <c r="P28" s="3">
        <f t="shared" si="18"/>
        <v>1</v>
      </c>
      <c r="Q28" s="3">
        <f t="shared" si="18"/>
        <v>1</v>
      </c>
      <c r="R28" s="3">
        <f t="shared" si="18"/>
        <v>1</v>
      </c>
      <c r="S28" s="3">
        <f t="shared" si="18"/>
        <v>1</v>
      </c>
      <c r="T28" s="3">
        <f t="shared" si="18"/>
        <v>1</v>
      </c>
      <c r="U28" s="3">
        <f t="shared" si="18"/>
        <v>1</v>
      </c>
      <c r="V28" s="3">
        <f t="shared" si="18"/>
        <v>1</v>
      </c>
      <c r="W28" s="3">
        <f t="shared" si="18"/>
        <v>1</v>
      </c>
    </row>
    <row r="29" customHeight="1" spans="1:23">
      <c r="A29" s="2">
        <v>16</v>
      </c>
      <c r="B29" s="3">
        <f t="shared" ref="B29:W29" si="19">MIN(1,IF($A29&lt;B$4+B$3,0,IF(B$2=0,1,IF(B$5=0,($A29-B$4)/B$2,IF(MOD($A29-B$4,B$5)=0,($A29-B$4)/B$2,QUOTIENT($A29-B$4,B$5)*B$5/B$2)))))</f>
        <v>0.333333333333333</v>
      </c>
      <c r="C29" s="3">
        <f t="shared" si="19"/>
        <v>0.333333333333333</v>
      </c>
      <c r="D29" s="3">
        <f t="shared" si="19"/>
        <v>0.666666666666667</v>
      </c>
      <c r="E29" s="3" t="e">
        <f t="shared" si="19"/>
        <v>#REF!</v>
      </c>
      <c r="F29" s="3">
        <f t="shared" si="19"/>
        <v>0.444444444444444</v>
      </c>
      <c r="G29" s="3">
        <f t="shared" si="19"/>
        <v>0.666666666666667</v>
      </c>
      <c r="H29" s="3">
        <f t="shared" si="19"/>
        <v>1</v>
      </c>
      <c r="I29" s="3">
        <f t="shared" si="19"/>
        <v>1</v>
      </c>
      <c r="J29" s="3">
        <f t="shared" si="19"/>
        <v>1</v>
      </c>
      <c r="K29" s="3">
        <f t="shared" si="19"/>
        <v>1</v>
      </c>
      <c r="L29" s="3">
        <f t="shared" si="19"/>
        <v>1</v>
      </c>
      <c r="M29" s="3" t="e">
        <f t="shared" si="19"/>
        <v>#REF!</v>
      </c>
      <c r="N29" s="3">
        <f t="shared" si="19"/>
        <v>1</v>
      </c>
      <c r="O29" s="3">
        <f t="shared" si="19"/>
        <v>1</v>
      </c>
      <c r="P29" s="3">
        <f t="shared" si="19"/>
        <v>1</v>
      </c>
      <c r="Q29" s="3">
        <f t="shared" si="19"/>
        <v>1</v>
      </c>
      <c r="R29" s="3">
        <f t="shared" si="19"/>
        <v>1</v>
      </c>
      <c r="S29" s="3">
        <f t="shared" si="19"/>
        <v>1</v>
      </c>
      <c r="T29" s="3">
        <f t="shared" si="19"/>
        <v>1</v>
      </c>
      <c r="U29" s="3">
        <f t="shared" si="19"/>
        <v>1</v>
      </c>
      <c r="V29" s="3">
        <f t="shared" si="19"/>
        <v>1</v>
      </c>
      <c r="W29" s="3">
        <f t="shared" si="19"/>
        <v>1</v>
      </c>
    </row>
    <row r="30" customHeight="1" spans="1:23">
      <c r="A30" s="2">
        <v>17</v>
      </c>
      <c r="B30" s="3">
        <f t="shared" ref="B30:W30" si="20">MIN(1,IF($A30&lt;B$4+B$3,0,IF(B$2=0,1,IF(B$5=0,($A30-B$4)/B$2,IF(MOD($A30-B$4,B$5)=0,($A30-B$4)/B$2,QUOTIENT($A30-B$4,B$5)*B$5/B$2)))))</f>
        <v>0.354166666666667</v>
      </c>
      <c r="C30" s="3">
        <f t="shared" si="20"/>
        <v>0.354166666666667</v>
      </c>
      <c r="D30" s="3">
        <f t="shared" si="20"/>
        <v>0.708333333333333</v>
      </c>
      <c r="E30" s="3" t="e">
        <f t="shared" si="20"/>
        <v>#REF!</v>
      </c>
      <c r="F30" s="3">
        <f t="shared" si="20"/>
        <v>0.472222222222222</v>
      </c>
      <c r="G30" s="3">
        <f t="shared" si="20"/>
        <v>0.708333333333333</v>
      </c>
      <c r="H30" s="3">
        <f t="shared" si="20"/>
        <v>1</v>
      </c>
      <c r="I30" s="3">
        <f t="shared" si="20"/>
        <v>1</v>
      </c>
      <c r="J30" s="3">
        <f t="shared" si="20"/>
        <v>1</v>
      </c>
      <c r="K30" s="3">
        <f t="shared" si="20"/>
        <v>1</v>
      </c>
      <c r="L30" s="3">
        <f t="shared" si="20"/>
        <v>1</v>
      </c>
      <c r="M30" s="3" t="e">
        <f t="shared" si="20"/>
        <v>#REF!</v>
      </c>
      <c r="N30" s="3">
        <f t="shared" si="20"/>
        <v>1</v>
      </c>
      <c r="O30" s="3">
        <f t="shared" si="20"/>
        <v>1</v>
      </c>
      <c r="P30" s="3">
        <f t="shared" si="20"/>
        <v>1</v>
      </c>
      <c r="Q30" s="3">
        <f t="shared" si="20"/>
        <v>1</v>
      </c>
      <c r="R30" s="3">
        <f t="shared" si="20"/>
        <v>1</v>
      </c>
      <c r="S30" s="3">
        <f t="shared" si="20"/>
        <v>1</v>
      </c>
      <c r="T30" s="3">
        <f t="shared" si="20"/>
        <v>1</v>
      </c>
      <c r="U30" s="3">
        <f t="shared" si="20"/>
        <v>1</v>
      </c>
      <c r="V30" s="3">
        <f t="shared" si="20"/>
        <v>1</v>
      </c>
      <c r="W30" s="3">
        <f t="shared" si="20"/>
        <v>1</v>
      </c>
    </row>
    <row r="31" customHeight="1" spans="1:23">
      <c r="A31" s="2">
        <v>18</v>
      </c>
      <c r="B31" s="3">
        <f t="shared" ref="B31:W31" si="21">MIN(1,IF($A31&lt;B$4+B$3,0,IF(B$2=0,1,IF(B$5=0,($A31-B$4)/B$2,IF(MOD($A31-B$4,B$5)=0,($A31-B$4)/B$2,QUOTIENT($A31-B$4,B$5)*B$5/B$2)))))</f>
        <v>0.375</v>
      </c>
      <c r="C31" s="3">
        <f t="shared" si="21"/>
        <v>0.375</v>
      </c>
      <c r="D31" s="3">
        <f t="shared" si="21"/>
        <v>0.75</v>
      </c>
      <c r="E31" s="3" t="e">
        <f t="shared" si="21"/>
        <v>#REF!</v>
      </c>
      <c r="F31" s="3">
        <f t="shared" si="21"/>
        <v>0.5</v>
      </c>
      <c r="G31" s="3">
        <f t="shared" si="21"/>
        <v>0.75</v>
      </c>
      <c r="H31" s="3">
        <f t="shared" si="21"/>
        <v>1</v>
      </c>
      <c r="I31" s="3">
        <f t="shared" si="21"/>
        <v>1</v>
      </c>
      <c r="J31" s="3">
        <f t="shared" si="21"/>
        <v>1</v>
      </c>
      <c r="K31" s="3">
        <f t="shared" si="21"/>
        <v>1</v>
      </c>
      <c r="L31" s="3">
        <f t="shared" si="21"/>
        <v>1</v>
      </c>
      <c r="M31" s="3" t="e">
        <f t="shared" si="21"/>
        <v>#REF!</v>
      </c>
      <c r="N31" s="3">
        <f t="shared" si="21"/>
        <v>1</v>
      </c>
      <c r="O31" s="3">
        <f t="shared" si="21"/>
        <v>1</v>
      </c>
      <c r="P31" s="3">
        <f t="shared" si="21"/>
        <v>1</v>
      </c>
      <c r="Q31" s="3">
        <f t="shared" si="21"/>
        <v>1</v>
      </c>
      <c r="R31" s="3">
        <f t="shared" si="21"/>
        <v>1</v>
      </c>
      <c r="S31" s="3">
        <f t="shared" si="21"/>
        <v>1</v>
      </c>
      <c r="T31" s="3">
        <f t="shared" si="21"/>
        <v>1</v>
      </c>
      <c r="U31" s="3">
        <f t="shared" si="21"/>
        <v>1</v>
      </c>
      <c r="V31" s="3">
        <f t="shared" si="21"/>
        <v>1</v>
      </c>
      <c r="W31" s="3">
        <f t="shared" si="21"/>
        <v>1</v>
      </c>
    </row>
    <row r="32" customHeight="1" spans="1:23">
      <c r="A32" s="2">
        <v>19</v>
      </c>
      <c r="B32" s="3">
        <f t="shared" ref="B32:W32" si="22">MIN(1,IF($A32&lt;B$4+B$3,0,IF(B$2=0,1,IF(B$5=0,($A32-B$4)/B$2,IF(MOD($A32-B$4,B$5)=0,($A32-B$4)/B$2,QUOTIENT($A32-B$4,B$5)*B$5/B$2)))))</f>
        <v>0.395833333333333</v>
      </c>
      <c r="C32" s="3">
        <f t="shared" si="22"/>
        <v>0.395833333333333</v>
      </c>
      <c r="D32" s="3">
        <f t="shared" si="22"/>
        <v>0.791666666666667</v>
      </c>
      <c r="E32" s="3" t="e">
        <f t="shared" si="22"/>
        <v>#REF!</v>
      </c>
      <c r="F32" s="3">
        <f t="shared" si="22"/>
        <v>0.527777777777778</v>
      </c>
      <c r="G32" s="3">
        <f t="shared" si="22"/>
        <v>0.791666666666667</v>
      </c>
      <c r="H32" s="3">
        <f t="shared" si="22"/>
        <v>1</v>
      </c>
      <c r="I32" s="3">
        <f t="shared" si="22"/>
        <v>1</v>
      </c>
      <c r="J32" s="3">
        <f t="shared" si="22"/>
        <v>1</v>
      </c>
      <c r="K32" s="3">
        <f t="shared" si="22"/>
        <v>1</v>
      </c>
      <c r="L32" s="3">
        <f t="shared" si="22"/>
        <v>1</v>
      </c>
      <c r="M32" s="3" t="e">
        <f t="shared" si="22"/>
        <v>#REF!</v>
      </c>
      <c r="N32" s="3">
        <f t="shared" si="22"/>
        <v>1</v>
      </c>
      <c r="O32" s="3">
        <f t="shared" si="22"/>
        <v>1</v>
      </c>
      <c r="P32" s="3">
        <f t="shared" si="22"/>
        <v>1</v>
      </c>
      <c r="Q32" s="3">
        <f t="shared" si="22"/>
        <v>1</v>
      </c>
      <c r="R32" s="3">
        <f t="shared" si="22"/>
        <v>1</v>
      </c>
      <c r="S32" s="3">
        <f t="shared" si="22"/>
        <v>1</v>
      </c>
      <c r="T32" s="3">
        <f t="shared" si="22"/>
        <v>1</v>
      </c>
      <c r="U32" s="3">
        <f t="shared" si="22"/>
        <v>1</v>
      </c>
      <c r="V32" s="3">
        <f t="shared" si="22"/>
        <v>1</v>
      </c>
      <c r="W32" s="3">
        <f t="shared" si="22"/>
        <v>1</v>
      </c>
    </row>
    <row r="33" customHeight="1" spans="1:23">
      <c r="A33" s="2">
        <v>20</v>
      </c>
      <c r="B33" s="3">
        <f t="shared" ref="B33:W33" si="23">MIN(1,IF($A33&lt;B$4+B$3,0,IF(B$2=0,1,IF(B$5=0,($A33-B$4)/B$2,IF(MOD($A33-B$4,B$5)=0,($A33-B$4)/B$2,QUOTIENT($A33-B$4,B$5)*B$5/B$2)))))</f>
        <v>0.416666666666667</v>
      </c>
      <c r="C33" s="3">
        <f t="shared" si="23"/>
        <v>0.416666666666667</v>
      </c>
      <c r="D33" s="3">
        <f t="shared" si="23"/>
        <v>0.833333333333333</v>
      </c>
      <c r="E33" s="3" t="e">
        <f t="shared" si="23"/>
        <v>#REF!</v>
      </c>
      <c r="F33" s="3">
        <f t="shared" si="23"/>
        <v>0.555555555555556</v>
      </c>
      <c r="G33" s="3">
        <f t="shared" si="23"/>
        <v>0.833333333333333</v>
      </c>
      <c r="H33" s="3">
        <f t="shared" si="23"/>
        <v>1</v>
      </c>
      <c r="I33" s="3">
        <f t="shared" si="23"/>
        <v>1</v>
      </c>
      <c r="J33" s="3">
        <f t="shared" si="23"/>
        <v>1</v>
      </c>
      <c r="K33" s="3">
        <f t="shared" si="23"/>
        <v>1</v>
      </c>
      <c r="L33" s="3">
        <f t="shared" si="23"/>
        <v>1</v>
      </c>
      <c r="M33" s="3" t="e">
        <f t="shared" si="23"/>
        <v>#REF!</v>
      </c>
      <c r="N33" s="3">
        <f t="shared" si="23"/>
        <v>1</v>
      </c>
      <c r="O33" s="3">
        <f t="shared" si="23"/>
        <v>1</v>
      </c>
      <c r="P33" s="3">
        <f t="shared" si="23"/>
        <v>1</v>
      </c>
      <c r="Q33" s="3">
        <f t="shared" si="23"/>
        <v>1</v>
      </c>
      <c r="R33" s="3">
        <f t="shared" si="23"/>
        <v>1</v>
      </c>
      <c r="S33" s="3">
        <f t="shared" si="23"/>
        <v>1</v>
      </c>
      <c r="T33" s="3">
        <f t="shared" si="23"/>
        <v>1</v>
      </c>
      <c r="U33" s="3">
        <f t="shared" si="23"/>
        <v>1</v>
      </c>
      <c r="V33" s="3">
        <f t="shared" si="23"/>
        <v>1</v>
      </c>
      <c r="W33" s="3">
        <f t="shared" si="23"/>
        <v>1</v>
      </c>
    </row>
    <row r="34" customHeight="1" spans="1:23">
      <c r="A34" s="2">
        <v>21</v>
      </c>
      <c r="B34" s="3">
        <f t="shared" ref="B34:W34" si="24">MIN(1,IF($A34&lt;B$4+B$3,0,IF(B$2=0,1,IF(B$5=0,($A34-B$4)/B$2,IF(MOD($A34-B$4,B$5)=0,($A34-B$4)/B$2,QUOTIENT($A34-B$4,B$5)*B$5/B$2)))))</f>
        <v>0.4375</v>
      </c>
      <c r="C34" s="3">
        <f t="shared" si="24"/>
        <v>0.4375</v>
      </c>
      <c r="D34" s="3">
        <f t="shared" si="24"/>
        <v>0.875</v>
      </c>
      <c r="E34" s="3" t="e">
        <f t="shared" si="24"/>
        <v>#REF!</v>
      </c>
      <c r="F34" s="3">
        <f t="shared" si="24"/>
        <v>0.583333333333333</v>
      </c>
      <c r="G34" s="3">
        <f t="shared" si="24"/>
        <v>0.875</v>
      </c>
      <c r="H34" s="3">
        <f t="shared" si="24"/>
        <v>1</v>
      </c>
      <c r="I34" s="3">
        <f t="shared" si="24"/>
        <v>1</v>
      </c>
      <c r="J34" s="3">
        <f t="shared" si="24"/>
        <v>1</v>
      </c>
      <c r="K34" s="3">
        <f t="shared" si="24"/>
        <v>1</v>
      </c>
      <c r="L34" s="3">
        <f t="shared" si="24"/>
        <v>1</v>
      </c>
      <c r="M34" s="3" t="e">
        <f t="shared" si="24"/>
        <v>#REF!</v>
      </c>
      <c r="N34" s="3">
        <f t="shared" si="24"/>
        <v>1</v>
      </c>
      <c r="O34" s="3">
        <f t="shared" si="24"/>
        <v>1</v>
      </c>
      <c r="P34" s="3">
        <f t="shared" si="24"/>
        <v>1</v>
      </c>
      <c r="Q34" s="3">
        <f t="shared" si="24"/>
        <v>1</v>
      </c>
      <c r="R34" s="3">
        <f t="shared" si="24"/>
        <v>1</v>
      </c>
      <c r="S34" s="3">
        <f t="shared" si="24"/>
        <v>1</v>
      </c>
      <c r="T34" s="3">
        <f t="shared" si="24"/>
        <v>1</v>
      </c>
      <c r="U34" s="3">
        <f t="shared" si="24"/>
        <v>1</v>
      </c>
      <c r="V34" s="3">
        <f t="shared" si="24"/>
        <v>1</v>
      </c>
      <c r="W34" s="3">
        <f t="shared" si="24"/>
        <v>1</v>
      </c>
    </row>
    <row r="35" customHeight="1" spans="1:23">
      <c r="A35" s="2">
        <v>22</v>
      </c>
      <c r="B35" s="3">
        <f t="shared" ref="B35:W35" si="25">MIN(1,IF($A35&lt;B$4+B$3,0,IF(B$2=0,1,IF(B$5=0,($A35-B$4)/B$2,IF(MOD($A35-B$4,B$5)=0,($A35-B$4)/B$2,QUOTIENT($A35-B$4,B$5)*B$5/B$2)))))</f>
        <v>0.458333333333333</v>
      </c>
      <c r="C35" s="3">
        <f t="shared" si="25"/>
        <v>0.458333333333333</v>
      </c>
      <c r="D35" s="3">
        <f t="shared" si="25"/>
        <v>0.916666666666667</v>
      </c>
      <c r="E35" s="3" t="e">
        <f t="shared" si="25"/>
        <v>#REF!</v>
      </c>
      <c r="F35" s="3">
        <f t="shared" si="25"/>
        <v>0.611111111111111</v>
      </c>
      <c r="G35" s="3">
        <f t="shared" si="25"/>
        <v>0.916666666666667</v>
      </c>
      <c r="H35" s="3">
        <f t="shared" si="25"/>
        <v>1</v>
      </c>
      <c r="I35" s="3">
        <f t="shared" si="25"/>
        <v>1</v>
      </c>
      <c r="J35" s="3">
        <f t="shared" si="25"/>
        <v>1</v>
      </c>
      <c r="K35" s="3">
        <f t="shared" si="25"/>
        <v>1</v>
      </c>
      <c r="L35" s="3">
        <f t="shared" si="25"/>
        <v>1</v>
      </c>
      <c r="M35" s="3" t="e">
        <f t="shared" si="25"/>
        <v>#REF!</v>
      </c>
      <c r="N35" s="3">
        <f t="shared" si="25"/>
        <v>1</v>
      </c>
      <c r="O35" s="3">
        <f t="shared" si="25"/>
        <v>1</v>
      </c>
      <c r="P35" s="3">
        <f t="shared" si="25"/>
        <v>1</v>
      </c>
      <c r="Q35" s="3">
        <f t="shared" si="25"/>
        <v>1</v>
      </c>
      <c r="R35" s="3">
        <f t="shared" si="25"/>
        <v>1</v>
      </c>
      <c r="S35" s="3">
        <f t="shared" si="25"/>
        <v>1</v>
      </c>
      <c r="T35" s="3">
        <f t="shared" si="25"/>
        <v>1</v>
      </c>
      <c r="U35" s="3">
        <f t="shared" si="25"/>
        <v>1</v>
      </c>
      <c r="V35" s="3">
        <f t="shared" si="25"/>
        <v>1</v>
      </c>
      <c r="W35" s="3">
        <f t="shared" si="25"/>
        <v>1</v>
      </c>
    </row>
    <row r="36" customHeight="1" spans="1:23">
      <c r="A36" s="2">
        <v>23</v>
      </c>
      <c r="B36" s="3">
        <f t="shared" ref="B36:W36" si="26">MIN(1,IF($A36&lt;B$4+B$3,0,IF(B$2=0,1,IF(B$5=0,($A36-B$4)/B$2,IF(MOD($A36-B$4,B$5)=0,($A36-B$4)/B$2,QUOTIENT($A36-B$4,B$5)*B$5/B$2)))))</f>
        <v>0.479166666666667</v>
      </c>
      <c r="C36" s="3">
        <f t="shared" si="26"/>
        <v>0.479166666666667</v>
      </c>
      <c r="D36" s="3">
        <f t="shared" si="26"/>
        <v>0.958333333333333</v>
      </c>
      <c r="E36" s="3" t="e">
        <f t="shared" si="26"/>
        <v>#REF!</v>
      </c>
      <c r="F36" s="3">
        <f t="shared" si="26"/>
        <v>0.638888888888889</v>
      </c>
      <c r="G36" s="3">
        <f t="shared" si="26"/>
        <v>0.958333333333333</v>
      </c>
      <c r="H36" s="3">
        <f t="shared" si="26"/>
        <v>1</v>
      </c>
      <c r="I36" s="3">
        <f t="shared" si="26"/>
        <v>1</v>
      </c>
      <c r="J36" s="3">
        <f t="shared" si="26"/>
        <v>1</v>
      </c>
      <c r="K36" s="3">
        <f t="shared" si="26"/>
        <v>1</v>
      </c>
      <c r="L36" s="3">
        <f t="shared" si="26"/>
        <v>1</v>
      </c>
      <c r="M36" s="3" t="e">
        <f t="shared" si="26"/>
        <v>#REF!</v>
      </c>
      <c r="N36" s="3">
        <f t="shared" si="26"/>
        <v>1</v>
      </c>
      <c r="O36" s="3">
        <f t="shared" si="26"/>
        <v>1</v>
      </c>
      <c r="P36" s="3">
        <f t="shared" si="26"/>
        <v>1</v>
      </c>
      <c r="Q36" s="3">
        <f t="shared" si="26"/>
        <v>1</v>
      </c>
      <c r="R36" s="3">
        <f t="shared" si="26"/>
        <v>1</v>
      </c>
      <c r="S36" s="3">
        <f t="shared" si="26"/>
        <v>1</v>
      </c>
      <c r="T36" s="3">
        <f t="shared" si="26"/>
        <v>1</v>
      </c>
      <c r="U36" s="3">
        <f t="shared" si="26"/>
        <v>1</v>
      </c>
      <c r="V36" s="3">
        <f t="shared" si="26"/>
        <v>1</v>
      </c>
      <c r="W36" s="3">
        <f t="shared" si="26"/>
        <v>1</v>
      </c>
    </row>
    <row r="37" customHeight="1" spans="1:23">
      <c r="A37" s="2">
        <v>24</v>
      </c>
      <c r="B37" s="3">
        <f t="shared" ref="B37:W37" si="27">MIN(1,IF($A37&lt;B$4+B$3,0,IF(B$2=0,1,IF(B$5=0,($A37-B$4)/B$2,IF(MOD($A37-B$4,B$5)=0,($A37-B$4)/B$2,QUOTIENT($A37-B$4,B$5)*B$5/B$2)))))</f>
        <v>0.5</v>
      </c>
      <c r="C37" s="3">
        <f t="shared" si="27"/>
        <v>0.5</v>
      </c>
      <c r="D37" s="3">
        <f t="shared" si="27"/>
        <v>1</v>
      </c>
      <c r="E37" s="3" t="e">
        <f t="shared" si="27"/>
        <v>#REF!</v>
      </c>
      <c r="F37" s="3">
        <f t="shared" si="27"/>
        <v>0.666666666666667</v>
      </c>
      <c r="G37" s="3">
        <f t="shared" si="27"/>
        <v>1</v>
      </c>
      <c r="H37" s="3">
        <f t="shared" si="27"/>
        <v>1</v>
      </c>
      <c r="I37" s="3">
        <f t="shared" si="27"/>
        <v>1</v>
      </c>
      <c r="J37" s="3">
        <f t="shared" si="27"/>
        <v>1</v>
      </c>
      <c r="K37" s="3">
        <f t="shared" si="27"/>
        <v>1</v>
      </c>
      <c r="L37" s="3">
        <f t="shared" si="27"/>
        <v>1</v>
      </c>
      <c r="M37" s="3" t="e">
        <f t="shared" si="27"/>
        <v>#REF!</v>
      </c>
      <c r="N37" s="3">
        <f t="shared" si="27"/>
        <v>1</v>
      </c>
      <c r="O37" s="3">
        <f t="shared" si="27"/>
        <v>1</v>
      </c>
      <c r="P37" s="3">
        <f t="shared" si="27"/>
        <v>1</v>
      </c>
      <c r="Q37" s="3">
        <f t="shared" si="27"/>
        <v>1</v>
      </c>
      <c r="R37" s="3">
        <f t="shared" si="27"/>
        <v>1</v>
      </c>
      <c r="S37" s="3">
        <f t="shared" si="27"/>
        <v>1</v>
      </c>
      <c r="T37" s="3">
        <f t="shared" si="27"/>
        <v>1</v>
      </c>
      <c r="U37" s="3">
        <f t="shared" si="27"/>
        <v>1</v>
      </c>
      <c r="V37" s="3">
        <f t="shared" si="27"/>
        <v>1</v>
      </c>
      <c r="W37" s="3">
        <f t="shared" si="27"/>
        <v>1</v>
      </c>
    </row>
    <row r="38" customHeight="1" spans="1:23">
      <c r="A38" s="2">
        <v>25</v>
      </c>
      <c r="B38" s="3">
        <f t="shared" ref="B38:W38" si="28">MIN(1,IF($A38&lt;B$4+B$3,0,IF(B$2=0,1,IF(B$5=0,($A38-B$4)/B$2,IF(MOD($A38-B$4,B$5)=0,($A38-B$4)/B$2,QUOTIENT($A38-B$4,B$5)*B$5/B$2)))))</f>
        <v>0.520833333333333</v>
      </c>
      <c r="C38" s="3">
        <f t="shared" si="28"/>
        <v>0.520833333333333</v>
      </c>
      <c r="D38" s="3">
        <f t="shared" si="28"/>
        <v>1</v>
      </c>
      <c r="E38" s="3" t="e">
        <f t="shared" si="28"/>
        <v>#REF!</v>
      </c>
      <c r="F38" s="3">
        <f t="shared" si="28"/>
        <v>0.694444444444444</v>
      </c>
      <c r="G38" s="3">
        <f t="shared" si="28"/>
        <v>1</v>
      </c>
      <c r="H38" s="3">
        <f t="shared" si="28"/>
        <v>1</v>
      </c>
      <c r="I38" s="3">
        <f t="shared" si="28"/>
        <v>1</v>
      </c>
      <c r="J38" s="3">
        <f t="shared" si="28"/>
        <v>1</v>
      </c>
      <c r="K38" s="3">
        <f t="shared" si="28"/>
        <v>1</v>
      </c>
      <c r="L38" s="3">
        <f t="shared" si="28"/>
        <v>1</v>
      </c>
      <c r="M38" s="3" t="e">
        <f t="shared" si="28"/>
        <v>#REF!</v>
      </c>
      <c r="N38" s="3">
        <f t="shared" si="28"/>
        <v>1</v>
      </c>
      <c r="O38" s="3">
        <f t="shared" si="28"/>
        <v>1</v>
      </c>
      <c r="P38" s="3">
        <f t="shared" si="28"/>
        <v>1</v>
      </c>
      <c r="Q38" s="3">
        <f t="shared" si="28"/>
        <v>1</v>
      </c>
      <c r="R38" s="3">
        <f t="shared" si="28"/>
        <v>1</v>
      </c>
      <c r="S38" s="3">
        <f t="shared" si="28"/>
        <v>1</v>
      </c>
      <c r="T38" s="3">
        <f t="shared" si="28"/>
        <v>1</v>
      </c>
      <c r="U38" s="3">
        <f t="shared" si="28"/>
        <v>1</v>
      </c>
      <c r="V38" s="3">
        <f t="shared" si="28"/>
        <v>1</v>
      </c>
      <c r="W38" s="3">
        <f t="shared" si="28"/>
        <v>1</v>
      </c>
    </row>
    <row r="39" customHeight="1" spans="1:23">
      <c r="A39" s="2">
        <v>26</v>
      </c>
      <c r="B39" s="3">
        <f t="shared" ref="B39:W39" si="29">MIN(1,IF($A39&lt;B$4+B$3,0,IF(B$2=0,1,IF(B$5=0,($A39-B$4)/B$2,IF(MOD($A39-B$4,B$5)=0,($A39-B$4)/B$2,QUOTIENT($A39-B$4,B$5)*B$5/B$2)))))</f>
        <v>0.541666666666667</v>
      </c>
      <c r="C39" s="3">
        <f t="shared" si="29"/>
        <v>0.541666666666667</v>
      </c>
      <c r="D39" s="3">
        <f t="shared" si="29"/>
        <v>1</v>
      </c>
      <c r="E39" s="3" t="e">
        <f t="shared" si="29"/>
        <v>#REF!</v>
      </c>
      <c r="F39" s="3">
        <f t="shared" si="29"/>
        <v>0.722222222222222</v>
      </c>
      <c r="G39" s="3">
        <f t="shared" si="29"/>
        <v>1</v>
      </c>
      <c r="H39" s="3">
        <f t="shared" si="29"/>
        <v>1</v>
      </c>
      <c r="I39" s="3">
        <f t="shared" si="29"/>
        <v>1</v>
      </c>
      <c r="J39" s="3">
        <f t="shared" si="29"/>
        <v>1</v>
      </c>
      <c r="K39" s="3">
        <f t="shared" si="29"/>
        <v>1</v>
      </c>
      <c r="L39" s="3">
        <f t="shared" si="29"/>
        <v>1</v>
      </c>
      <c r="M39" s="3" t="e">
        <f t="shared" si="29"/>
        <v>#REF!</v>
      </c>
      <c r="N39" s="3">
        <f t="shared" si="29"/>
        <v>1</v>
      </c>
      <c r="O39" s="3">
        <f t="shared" si="29"/>
        <v>1</v>
      </c>
      <c r="P39" s="3">
        <f t="shared" si="29"/>
        <v>1</v>
      </c>
      <c r="Q39" s="3">
        <f t="shared" si="29"/>
        <v>1</v>
      </c>
      <c r="R39" s="3">
        <f t="shared" si="29"/>
        <v>1</v>
      </c>
      <c r="S39" s="3">
        <f t="shared" si="29"/>
        <v>1</v>
      </c>
      <c r="T39" s="3">
        <f t="shared" si="29"/>
        <v>1</v>
      </c>
      <c r="U39" s="3">
        <f t="shared" si="29"/>
        <v>1</v>
      </c>
      <c r="V39" s="3">
        <f t="shared" si="29"/>
        <v>1</v>
      </c>
      <c r="W39" s="3">
        <f t="shared" si="29"/>
        <v>1</v>
      </c>
    </row>
    <row r="40" customHeight="1" spans="1:23">
      <c r="A40" s="2">
        <v>27</v>
      </c>
      <c r="B40" s="3">
        <f t="shared" ref="B40:W40" si="30">MIN(1,IF($A40&lt;B$4+B$3,0,IF(B$2=0,1,IF(B$5=0,($A40-B$4)/B$2,IF(MOD($A40-B$4,B$5)=0,($A40-B$4)/B$2,QUOTIENT($A40-B$4,B$5)*B$5/B$2)))))</f>
        <v>0.5625</v>
      </c>
      <c r="C40" s="3">
        <f t="shared" si="30"/>
        <v>0.5625</v>
      </c>
      <c r="D40" s="3">
        <f t="shared" si="30"/>
        <v>1</v>
      </c>
      <c r="E40" s="3" t="e">
        <f t="shared" si="30"/>
        <v>#REF!</v>
      </c>
      <c r="F40" s="3">
        <f t="shared" si="30"/>
        <v>0.75</v>
      </c>
      <c r="G40" s="3">
        <f t="shared" si="30"/>
        <v>1</v>
      </c>
      <c r="H40" s="3">
        <f t="shared" si="30"/>
        <v>1</v>
      </c>
      <c r="I40" s="3">
        <f t="shared" si="30"/>
        <v>1</v>
      </c>
      <c r="J40" s="3">
        <f t="shared" si="30"/>
        <v>1</v>
      </c>
      <c r="K40" s="3">
        <f t="shared" si="30"/>
        <v>1</v>
      </c>
      <c r="L40" s="3">
        <f t="shared" si="30"/>
        <v>1</v>
      </c>
      <c r="M40" s="3" t="e">
        <f t="shared" si="30"/>
        <v>#REF!</v>
      </c>
      <c r="N40" s="3">
        <f t="shared" si="30"/>
        <v>1</v>
      </c>
      <c r="O40" s="3">
        <f t="shared" si="30"/>
        <v>1</v>
      </c>
      <c r="P40" s="3">
        <f t="shared" si="30"/>
        <v>1</v>
      </c>
      <c r="Q40" s="3">
        <f t="shared" si="30"/>
        <v>1</v>
      </c>
      <c r="R40" s="3">
        <f t="shared" si="30"/>
        <v>1</v>
      </c>
      <c r="S40" s="3">
        <f t="shared" si="30"/>
        <v>1</v>
      </c>
      <c r="T40" s="3">
        <f t="shared" si="30"/>
        <v>1</v>
      </c>
      <c r="U40" s="3">
        <f t="shared" si="30"/>
        <v>1</v>
      </c>
      <c r="V40" s="3">
        <f t="shared" si="30"/>
        <v>1</v>
      </c>
      <c r="W40" s="3">
        <f t="shared" si="30"/>
        <v>1</v>
      </c>
    </row>
    <row r="41" customHeight="1" spans="1:23">
      <c r="A41" s="2">
        <v>28</v>
      </c>
      <c r="B41" s="3">
        <f t="shared" ref="B41:W41" si="31">MIN(1,IF($A41&lt;B$4+B$3,0,IF(B$2=0,1,IF(B$5=0,($A41-B$4)/B$2,IF(MOD($A41-B$4,B$5)=0,($A41-B$4)/B$2,QUOTIENT($A41-B$4,B$5)*B$5/B$2)))))</f>
        <v>0.583333333333333</v>
      </c>
      <c r="C41" s="3">
        <f t="shared" si="31"/>
        <v>0.583333333333333</v>
      </c>
      <c r="D41" s="3">
        <f t="shared" si="31"/>
        <v>1</v>
      </c>
      <c r="E41" s="3" t="e">
        <f t="shared" si="31"/>
        <v>#REF!</v>
      </c>
      <c r="F41" s="3">
        <f t="shared" si="31"/>
        <v>0.777777777777778</v>
      </c>
      <c r="G41" s="3">
        <f t="shared" si="31"/>
        <v>1</v>
      </c>
      <c r="H41" s="3">
        <f t="shared" si="31"/>
        <v>1</v>
      </c>
      <c r="I41" s="3">
        <f t="shared" si="31"/>
        <v>1</v>
      </c>
      <c r="J41" s="3">
        <f t="shared" si="31"/>
        <v>1</v>
      </c>
      <c r="K41" s="3">
        <f t="shared" si="31"/>
        <v>1</v>
      </c>
      <c r="L41" s="3">
        <f t="shared" si="31"/>
        <v>1</v>
      </c>
      <c r="M41" s="3" t="e">
        <f t="shared" si="31"/>
        <v>#REF!</v>
      </c>
      <c r="N41" s="3">
        <f t="shared" si="31"/>
        <v>1</v>
      </c>
      <c r="O41" s="3">
        <f t="shared" si="31"/>
        <v>1</v>
      </c>
      <c r="P41" s="3">
        <f t="shared" si="31"/>
        <v>1</v>
      </c>
      <c r="Q41" s="3">
        <f t="shared" si="31"/>
        <v>1</v>
      </c>
      <c r="R41" s="3">
        <f t="shared" si="31"/>
        <v>1</v>
      </c>
      <c r="S41" s="3">
        <f t="shared" si="31"/>
        <v>1</v>
      </c>
      <c r="T41" s="3">
        <f t="shared" si="31"/>
        <v>1</v>
      </c>
      <c r="U41" s="3">
        <f t="shared" si="31"/>
        <v>1</v>
      </c>
      <c r="V41" s="3">
        <f t="shared" si="31"/>
        <v>1</v>
      </c>
      <c r="W41" s="3">
        <f t="shared" si="31"/>
        <v>1</v>
      </c>
    </row>
    <row r="42" customHeight="1" spans="1:23">
      <c r="A42" s="2">
        <v>29</v>
      </c>
      <c r="B42" s="3">
        <f t="shared" ref="B42:W42" si="32">MIN(1,IF($A42&lt;B$4+B$3,0,IF(B$2=0,1,IF(B$5=0,($A42-B$4)/B$2,IF(MOD($A42-B$4,B$5)=0,($A42-B$4)/B$2,QUOTIENT($A42-B$4,B$5)*B$5/B$2)))))</f>
        <v>0.604166666666667</v>
      </c>
      <c r="C42" s="3">
        <f t="shared" si="32"/>
        <v>0.604166666666667</v>
      </c>
      <c r="D42" s="3">
        <f t="shared" si="32"/>
        <v>1</v>
      </c>
      <c r="E42" s="3" t="e">
        <f t="shared" si="32"/>
        <v>#REF!</v>
      </c>
      <c r="F42" s="3">
        <f t="shared" si="32"/>
        <v>0.805555555555556</v>
      </c>
      <c r="G42" s="3">
        <f t="shared" si="32"/>
        <v>1</v>
      </c>
      <c r="H42" s="3">
        <f t="shared" si="32"/>
        <v>1</v>
      </c>
      <c r="I42" s="3">
        <f t="shared" si="32"/>
        <v>1</v>
      </c>
      <c r="J42" s="3">
        <f t="shared" si="32"/>
        <v>1</v>
      </c>
      <c r="K42" s="3">
        <f t="shared" si="32"/>
        <v>1</v>
      </c>
      <c r="L42" s="3">
        <f t="shared" si="32"/>
        <v>1</v>
      </c>
      <c r="M42" s="3" t="e">
        <f t="shared" si="32"/>
        <v>#REF!</v>
      </c>
      <c r="N42" s="3">
        <f t="shared" si="32"/>
        <v>1</v>
      </c>
      <c r="O42" s="3">
        <f t="shared" si="32"/>
        <v>1</v>
      </c>
      <c r="P42" s="3">
        <f t="shared" si="32"/>
        <v>1</v>
      </c>
      <c r="Q42" s="3">
        <f t="shared" si="32"/>
        <v>1</v>
      </c>
      <c r="R42" s="3">
        <f t="shared" si="32"/>
        <v>1</v>
      </c>
      <c r="S42" s="3">
        <f t="shared" si="32"/>
        <v>1</v>
      </c>
      <c r="T42" s="3">
        <f t="shared" si="32"/>
        <v>1</v>
      </c>
      <c r="U42" s="3">
        <f t="shared" si="32"/>
        <v>1</v>
      </c>
      <c r="V42" s="3">
        <f t="shared" si="32"/>
        <v>1</v>
      </c>
      <c r="W42" s="3">
        <f t="shared" si="32"/>
        <v>1</v>
      </c>
    </row>
    <row r="43" customHeight="1" spans="1:23">
      <c r="A43" s="2">
        <v>30</v>
      </c>
      <c r="B43" s="3">
        <f t="shared" ref="B43:W43" si="33">MIN(1,IF($A43&lt;B$4+B$3,0,IF(B$2=0,1,IF(B$5=0,($A43-B$4)/B$2,IF(MOD($A43-B$4,B$5)=0,($A43-B$4)/B$2,QUOTIENT($A43-B$4,B$5)*B$5/B$2)))))</f>
        <v>0.625</v>
      </c>
      <c r="C43" s="3">
        <f t="shared" si="33"/>
        <v>0.625</v>
      </c>
      <c r="D43" s="3">
        <f t="shared" si="33"/>
        <v>1</v>
      </c>
      <c r="E43" s="3" t="e">
        <f t="shared" si="33"/>
        <v>#REF!</v>
      </c>
      <c r="F43" s="3">
        <f t="shared" si="33"/>
        <v>0.833333333333333</v>
      </c>
      <c r="G43" s="3">
        <f t="shared" si="33"/>
        <v>1</v>
      </c>
      <c r="H43" s="3">
        <f t="shared" si="33"/>
        <v>1</v>
      </c>
      <c r="I43" s="3">
        <f t="shared" si="33"/>
        <v>1</v>
      </c>
      <c r="J43" s="3">
        <f t="shared" si="33"/>
        <v>1</v>
      </c>
      <c r="K43" s="3">
        <f t="shared" si="33"/>
        <v>1</v>
      </c>
      <c r="L43" s="3">
        <f t="shared" si="33"/>
        <v>1</v>
      </c>
      <c r="M43" s="3" t="e">
        <f t="shared" si="33"/>
        <v>#REF!</v>
      </c>
      <c r="N43" s="3">
        <f t="shared" si="33"/>
        <v>1</v>
      </c>
      <c r="O43" s="3">
        <f t="shared" si="33"/>
        <v>1</v>
      </c>
      <c r="P43" s="3">
        <f t="shared" si="33"/>
        <v>1</v>
      </c>
      <c r="Q43" s="3">
        <f t="shared" si="33"/>
        <v>1</v>
      </c>
      <c r="R43" s="3">
        <f t="shared" si="33"/>
        <v>1</v>
      </c>
      <c r="S43" s="3">
        <f t="shared" si="33"/>
        <v>1</v>
      </c>
      <c r="T43" s="3">
        <f t="shared" si="33"/>
        <v>1</v>
      </c>
      <c r="U43" s="3">
        <f t="shared" si="33"/>
        <v>1</v>
      </c>
      <c r="V43" s="3">
        <f t="shared" si="33"/>
        <v>1</v>
      </c>
      <c r="W43" s="3">
        <f t="shared" si="33"/>
        <v>1</v>
      </c>
    </row>
    <row r="44" customHeight="1" spans="1:23">
      <c r="A44" s="2">
        <v>31</v>
      </c>
      <c r="B44" s="3">
        <f t="shared" ref="B44:W44" si="34">MIN(1,IF($A44&lt;B$4+B$3,0,IF(B$2=0,1,IF(B$5=0,($A44-B$4)/B$2,IF(MOD($A44-B$4,B$5)=0,($A44-B$4)/B$2,QUOTIENT($A44-B$4,B$5)*B$5/B$2)))))</f>
        <v>0.645833333333333</v>
      </c>
      <c r="C44" s="3">
        <f t="shared" si="34"/>
        <v>0.645833333333333</v>
      </c>
      <c r="D44" s="3">
        <f t="shared" si="34"/>
        <v>1</v>
      </c>
      <c r="E44" s="3" t="e">
        <f t="shared" si="34"/>
        <v>#REF!</v>
      </c>
      <c r="F44" s="3">
        <f t="shared" si="34"/>
        <v>0.861111111111111</v>
      </c>
      <c r="G44" s="3">
        <f t="shared" si="34"/>
        <v>1</v>
      </c>
      <c r="H44" s="3">
        <f t="shared" si="34"/>
        <v>1</v>
      </c>
      <c r="I44" s="3">
        <f t="shared" si="34"/>
        <v>1</v>
      </c>
      <c r="J44" s="3">
        <f t="shared" si="34"/>
        <v>1</v>
      </c>
      <c r="K44" s="3">
        <f t="shared" si="34"/>
        <v>1</v>
      </c>
      <c r="L44" s="3">
        <f t="shared" si="34"/>
        <v>1</v>
      </c>
      <c r="M44" s="3" t="e">
        <f t="shared" si="34"/>
        <v>#REF!</v>
      </c>
      <c r="N44" s="3">
        <f t="shared" si="34"/>
        <v>1</v>
      </c>
      <c r="O44" s="3">
        <f t="shared" si="34"/>
        <v>1</v>
      </c>
      <c r="P44" s="3">
        <f t="shared" si="34"/>
        <v>1</v>
      </c>
      <c r="Q44" s="3">
        <f t="shared" si="34"/>
        <v>1</v>
      </c>
      <c r="R44" s="3">
        <f t="shared" si="34"/>
        <v>1</v>
      </c>
      <c r="S44" s="3">
        <f t="shared" si="34"/>
        <v>1</v>
      </c>
      <c r="T44" s="3">
        <f t="shared" si="34"/>
        <v>1</v>
      </c>
      <c r="U44" s="3">
        <f t="shared" si="34"/>
        <v>1</v>
      </c>
      <c r="V44" s="3">
        <f t="shared" si="34"/>
        <v>1</v>
      </c>
      <c r="W44" s="3">
        <f t="shared" si="34"/>
        <v>1</v>
      </c>
    </row>
    <row r="45" customHeight="1" spans="1:23">
      <c r="A45" s="2">
        <v>32</v>
      </c>
      <c r="B45" s="3">
        <f t="shared" ref="B45:W45" si="35">MIN(1,IF($A45&lt;B$4+B$3,0,IF(B$2=0,1,IF(B$5=0,($A45-B$4)/B$2,IF(MOD($A45-B$4,B$5)=0,($A45-B$4)/B$2,QUOTIENT($A45-B$4,B$5)*B$5/B$2)))))</f>
        <v>0.666666666666667</v>
      </c>
      <c r="C45" s="3">
        <f t="shared" si="35"/>
        <v>0.666666666666667</v>
      </c>
      <c r="D45" s="3">
        <f t="shared" si="35"/>
        <v>1</v>
      </c>
      <c r="E45" s="3" t="e">
        <f t="shared" si="35"/>
        <v>#REF!</v>
      </c>
      <c r="F45" s="3">
        <f t="shared" si="35"/>
        <v>0.888888888888889</v>
      </c>
      <c r="G45" s="3">
        <f t="shared" si="35"/>
        <v>1</v>
      </c>
      <c r="H45" s="3">
        <f t="shared" si="35"/>
        <v>1</v>
      </c>
      <c r="I45" s="3">
        <f t="shared" si="35"/>
        <v>1</v>
      </c>
      <c r="J45" s="3">
        <f t="shared" si="35"/>
        <v>1</v>
      </c>
      <c r="K45" s="3">
        <f t="shared" si="35"/>
        <v>1</v>
      </c>
      <c r="L45" s="3">
        <f t="shared" si="35"/>
        <v>1</v>
      </c>
      <c r="M45" s="3" t="e">
        <f t="shared" si="35"/>
        <v>#REF!</v>
      </c>
      <c r="N45" s="3">
        <f t="shared" si="35"/>
        <v>1</v>
      </c>
      <c r="O45" s="3">
        <f t="shared" si="35"/>
        <v>1</v>
      </c>
      <c r="P45" s="3">
        <f t="shared" si="35"/>
        <v>1</v>
      </c>
      <c r="Q45" s="3">
        <f t="shared" si="35"/>
        <v>1</v>
      </c>
      <c r="R45" s="3">
        <f t="shared" si="35"/>
        <v>1</v>
      </c>
      <c r="S45" s="3">
        <f t="shared" si="35"/>
        <v>1</v>
      </c>
      <c r="T45" s="3">
        <f t="shared" si="35"/>
        <v>1</v>
      </c>
      <c r="U45" s="3">
        <f t="shared" si="35"/>
        <v>1</v>
      </c>
      <c r="V45" s="3">
        <f t="shared" si="35"/>
        <v>1</v>
      </c>
      <c r="W45" s="3">
        <f t="shared" si="35"/>
        <v>1</v>
      </c>
    </row>
    <row r="46" customHeight="1" spans="1:23">
      <c r="A46" s="2">
        <v>33</v>
      </c>
      <c r="B46" s="3">
        <f t="shared" ref="B46:W46" si="36">MIN(1,IF($A46&lt;B$4+B$3,0,IF(B$2=0,1,IF(B$5=0,($A46-B$4)/B$2,IF(MOD($A46-B$4,B$5)=0,($A46-B$4)/B$2,QUOTIENT($A46-B$4,B$5)*B$5/B$2)))))</f>
        <v>0.6875</v>
      </c>
      <c r="C46" s="3">
        <f t="shared" si="36"/>
        <v>0.6875</v>
      </c>
      <c r="D46" s="3">
        <f t="shared" si="36"/>
        <v>1</v>
      </c>
      <c r="E46" s="3" t="e">
        <f t="shared" si="36"/>
        <v>#REF!</v>
      </c>
      <c r="F46" s="3">
        <f t="shared" si="36"/>
        <v>0.916666666666667</v>
      </c>
      <c r="G46" s="3">
        <f t="shared" si="36"/>
        <v>1</v>
      </c>
      <c r="H46" s="3">
        <f t="shared" si="36"/>
        <v>1</v>
      </c>
      <c r="I46" s="3">
        <f t="shared" si="36"/>
        <v>1</v>
      </c>
      <c r="J46" s="3">
        <f t="shared" si="36"/>
        <v>1</v>
      </c>
      <c r="K46" s="3">
        <f t="shared" si="36"/>
        <v>1</v>
      </c>
      <c r="L46" s="3">
        <f t="shared" si="36"/>
        <v>1</v>
      </c>
      <c r="M46" s="3" t="e">
        <f t="shared" si="36"/>
        <v>#REF!</v>
      </c>
      <c r="N46" s="3">
        <f t="shared" si="36"/>
        <v>1</v>
      </c>
      <c r="O46" s="3">
        <f t="shared" si="36"/>
        <v>1</v>
      </c>
      <c r="P46" s="3">
        <f t="shared" si="36"/>
        <v>1</v>
      </c>
      <c r="Q46" s="3">
        <f t="shared" si="36"/>
        <v>1</v>
      </c>
      <c r="R46" s="3">
        <f t="shared" si="36"/>
        <v>1</v>
      </c>
      <c r="S46" s="3">
        <f t="shared" si="36"/>
        <v>1</v>
      </c>
      <c r="T46" s="3">
        <f t="shared" si="36"/>
        <v>1</v>
      </c>
      <c r="U46" s="3">
        <f t="shared" si="36"/>
        <v>1</v>
      </c>
      <c r="V46" s="3">
        <f t="shared" si="36"/>
        <v>1</v>
      </c>
      <c r="W46" s="3">
        <f t="shared" si="36"/>
        <v>1</v>
      </c>
    </row>
    <row r="47" customHeight="1" spans="1:23">
      <c r="A47" s="2">
        <v>34</v>
      </c>
      <c r="B47" s="3">
        <f t="shared" ref="B47:W47" si="37">MIN(1,IF($A47&lt;B$4+B$3,0,IF(B$2=0,1,IF(B$5=0,($A47-B$4)/B$2,IF(MOD($A47-B$4,B$5)=0,($A47-B$4)/B$2,QUOTIENT($A47-B$4,B$5)*B$5/B$2)))))</f>
        <v>0.708333333333333</v>
      </c>
      <c r="C47" s="3">
        <f t="shared" si="37"/>
        <v>0.708333333333333</v>
      </c>
      <c r="D47" s="3">
        <f t="shared" si="37"/>
        <v>1</v>
      </c>
      <c r="E47" s="3" t="e">
        <f t="shared" si="37"/>
        <v>#REF!</v>
      </c>
      <c r="F47" s="3">
        <f t="shared" si="37"/>
        <v>0.944444444444444</v>
      </c>
      <c r="G47" s="3">
        <f t="shared" si="37"/>
        <v>1</v>
      </c>
      <c r="H47" s="3">
        <f t="shared" si="37"/>
        <v>1</v>
      </c>
      <c r="I47" s="3">
        <f t="shared" si="37"/>
        <v>1</v>
      </c>
      <c r="J47" s="3">
        <f t="shared" si="37"/>
        <v>1</v>
      </c>
      <c r="K47" s="3">
        <f t="shared" si="37"/>
        <v>1</v>
      </c>
      <c r="L47" s="3">
        <f t="shared" si="37"/>
        <v>1</v>
      </c>
      <c r="M47" s="3" t="e">
        <f t="shared" si="37"/>
        <v>#REF!</v>
      </c>
      <c r="N47" s="3">
        <f t="shared" si="37"/>
        <v>1</v>
      </c>
      <c r="O47" s="3">
        <f t="shared" si="37"/>
        <v>1</v>
      </c>
      <c r="P47" s="3">
        <f t="shared" si="37"/>
        <v>1</v>
      </c>
      <c r="Q47" s="3">
        <f t="shared" si="37"/>
        <v>1</v>
      </c>
      <c r="R47" s="3">
        <f t="shared" si="37"/>
        <v>1</v>
      </c>
      <c r="S47" s="3">
        <f t="shared" si="37"/>
        <v>1</v>
      </c>
      <c r="T47" s="3">
        <f t="shared" si="37"/>
        <v>1</v>
      </c>
      <c r="U47" s="3">
        <f t="shared" si="37"/>
        <v>1</v>
      </c>
      <c r="V47" s="3">
        <f t="shared" si="37"/>
        <v>1</v>
      </c>
      <c r="W47" s="3">
        <f t="shared" si="37"/>
        <v>1</v>
      </c>
    </row>
    <row r="48" customHeight="1" spans="1:23">
      <c r="A48" s="2">
        <v>35</v>
      </c>
      <c r="B48" s="3">
        <f t="shared" ref="B48:W48" si="38">MIN(1,IF($A48&lt;B$4+B$3,0,IF(B$2=0,1,IF(B$5=0,($A48-B$4)/B$2,IF(MOD($A48-B$4,B$5)=0,($A48-B$4)/B$2,QUOTIENT($A48-B$4,B$5)*B$5/B$2)))))</f>
        <v>0.729166666666667</v>
      </c>
      <c r="C48" s="3">
        <f t="shared" si="38"/>
        <v>0.729166666666667</v>
      </c>
      <c r="D48" s="3">
        <f t="shared" si="38"/>
        <v>1</v>
      </c>
      <c r="E48" s="3" t="e">
        <f t="shared" si="38"/>
        <v>#REF!</v>
      </c>
      <c r="F48" s="3">
        <f t="shared" si="38"/>
        <v>0.972222222222222</v>
      </c>
      <c r="G48" s="3">
        <f t="shared" si="38"/>
        <v>1</v>
      </c>
      <c r="H48" s="3">
        <f t="shared" si="38"/>
        <v>1</v>
      </c>
      <c r="I48" s="3">
        <f t="shared" si="38"/>
        <v>1</v>
      </c>
      <c r="J48" s="3">
        <f t="shared" si="38"/>
        <v>1</v>
      </c>
      <c r="K48" s="3">
        <f t="shared" si="38"/>
        <v>1</v>
      </c>
      <c r="L48" s="3">
        <f t="shared" si="38"/>
        <v>1</v>
      </c>
      <c r="M48" s="3" t="e">
        <f t="shared" si="38"/>
        <v>#REF!</v>
      </c>
      <c r="N48" s="3">
        <f t="shared" si="38"/>
        <v>1</v>
      </c>
      <c r="O48" s="3">
        <f t="shared" si="38"/>
        <v>1</v>
      </c>
      <c r="P48" s="3">
        <f t="shared" si="38"/>
        <v>1</v>
      </c>
      <c r="Q48" s="3">
        <f t="shared" si="38"/>
        <v>1</v>
      </c>
      <c r="R48" s="3">
        <f t="shared" si="38"/>
        <v>1</v>
      </c>
      <c r="S48" s="3">
        <f t="shared" si="38"/>
        <v>1</v>
      </c>
      <c r="T48" s="3">
        <f t="shared" si="38"/>
        <v>1</v>
      </c>
      <c r="U48" s="3">
        <f t="shared" si="38"/>
        <v>1</v>
      </c>
      <c r="V48" s="3">
        <f t="shared" si="38"/>
        <v>1</v>
      </c>
      <c r="W48" s="3">
        <f t="shared" si="38"/>
        <v>1</v>
      </c>
    </row>
    <row r="49" customHeight="1" spans="1:23">
      <c r="A49" s="2">
        <v>36</v>
      </c>
      <c r="B49" s="3">
        <f t="shared" ref="B49:W49" si="39">MIN(1,IF($A49&lt;B$4+B$3,0,IF(B$2=0,1,IF(B$5=0,($A49-B$4)/B$2,IF(MOD($A49-B$4,B$5)=0,($A49-B$4)/B$2,QUOTIENT($A49-B$4,B$5)*B$5/B$2)))))</f>
        <v>0.75</v>
      </c>
      <c r="C49" s="3">
        <f t="shared" si="39"/>
        <v>0.75</v>
      </c>
      <c r="D49" s="3">
        <f t="shared" si="39"/>
        <v>1</v>
      </c>
      <c r="E49" s="3" t="e">
        <f t="shared" si="39"/>
        <v>#REF!</v>
      </c>
      <c r="F49" s="3">
        <f t="shared" si="39"/>
        <v>1</v>
      </c>
      <c r="G49" s="3">
        <f t="shared" si="39"/>
        <v>1</v>
      </c>
      <c r="H49" s="3">
        <f t="shared" si="39"/>
        <v>1</v>
      </c>
      <c r="I49" s="3">
        <f t="shared" si="39"/>
        <v>1</v>
      </c>
      <c r="J49" s="3">
        <f t="shared" si="39"/>
        <v>1</v>
      </c>
      <c r="K49" s="3">
        <f t="shared" si="39"/>
        <v>1</v>
      </c>
      <c r="L49" s="3">
        <f t="shared" si="39"/>
        <v>1</v>
      </c>
      <c r="M49" s="3" t="e">
        <f t="shared" si="39"/>
        <v>#REF!</v>
      </c>
      <c r="N49" s="3">
        <f t="shared" si="39"/>
        <v>1</v>
      </c>
      <c r="O49" s="3">
        <f t="shared" si="39"/>
        <v>1</v>
      </c>
      <c r="P49" s="3">
        <f t="shared" si="39"/>
        <v>1</v>
      </c>
      <c r="Q49" s="3">
        <f t="shared" si="39"/>
        <v>1</v>
      </c>
      <c r="R49" s="3">
        <f t="shared" si="39"/>
        <v>1</v>
      </c>
      <c r="S49" s="3">
        <f t="shared" si="39"/>
        <v>1</v>
      </c>
      <c r="T49" s="3">
        <f t="shared" si="39"/>
        <v>1</v>
      </c>
      <c r="U49" s="3">
        <f t="shared" si="39"/>
        <v>1</v>
      </c>
      <c r="V49" s="3">
        <f t="shared" si="39"/>
        <v>1</v>
      </c>
      <c r="W49" s="3">
        <f t="shared" si="39"/>
        <v>1</v>
      </c>
    </row>
    <row r="50" customHeight="1" spans="1:23">
      <c r="A50" s="2">
        <v>37</v>
      </c>
      <c r="B50" s="3">
        <f t="shared" ref="B50:W50" si="40">MIN(1,IF($A50&lt;B$4+B$3,0,IF(B$2=0,1,IF(B$5=0,($A50-B$4)/B$2,IF(MOD($A50-B$4,B$5)=0,($A50-B$4)/B$2,QUOTIENT($A50-B$4,B$5)*B$5/B$2)))))</f>
        <v>0.770833333333333</v>
      </c>
      <c r="C50" s="3">
        <f t="shared" si="40"/>
        <v>0.770833333333333</v>
      </c>
      <c r="D50" s="3">
        <f t="shared" si="40"/>
        <v>1</v>
      </c>
      <c r="E50" s="3" t="e">
        <f t="shared" si="40"/>
        <v>#REF!</v>
      </c>
      <c r="F50" s="3">
        <f t="shared" si="40"/>
        <v>1</v>
      </c>
      <c r="G50" s="3">
        <f t="shared" si="40"/>
        <v>1</v>
      </c>
      <c r="H50" s="3">
        <f t="shared" si="40"/>
        <v>1</v>
      </c>
      <c r="I50" s="3">
        <f t="shared" si="40"/>
        <v>1</v>
      </c>
      <c r="J50" s="3">
        <f t="shared" si="40"/>
        <v>1</v>
      </c>
      <c r="K50" s="3">
        <f t="shared" si="40"/>
        <v>1</v>
      </c>
      <c r="L50" s="3">
        <f t="shared" si="40"/>
        <v>1</v>
      </c>
      <c r="M50" s="3" t="e">
        <f t="shared" si="40"/>
        <v>#REF!</v>
      </c>
      <c r="N50" s="3">
        <f t="shared" si="40"/>
        <v>1</v>
      </c>
      <c r="O50" s="3">
        <f t="shared" si="40"/>
        <v>1</v>
      </c>
      <c r="P50" s="3">
        <f t="shared" si="40"/>
        <v>1</v>
      </c>
      <c r="Q50" s="3">
        <f t="shared" si="40"/>
        <v>1</v>
      </c>
      <c r="R50" s="3">
        <f t="shared" si="40"/>
        <v>1</v>
      </c>
      <c r="S50" s="3">
        <f t="shared" si="40"/>
        <v>1</v>
      </c>
      <c r="T50" s="3">
        <f t="shared" si="40"/>
        <v>1</v>
      </c>
      <c r="U50" s="3">
        <f t="shared" si="40"/>
        <v>1</v>
      </c>
      <c r="V50" s="3">
        <f t="shared" si="40"/>
        <v>1</v>
      </c>
      <c r="W50" s="3">
        <f t="shared" si="40"/>
        <v>1</v>
      </c>
    </row>
    <row r="51" customHeight="1" spans="1:23">
      <c r="A51" s="2">
        <v>38</v>
      </c>
      <c r="B51" s="3">
        <f t="shared" ref="B51:W51" si="41">MIN(1,IF($A51&lt;B$4+B$3,0,IF(B$2=0,1,IF(B$5=0,($A51-B$4)/B$2,IF(MOD($A51-B$4,B$5)=0,($A51-B$4)/B$2,QUOTIENT($A51-B$4,B$5)*B$5/B$2)))))</f>
        <v>0.791666666666667</v>
      </c>
      <c r="C51" s="3">
        <f t="shared" si="41"/>
        <v>0.791666666666667</v>
      </c>
      <c r="D51" s="3">
        <f t="shared" si="41"/>
        <v>1</v>
      </c>
      <c r="E51" s="3" t="e">
        <f t="shared" si="41"/>
        <v>#REF!</v>
      </c>
      <c r="F51" s="3">
        <f t="shared" si="41"/>
        <v>1</v>
      </c>
      <c r="G51" s="3">
        <f t="shared" si="41"/>
        <v>1</v>
      </c>
      <c r="H51" s="3">
        <f t="shared" si="41"/>
        <v>1</v>
      </c>
      <c r="I51" s="3">
        <f t="shared" si="41"/>
        <v>1</v>
      </c>
      <c r="J51" s="3">
        <f t="shared" si="41"/>
        <v>1</v>
      </c>
      <c r="K51" s="3">
        <f t="shared" si="41"/>
        <v>1</v>
      </c>
      <c r="L51" s="3">
        <f t="shared" si="41"/>
        <v>1</v>
      </c>
      <c r="M51" s="3" t="e">
        <f t="shared" si="41"/>
        <v>#REF!</v>
      </c>
      <c r="N51" s="3">
        <f t="shared" si="41"/>
        <v>1</v>
      </c>
      <c r="O51" s="3">
        <f t="shared" si="41"/>
        <v>1</v>
      </c>
      <c r="P51" s="3">
        <f t="shared" si="41"/>
        <v>1</v>
      </c>
      <c r="Q51" s="3">
        <f t="shared" si="41"/>
        <v>1</v>
      </c>
      <c r="R51" s="3">
        <f t="shared" si="41"/>
        <v>1</v>
      </c>
      <c r="S51" s="3">
        <f t="shared" si="41"/>
        <v>1</v>
      </c>
      <c r="T51" s="3">
        <f t="shared" si="41"/>
        <v>1</v>
      </c>
      <c r="U51" s="3">
        <f t="shared" si="41"/>
        <v>1</v>
      </c>
      <c r="V51" s="3">
        <f t="shared" si="41"/>
        <v>1</v>
      </c>
      <c r="W51" s="3">
        <f t="shared" si="41"/>
        <v>1</v>
      </c>
    </row>
    <row r="52" customHeight="1" spans="1:23">
      <c r="A52" s="2">
        <v>39</v>
      </c>
      <c r="B52" s="3">
        <f t="shared" ref="B52:W52" si="42">MIN(1,IF($A52&lt;B$4+B$3,0,IF(B$2=0,1,IF(B$5=0,($A52-B$4)/B$2,IF(MOD($A52-B$4,B$5)=0,($A52-B$4)/B$2,QUOTIENT($A52-B$4,B$5)*B$5/B$2)))))</f>
        <v>0.8125</v>
      </c>
      <c r="C52" s="3">
        <f t="shared" si="42"/>
        <v>0.8125</v>
      </c>
      <c r="D52" s="3">
        <f t="shared" si="42"/>
        <v>1</v>
      </c>
      <c r="E52" s="3" t="e">
        <f t="shared" si="42"/>
        <v>#REF!</v>
      </c>
      <c r="F52" s="3">
        <f t="shared" si="42"/>
        <v>1</v>
      </c>
      <c r="G52" s="3">
        <f t="shared" si="42"/>
        <v>1</v>
      </c>
      <c r="H52" s="3">
        <f t="shared" si="42"/>
        <v>1</v>
      </c>
      <c r="I52" s="3">
        <f t="shared" si="42"/>
        <v>1</v>
      </c>
      <c r="J52" s="3">
        <f t="shared" si="42"/>
        <v>1</v>
      </c>
      <c r="K52" s="3">
        <f t="shared" si="42"/>
        <v>1</v>
      </c>
      <c r="L52" s="3">
        <f t="shared" si="42"/>
        <v>1</v>
      </c>
      <c r="M52" s="3" t="e">
        <f t="shared" si="42"/>
        <v>#REF!</v>
      </c>
      <c r="N52" s="3">
        <f t="shared" si="42"/>
        <v>1</v>
      </c>
      <c r="O52" s="3">
        <f t="shared" si="42"/>
        <v>1</v>
      </c>
      <c r="P52" s="3">
        <f t="shared" si="42"/>
        <v>1</v>
      </c>
      <c r="Q52" s="3">
        <f t="shared" si="42"/>
        <v>1</v>
      </c>
      <c r="R52" s="3">
        <f t="shared" si="42"/>
        <v>1</v>
      </c>
      <c r="S52" s="3">
        <f t="shared" si="42"/>
        <v>1</v>
      </c>
      <c r="T52" s="3">
        <f t="shared" si="42"/>
        <v>1</v>
      </c>
      <c r="U52" s="3">
        <f t="shared" si="42"/>
        <v>1</v>
      </c>
      <c r="V52" s="3">
        <f t="shared" si="42"/>
        <v>1</v>
      </c>
      <c r="W52" s="3">
        <f t="shared" si="42"/>
        <v>1</v>
      </c>
    </row>
    <row r="53" customHeight="1" spans="1:23">
      <c r="A53" s="2">
        <v>40</v>
      </c>
      <c r="B53" s="3">
        <f t="shared" ref="B53:W53" si="43">MIN(1,IF($A53&lt;B$4+B$3,0,IF(B$2=0,1,IF(B$5=0,($A53-B$4)/B$2,IF(MOD($A53-B$4,B$5)=0,($A53-B$4)/B$2,QUOTIENT($A53-B$4,B$5)*B$5/B$2)))))</f>
        <v>0.833333333333333</v>
      </c>
      <c r="C53" s="3">
        <f t="shared" si="43"/>
        <v>0.833333333333333</v>
      </c>
      <c r="D53" s="3">
        <f t="shared" si="43"/>
        <v>1</v>
      </c>
      <c r="E53" s="3" t="e">
        <f t="shared" si="43"/>
        <v>#REF!</v>
      </c>
      <c r="F53" s="3">
        <f t="shared" si="43"/>
        <v>1</v>
      </c>
      <c r="G53" s="3">
        <f t="shared" si="43"/>
        <v>1</v>
      </c>
      <c r="H53" s="3">
        <f t="shared" si="43"/>
        <v>1</v>
      </c>
      <c r="I53" s="3">
        <f t="shared" si="43"/>
        <v>1</v>
      </c>
      <c r="J53" s="3">
        <f t="shared" si="43"/>
        <v>1</v>
      </c>
      <c r="K53" s="3">
        <f t="shared" si="43"/>
        <v>1</v>
      </c>
      <c r="L53" s="3">
        <f t="shared" si="43"/>
        <v>1</v>
      </c>
      <c r="M53" s="3" t="e">
        <f t="shared" si="43"/>
        <v>#REF!</v>
      </c>
      <c r="N53" s="3">
        <f t="shared" si="43"/>
        <v>1</v>
      </c>
      <c r="O53" s="3">
        <f t="shared" si="43"/>
        <v>1</v>
      </c>
      <c r="P53" s="3">
        <f t="shared" si="43"/>
        <v>1</v>
      </c>
      <c r="Q53" s="3">
        <f t="shared" si="43"/>
        <v>1</v>
      </c>
      <c r="R53" s="3">
        <f t="shared" si="43"/>
        <v>1</v>
      </c>
      <c r="S53" s="3">
        <f t="shared" si="43"/>
        <v>1</v>
      </c>
      <c r="T53" s="3">
        <f t="shared" si="43"/>
        <v>1</v>
      </c>
      <c r="U53" s="3">
        <f t="shared" si="43"/>
        <v>1</v>
      </c>
      <c r="V53" s="3">
        <f t="shared" si="43"/>
        <v>1</v>
      </c>
      <c r="W53" s="3">
        <f t="shared" si="43"/>
        <v>1</v>
      </c>
    </row>
    <row r="54" customHeight="1" spans="1:23">
      <c r="A54" s="2">
        <v>41</v>
      </c>
      <c r="B54" s="3">
        <f t="shared" ref="B54:W54" si="44">MIN(1,IF($A54&lt;B$4+B$3,0,IF(B$2=0,1,IF(B$5=0,($A54-B$4)/B$2,IF(MOD($A54-B$4,B$5)=0,($A54-B$4)/B$2,QUOTIENT($A54-B$4,B$5)*B$5/B$2)))))</f>
        <v>0.854166666666667</v>
      </c>
      <c r="C54" s="3">
        <f t="shared" si="44"/>
        <v>0.854166666666667</v>
      </c>
      <c r="D54" s="3">
        <f t="shared" si="44"/>
        <v>1</v>
      </c>
      <c r="E54" s="3" t="e">
        <f t="shared" si="44"/>
        <v>#REF!</v>
      </c>
      <c r="F54" s="3">
        <f t="shared" si="44"/>
        <v>1</v>
      </c>
      <c r="G54" s="3">
        <f t="shared" si="44"/>
        <v>1</v>
      </c>
      <c r="H54" s="3">
        <f t="shared" si="44"/>
        <v>1</v>
      </c>
      <c r="I54" s="3">
        <f t="shared" si="44"/>
        <v>1</v>
      </c>
      <c r="J54" s="3">
        <f t="shared" si="44"/>
        <v>1</v>
      </c>
      <c r="K54" s="3">
        <f t="shared" si="44"/>
        <v>1</v>
      </c>
      <c r="L54" s="3">
        <f t="shared" si="44"/>
        <v>1</v>
      </c>
      <c r="M54" s="3" t="e">
        <f t="shared" si="44"/>
        <v>#REF!</v>
      </c>
      <c r="N54" s="3">
        <f t="shared" si="44"/>
        <v>1</v>
      </c>
      <c r="O54" s="3">
        <f t="shared" si="44"/>
        <v>1</v>
      </c>
      <c r="P54" s="3">
        <f t="shared" si="44"/>
        <v>1</v>
      </c>
      <c r="Q54" s="3">
        <f t="shared" si="44"/>
        <v>1</v>
      </c>
      <c r="R54" s="3">
        <f t="shared" si="44"/>
        <v>1</v>
      </c>
      <c r="S54" s="3">
        <f t="shared" si="44"/>
        <v>1</v>
      </c>
      <c r="T54" s="3">
        <f t="shared" si="44"/>
        <v>1</v>
      </c>
      <c r="U54" s="3">
        <f t="shared" si="44"/>
        <v>1</v>
      </c>
      <c r="V54" s="3">
        <f t="shared" si="44"/>
        <v>1</v>
      </c>
      <c r="W54" s="3">
        <f t="shared" si="44"/>
        <v>1</v>
      </c>
    </row>
    <row r="55" customHeight="1" spans="1:23">
      <c r="A55" s="2">
        <v>42</v>
      </c>
      <c r="B55" s="3">
        <f t="shared" ref="B55:W55" si="45">MIN(1,IF($A55&lt;B$4+B$3,0,IF(B$2=0,1,IF(B$5=0,($A55-B$4)/B$2,IF(MOD($A55-B$4,B$5)=0,($A55-B$4)/B$2,QUOTIENT($A55-B$4,B$5)*B$5/B$2)))))</f>
        <v>0.875</v>
      </c>
      <c r="C55" s="3">
        <f t="shared" si="45"/>
        <v>0.875</v>
      </c>
      <c r="D55" s="3">
        <f t="shared" si="45"/>
        <v>1</v>
      </c>
      <c r="E55" s="3" t="e">
        <f t="shared" si="45"/>
        <v>#REF!</v>
      </c>
      <c r="F55" s="3">
        <f t="shared" si="45"/>
        <v>1</v>
      </c>
      <c r="G55" s="3">
        <f t="shared" si="45"/>
        <v>1</v>
      </c>
      <c r="H55" s="3">
        <f t="shared" si="45"/>
        <v>1</v>
      </c>
      <c r="I55" s="3">
        <f t="shared" si="45"/>
        <v>1</v>
      </c>
      <c r="J55" s="3">
        <f t="shared" si="45"/>
        <v>1</v>
      </c>
      <c r="K55" s="3">
        <f t="shared" si="45"/>
        <v>1</v>
      </c>
      <c r="L55" s="3">
        <f t="shared" si="45"/>
        <v>1</v>
      </c>
      <c r="M55" s="3" t="e">
        <f t="shared" si="45"/>
        <v>#REF!</v>
      </c>
      <c r="N55" s="3">
        <f t="shared" si="45"/>
        <v>1</v>
      </c>
      <c r="O55" s="3">
        <f t="shared" si="45"/>
        <v>1</v>
      </c>
      <c r="P55" s="3">
        <f t="shared" si="45"/>
        <v>1</v>
      </c>
      <c r="Q55" s="3">
        <f t="shared" si="45"/>
        <v>1</v>
      </c>
      <c r="R55" s="3">
        <f t="shared" si="45"/>
        <v>1</v>
      </c>
      <c r="S55" s="3">
        <f t="shared" si="45"/>
        <v>1</v>
      </c>
      <c r="T55" s="3">
        <f t="shared" si="45"/>
        <v>1</v>
      </c>
      <c r="U55" s="3">
        <f t="shared" si="45"/>
        <v>1</v>
      </c>
      <c r="V55" s="3">
        <f t="shared" si="45"/>
        <v>1</v>
      </c>
      <c r="W55" s="3">
        <f t="shared" si="45"/>
        <v>1</v>
      </c>
    </row>
    <row r="56" customHeight="1" spans="1:23">
      <c r="A56" s="2">
        <v>43</v>
      </c>
      <c r="B56" s="3">
        <f t="shared" ref="B56:W56" si="46">MIN(1,IF($A56&lt;B$4+B$3,0,IF(B$2=0,1,IF(B$5=0,($A56-B$4)/B$2,IF(MOD($A56-B$4,B$5)=0,($A56-B$4)/B$2,QUOTIENT($A56-B$4,B$5)*B$5/B$2)))))</f>
        <v>0.895833333333333</v>
      </c>
      <c r="C56" s="3">
        <f t="shared" si="46"/>
        <v>0.895833333333333</v>
      </c>
      <c r="D56" s="3">
        <f t="shared" si="46"/>
        <v>1</v>
      </c>
      <c r="E56" s="3" t="e">
        <f t="shared" si="46"/>
        <v>#REF!</v>
      </c>
      <c r="F56" s="3">
        <f t="shared" si="46"/>
        <v>1</v>
      </c>
      <c r="G56" s="3">
        <f t="shared" si="46"/>
        <v>1</v>
      </c>
      <c r="H56" s="3">
        <f t="shared" si="46"/>
        <v>1</v>
      </c>
      <c r="I56" s="3">
        <f t="shared" si="46"/>
        <v>1</v>
      </c>
      <c r="J56" s="3">
        <f t="shared" si="46"/>
        <v>1</v>
      </c>
      <c r="K56" s="3">
        <f t="shared" si="46"/>
        <v>1</v>
      </c>
      <c r="L56" s="3">
        <f t="shared" si="46"/>
        <v>1</v>
      </c>
      <c r="M56" s="3" t="e">
        <f t="shared" si="46"/>
        <v>#REF!</v>
      </c>
      <c r="N56" s="3">
        <f t="shared" si="46"/>
        <v>1</v>
      </c>
      <c r="O56" s="3">
        <f t="shared" si="46"/>
        <v>1</v>
      </c>
      <c r="P56" s="3">
        <f t="shared" si="46"/>
        <v>1</v>
      </c>
      <c r="Q56" s="3">
        <f t="shared" si="46"/>
        <v>1</v>
      </c>
      <c r="R56" s="3">
        <f t="shared" si="46"/>
        <v>1</v>
      </c>
      <c r="S56" s="3">
        <f t="shared" si="46"/>
        <v>1</v>
      </c>
      <c r="T56" s="3">
        <f t="shared" si="46"/>
        <v>1</v>
      </c>
      <c r="U56" s="3">
        <f t="shared" si="46"/>
        <v>1</v>
      </c>
      <c r="V56" s="3">
        <f t="shared" si="46"/>
        <v>1</v>
      </c>
      <c r="W56" s="3">
        <f t="shared" si="46"/>
        <v>1</v>
      </c>
    </row>
    <row r="57" customHeight="1" spans="1:23">
      <c r="A57" s="2">
        <v>44</v>
      </c>
      <c r="B57" s="3">
        <f t="shared" ref="B57:W57" si="47">MIN(1,IF($A57&lt;B$4+B$3,0,IF(B$2=0,1,IF(B$5=0,($A57-B$4)/B$2,IF(MOD($A57-B$4,B$5)=0,($A57-B$4)/B$2,QUOTIENT($A57-B$4,B$5)*B$5/B$2)))))</f>
        <v>0.916666666666667</v>
      </c>
      <c r="C57" s="3">
        <f t="shared" si="47"/>
        <v>0.916666666666667</v>
      </c>
      <c r="D57" s="3">
        <f t="shared" si="47"/>
        <v>1</v>
      </c>
      <c r="E57" s="3" t="e">
        <f t="shared" si="47"/>
        <v>#REF!</v>
      </c>
      <c r="F57" s="3">
        <f t="shared" si="47"/>
        <v>1</v>
      </c>
      <c r="G57" s="3">
        <f t="shared" si="47"/>
        <v>1</v>
      </c>
      <c r="H57" s="3">
        <f t="shared" si="47"/>
        <v>1</v>
      </c>
      <c r="I57" s="3">
        <f t="shared" si="47"/>
        <v>1</v>
      </c>
      <c r="J57" s="3">
        <f t="shared" si="47"/>
        <v>1</v>
      </c>
      <c r="K57" s="3">
        <f t="shared" si="47"/>
        <v>1</v>
      </c>
      <c r="L57" s="3">
        <f t="shared" si="47"/>
        <v>1</v>
      </c>
      <c r="M57" s="3" t="e">
        <f t="shared" si="47"/>
        <v>#REF!</v>
      </c>
      <c r="N57" s="3">
        <f t="shared" si="47"/>
        <v>1</v>
      </c>
      <c r="O57" s="3">
        <f t="shared" si="47"/>
        <v>1</v>
      </c>
      <c r="P57" s="3">
        <f t="shared" si="47"/>
        <v>1</v>
      </c>
      <c r="Q57" s="3">
        <f t="shared" si="47"/>
        <v>1</v>
      </c>
      <c r="R57" s="3">
        <f t="shared" si="47"/>
        <v>1</v>
      </c>
      <c r="S57" s="3">
        <f t="shared" si="47"/>
        <v>1</v>
      </c>
      <c r="T57" s="3">
        <f t="shared" si="47"/>
        <v>1</v>
      </c>
      <c r="U57" s="3">
        <f t="shared" si="47"/>
        <v>1</v>
      </c>
      <c r="V57" s="3">
        <f t="shared" si="47"/>
        <v>1</v>
      </c>
      <c r="W57" s="3">
        <f t="shared" si="47"/>
        <v>1</v>
      </c>
    </row>
    <row r="58" customHeight="1" spans="1:23">
      <c r="A58" s="2">
        <v>45</v>
      </c>
      <c r="B58" s="3">
        <f t="shared" ref="B58:W58" si="48">MIN(1,IF($A58&lt;B$4+B$3,0,IF(B$2=0,1,IF(B$5=0,($A58-B$4)/B$2,IF(MOD($A58-B$4,B$5)=0,($A58-B$4)/B$2,QUOTIENT($A58-B$4,B$5)*B$5/B$2)))))</f>
        <v>0.9375</v>
      </c>
      <c r="C58" s="3">
        <f t="shared" si="48"/>
        <v>0.9375</v>
      </c>
      <c r="D58" s="3">
        <f t="shared" si="48"/>
        <v>1</v>
      </c>
      <c r="E58" s="3" t="e">
        <f t="shared" si="48"/>
        <v>#REF!</v>
      </c>
      <c r="F58" s="3">
        <f t="shared" si="48"/>
        <v>1</v>
      </c>
      <c r="G58" s="3">
        <f t="shared" si="48"/>
        <v>1</v>
      </c>
      <c r="H58" s="3">
        <f t="shared" si="48"/>
        <v>1</v>
      </c>
      <c r="I58" s="3">
        <f t="shared" si="48"/>
        <v>1</v>
      </c>
      <c r="J58" s="3">
        <f t="shared" si="48"/>
        <v>1</v>
      </c>
      <c r="K58" s="3">
        <f t="shared" si="48"/>
        <v>1</v>
      </c>
      <c r="L58" s="3">
        <f t="shared" si="48"/>
        <v>1</v>
      </c>
      <c r="M58" s="3" t="e">
        <f t="shared" si="48"/>
        <v>#REF!</v>
      </c>
      <c r="N58" s="3">
        <f t="shared" si="48"/>
        <v>1</v>
      </c>
      <c r="O58" s="3">
        <f t="shared" si="48"/>
        <v>1</v>
      </c>
      <c r="P58" s="3">
        <f t="shared" si="48"/>
        <v>1</v>
      </c>
      <c r="Q58" s="3">
        <f t="shared" si="48"/>
        <v>1</v>
      </c>
      <c r="R58" s="3">
        <f t="shared" si="48"/>
        <v>1</v>
      </c>
      <c r="S58" s="3">
        <f t="shared" si="48"/>
        <v>1</v>
      </c>
      <c r="T58" s="3">
        <f t="shared" si="48"/>
        <v>1</v>
      </c>
      <c r="U58" s="3">
        <f t="shared" si="48"/>
        <v>1</v>
      </c>
      <c r="V58" s="3">
        <f t="shared" si="48"/>
        <v>1</v>
      </c>
      <c r="W58" s="3">
        <f t="shared" si="48"/>
        <v>1</v>
      </c>
    </row>
    <row r="59" customHeight="1" spans="1:23">
      <c r="A59" s="2">
        <v>46</v>
      </c>
      <c r="B59" s="3">
        <f t="shared" ref="B59:W59" si="49">MIN(1,IF($A59&lt;B$4+B$3,0,IF(B$2=0,1,IF(B$5=0,($A59-B$4)/B$2,IF(MOD($A59-B$4,B$5)=0,($A59-B$4)/B$2,QUOTIENT($A59-B$4,B$5)*B$5/B$2)))))</f>
        <v>0.958333333333333</v>
      </c>
      <c r="C59" s="3">
        <f t="shared" si="49"/>
        <v>0.958333333333333</v>
      </c>
      <c r="D59" s="3">
        <f t="shared" si="49"/>
        <v>1</v>
      </c>
      <c r="E59" s="3" t="e">
        <f t="shared" si="49"/>
        <v>#REF!</v>
      </c>
      <c r="F59" s="3">
        <f t="shared" si="49"/>
        <v>1</v>
      </c>
      <c r="G59" s="3">
        <f t="shared" si="49"/>
        <v>1</v>
      </c>
      <c r="H59" s="3">
        <f t="shared" si="49"/>
        <v>1</v>
      </c>
      <c r="I59" s="3">
        <f t="shared" si="49"/>
        <v>1</v>
      </c>
      <c r="J59" s="3">
        <f t="shared" si="49"/>
        <v>1</v>
      </c>
      <c r="K59" s="3">
        <f t="shared" si="49"/>
        <v>1</v>
      </c>
      <c r="L59" s="3">
        <f t="shared" si="49"/>
        <v>1</v>
      </c>
      <c r="M59" s="3" t="e">
        <f t="shared" si="49"/>
        <v>#REF!</v>
      </c>
      <c r="N59" s="3">
        <f t="shared" si="49"/>
        <v>1</v>
      </c>
      <c r="O59" s="3">
        <f t="shared" si="49"/>
        <v>1</v>
      </c>
      <c r="P59" s="3">
        <f t="shared" si="49"/>
        <v>1</v>
      </c>
      <c r="Q59" s="3">
        <f t="shared" si="49"/>
        <v>1</v>
      </c>
      <c r="R59" s="3">
        <f t="shared" si="49"/>
        <v>1</v>
      </c>
      <c r="S59" s="3">
        <f t="shared" si="49"/>
        <v>1</v>
      </c>
      <c r="T59" s="3">
        <f t="shared" si="49"/>
        <v>1</v>
      </c>
      <c r="U59" s="3">
        <f t="shared" si="49"/>
        <v>1</v>
      </c>
      <c r="V59" s="3">
        <f t="shared" si="49"/>
        <v>1</v>
      </c>
      <c r="W59" s="3">
        <f t="shared" si="49"/>
        <v>1</v>
      </c>
    </row>
    <row r="60" customHeight="1" spans="1:23">
      <c r="A60" s="2">
        <v>47</v>
      </c>
      <c r="B60" s="3">
        <f t="shared" ref="B60:W60" si="50">MIN(1,IF($A60&lt;B$4+B$3,0,IF(B$2=0,1,IF(B$5=0,($A60-B$4)/B$2,IF(MOD($A60-B$4,B$5)=0,($A60-B$4)/B$2,QUOTIENT($A60-B$4,B$5)*B$5/B$2)))))</f>
        <v>0.979166666666667</v>
      </c>
      <c r="C60" s="3">
        <f t="shared" si="50"/>
        <v>0.979166666666667</v>
      </c>
      <c r="D60" s="3">
        <f t="shared" si="50"/>
        <v>1</v>
      </c>
      <c r="E60" s="3" t="e">
        <f t="shared" si="50"/>
        <v>#REF!</v>
      </c>
      <c r="F60" s="3">
        <f t="shared" si="50"/>
        <v>1</v>
      </c>
      <c r="G60" s="3">
        <f t="shared" si="50"/>
        <v>1</v>
      </c>
      <c r="H60" s="3">
        <f t="shared" si="50"/>
        <v>1</v>
      </c>
      <c r="I60" s="3">
        <f t="shared" si="50"/>
        <v>1</v>
      </c>
      <c r="J60" s="3">
        <f t="shared" si="50"/>
        <v>1</v>
      </c>
      <c r="K60" s="3">
        <f t="shared" si="50"/>
        <v>1</v>
      </c>
      <c r="L60" s="3">
        <f t="shared" si="50"/>
        <v>1</v>
      </c>
      <c r="M60" s="3" t="e">
        <f t="shared" si="50"/>
        <v>#REF!</v>
      </c>
      <c r="N60" s="3">
        <f t="shared" si="50"/>
        <v>1</v>
      </c>
      <c r="O60" s="3">
        <f t="shared" si="50"/>
        <v>1</v>
      </c>
      <c r="P60" s="3">
        <f t="shared" si="50"/>
        <v>1</v>
      </c>
      <c r="Q60" s="3">
        <f t="shared" si="50"/>
        <v>1</v>
      </c>
      <c r="R60" s="3">
        <f t="shared" si="50"/>
        <v>1</v>
      </c>
      <c r="S60" s="3">
        <f t="shared" si="50"/>
        <v>1</v>
      </c>
      <c r="T60" s="3">
        <f t="shared" si="50"/>
        <v>1</v>
      </c>
      <c r="U60" s="3">
        <f t="shared" si="50"/>
        <v>1</v>
      </c>
      <c r="V60" s="3">
        <f t="shared" si="50"/>
        <v>1</v>
      </c>
      <c r="W60" s="3">
        <f t="shared" si="50"/>
        <v>1</v>
      </c>
    </row>
    <row r="61" customHeight="1" spans="1:23">
      <c r="A61" s="2">
        <v>48</v>
      </c>
      <c r="B61" s="3">
        <f t="shared" ref="B61:W61" si="51">MIN(1,IF($A61&lt;B$4+B$3,0,IF(B$2=0,1,IF(B$5=0,($A61-B$4)/B$2,IF(MOD($A61-B$4,B$5)=0,($A61-B$4)/B$2,QUOTIENT($A61-B$4,B$5)*B$5/B$2)))))</f>
        <v>1</v>
      </c>
      <c r="C61" s="3">
        <f t="shared" si="51"/>
        <v>1</v>
      </c>
      <c r="D61" s="3">
        <f t="shared" si="51"/>
        <v>1</v>
      </c>
      <c r="E61" s="3" t="e">
        <f t="shared" si="51"/>
        <v>#REF!</v>
      </c>
      <c r="F61" s="3">
        <f t="shared" si="51"/>
        <v>1</v>
      </c>
      <c r="G61" s="3">
        <f t="shared" si="51"/>
        <v>1</v>
      </c>
      <c r="H61" s="3">
        <f t="shared" si="51"/>
        <v>1</v>
      </c>
      <c r="I61" s="3">
        <f t="shared" si="51"/>
        <v>1</v>
      </c>
      <c r="J61" s="3">
        <f t="shared" si="51"/>
        <v>1</v>
      </c>
      <c r="K61" s="3">
        <f t="shared" si="51"/>
        <v>1</v>
      </c>
      <c r="L61" s="3">
        <f t="shared" si="51"/>
        <v>1</v>
      </c>
      <c r="M61" s="3" t="e">
        <f t="shared" si="51"/>
        <v>#REF!</v>
      </c>
      <c r="N61" s="3">
        <f t="shared" si="51"/>
        <v>1</v>
      </c>
      <c r="O61" s="3">
        <f t="shared" si="51"/>
        <v>1</v>
      </c>
      <c r="P61" s="3">
        <f t="shared" si="51"/>
        <v>1</v>
      </c>
      <c r="Q61" s="3">
        <f t="shared" si="51"/>
        <v>1</v>
      </c>
      <c r="R61" s="3">
        <f t="shared" si="51"/>
        <v>1</v>
      </c>
      <c r="S61" s="3">
        <f t="shared" si="51"/>
        <v>1</v>
      </c>
      <c r="T61" s="3">
        <f t="shared" si="51"/>
        <v>1</v>
      </c>
      <c r="U61" s="3">
        <f t="shared" si="51"/>
        <v>1</v>
      </c>
      <c r="V61" s="3">
        <f t="shared" si="51"/>
        <v>1</v>
      </c>
      <c r="W61" s="3">
        <f t="shared" si="51"/>
        <v>1</v>
      </c>
    </row>
    <row r="62" customHeight="1" spans="1:23">
      <c r="A62" s="2">
        <v>49</v>
      </c>
      <c r="B62" s="3">
        <f t="shared" ref="B62:W62" si="52">MIN(1,IF($A62&lt;B$4+B$3,0,IF(B$2=0,1,IF(B$5=0,($A62-B$4)/B$2,IF(MOD($A62-B$4,B$5)=0,($A62-B$4)/B$2,QUOTIENT($A62-B$4,B$5)*B$5/B$2)))))</f>
        <v>1</v>
      </c>
      <c r="C62" s="3">
        <f t="shared" si="52"/>
        <v>1</v>
      </c>
      <c r="D62" s="3">
        <f t="shared" si="52"/>
        <v>1</v>
      </c>
      <c r="E62" s="3" t="e">
        <f t="shared" si="52"/>
        <v>#REF!</v>
      </c>
      <c r="F62" s="3">
        <f t="shared" si="52"/>
        <v>1</v>
      </c>
      <c r="G62" s="3">
        <f t="shared" si="52"/>
        <v>1</v>
      </c>
      <c r="H62" s="3">
        <f t="shared" si="52"/>
        <v>1</v>
      </c>
      <c r="I62" s="3">
        <f t="shared" si="52"/>
        <v>1</v>
      </c>
      <c r="J62" s="3">
        <f t="shared" si="52"/>
        <v>1</v>
      </c>
      <c r="K62" s="3">
        <f t="shared" si="52"/>
        <v>1</v>
      </c>
      <c r="L62" s="3">
        <f t="shared" si="52"/>
        <v>1</v>
      </c>
      <c r="M62" s="3" t="e">
        <f t="shared" si="52"/>
        <v>#REF!</v>
      </c>
      <c r="N62" s="3">
        <f t="shared" si="52"/>
        <v>1</v>
      </c>
      <c r="O62" s="3">
        <f t="shared" si="52"/>
        <v>1</v>
      </c>
      <c r="P62" s="3">
        <f t="shared" si="52"/>
        <v>1</v>
      </c>
      <c r="Q62" s="3">
        <f t="shared" si="52"/>
        <v>1</v>
      </c>
      <c r="R62" s="3">
        <f t="shared" si="52"/>
        <v>1</v>
      </c>
      <c r="S62" s="3">
        <f t="shared" si="52"/>
        <v>1</v>
      </c>
      <c r="T62" s="3">
        <f t="shared" si="52"/>
        <v>1</v>
      </c>
      <c r="U62" s="3">
        <f t="shared" si="52"/>
        <v>1</v>
      </c>
      <c r="V62" s="3">
        <f t="shared" si="52"/>
        <v>1</v>
      </c>
      <c r="W62" s="3">
        <f t="shared" si="52"/>
        <v>1</v>
      </c>
    </row>
    <row r="63" customHeight="1" spans="1:23">
      <c r="A63" s="2">
        <v>50</v>
      </c>
      <c r="B63" s="3">
        <f t="shared" ref="B63:W63" si="53">MIN(1,IF($A63&lt;B$4+B$3,0,IF(B$2=0,1,IF(B$5=0,($A63-B$4)/B$2,IF(MOD($A63-B$4,B$5)=0,($A63-B$4)/B$2,QUOTIENT($A63-B$4,B$5)*B$5/B$2)))))</f>
        <v>1</v>
      </c>
      <c r="C63" s="3">
        <f t="shared" si="53"/>
        <v>1</v>
      </c>
      <c r="D63" s="3">
        <f t="shared" si="53"/>
        <v>1</v>
      </c>
      <c r="E63" s="3" t="e">
        <f t="shared" si="53"/>
        <v>#REF!</v>
      </c>
      <c r="F63" s="3">
        <f t="shared" si="53"/>
        <v>1</v>
      </c>
      <c r="G63" s="3">
        <f t="shared" si="53"/>
        <v>1</v>
      </c>
      <c r="H63" s="3">
        <f t="shared" si="53"/>
        <v>1</v>
      </c>
      <c r="I63" s="3">
        <f t="shared" si="53"/>
        <v>1</v>
      </c>
      <c r="J63" s="3">
        <f t="shared" si="53"/>
        <v>1</v>
      </c>
      <c r="K63" s="3">
        <f t="shared" si="53"/>
        <v>1</v>
      </c>
      <c r="L63" s="3">
        <f t="shared" si="53"/>
        <v>1</v>
      </c>
      <c r="M63" s="3" t="e">
        <f t="shared" si="53"/>
        <v>#REF!</v>
      </c>
      <c r="N63" s="3">
        <f t="shared" si="53"/>
        <v>1</v>
      </c>
      <c r="O63" s="3">
        <f t="shared" si="53"/>
        <v>1</v>
      </c>
      <c r="P63" s="3">
        <f t="shared" si="53"/>
        <v>1</v>
      </c>
      <c r="Q63" s="3">
        <f t="shared" si="53"/>
        <v>1</v>
      </c>
      <c r="R63" s="3">
        <f t="shared" si="53"/>
        <v>1</v>
      </c>
      <c r="S63" s="3">
        <f t="shared" si="53"/>
        <v>1</v>
      </c>
      <c r="T63" s="3">
        <f t="shared" si="53"/>
        <v>1</v>
      </c>
      <c r="U63" s="3">
        <f t="shared" si="53"/>
        <v>1</v>
      </c>
      <c r="V63" s="3">
        <f t="shared" si="53"/>
        <v>1</v>
      </c>
      <c r="W63" s="3">
        <f t="shared" si="53"/>
        <v>1</v>
      </c>
    </row>
    <row r="64" customHeight="1" spans="1:23">
      <c r="A64" s="2">
        <v>51</v>
      </c>
      <c r="B64" s="3">
        <f t="shared" ref="B64:W64" si="54">MIN(1,IF($A64&lt;B$4+B$3,0,IF(B$2=0,1,IF(B$5=0,($A64-B$4)/B$2,IF(MOD($A64-B$4,B$5)=0,($A64-B$4)/B$2,QUOTIENT($A64-B$4,B$5)*B$5/B$2)))))</f>
        <v>1</v>
      </c>
      <c r="C64" s="3">
        <f t="shared" si="54"/>
        <v>1</v>
      </c>
      <c r="D64" s="3">
        <f t="shared" si="54"/>
        <v>1</v>
      </c>
      <c r="E64" s="3" t="e">
        <f t="shared" si="54"/>
        <v>#REF!</v>
      </c>
      <c r="F64" s="3">
        <f t="shared" si="54"/>
        <v>1</v>
      </c>
      <c r="G64" s="3">
        <f t="shared" si="54"/>
        <v>1</v>
      </c>
      <c r="H64" s="3">
        <f t="shared" si="54"/>
        <v>1</v>
      </c>
      <c r="I64" s="3">
        <f t="shared" si="54"/>
        <v>1</v>
      </c>
      <c r="J64" s="3">
        <f t="shared" si="54"/>
        <v>1</v>
      </c>
      <c r="K64" s="3">
        <f t="shared" si="54"/>
        <v>1</v>
      </c>
      <c r="L64" s="3">
        <f t="shared" si="54"/>
        <v>1</v>
      </c>
      <c r="M64" s="3" t="e">
        <f t="shared" si="54"/>
        <v>#REF!</v>
      </c>
      <c r="N64" s="3">
        <f t="shared" si="54"/>
        <v>1</v>
      </c>
      <c r="O64" s="3">
        <f t="shared" si="54"/>
        <v>1</v>
      </c>
      <c r="P64" s="3">
        <f t="shared" si="54"/>
        <v>1</v>
      </c>
      <c r="Q64" s="3">
        <f t="shared" si="54"/>
        <v>1</v>
      </c>
      <c r="R64" s="3">
        <f t="shared" si="54"/>
        <v>1</v>
      </c>
      <c r="S64" s="3">
        <f t="shared" si="54"/>
        <v>1</v>
      </c>
      <c r="T64" s="3">
        <f t="shared" si="54"/>
        <v>1</v>
      </c>
      <c r="U64" s="3">
        <f t="shared" si="54"/>
        <v>1</v>
      </c>
      <c r="V64" s="3">
        <f t="shared" si="54"/>
        <v>1</v>
      </c>
      <c r="W64" s="3">
        <f t="shared" si="54"/>
        <v>1</v>
      </c>
    </row>
    <row r="65" customHeight="1" spans="1:23">
      <c r="A65" s="2">
        <v>52</v>
      </c>
      <c r="B65" s="3">
        <f t="shared" ref="B65:W65" si="55">MIN(1,IF($A65&lt;B$4+B$3,0,IF(B$2=0,1,IF(B$5=0,($A65-B$4)/B$2,IF(MOD($A65-B$4,B$5)=0,($A65-B$4)/B$2,QUOTIENT($A65-B$4,B$5)*B$5/B$2)))))</f>
        <v>1</v>
      </c>
      <c r="C65" s="3">
        <f t="shared" si="55"/>
        <v>1</v>
      </c>
      <c r="D65" s="3">
        <f t="shared" si="55"/>
        <v>1</v>
      </c>
      <c r="E65" s="3" t="e">
        <f t="shared" si="55"/>
        <v>#REF!</v>
      </c>
      <c r="F65" s="3">
        <f t="shared" si="55"/>
        <v>1</v>
      </c>
      <c r="G65" s="3">
        <f t="shared" si="55"/>
        <v>1</v>
      </c>
      <c r="H65" s="3">
        <f t="shared" si="55"/>
        <v>1</v>
      </c>
      <c r="I65" s="3">
        <f t="shared" si="55"/>
        <v>1</v>
      </c>
      <c r="J65" s="3">
        <f t="shared" si="55"/>
        <v>1</v>
      </c>
      <c r="K65" s="3">
        <f t="shared" si="55"/>
        <v>1</v>
      </c>
      <c r="L65" s="3">
        <f t="shared" si="55"/>
        <v>1</v>
      </c>
      <c r="M65" s="3" t="e">
        <f t="shared" si="55"/>
        <v>#REF!</v>
      </c>
      <c r="N65" s="3">
        <f t="shared" si="55"/>
        <v>1</v>
      </c>
      <c r="O65" s="3">
        <f t="shared" si="55"/>
        <v>1</v>
      </c>
      <c r="P65" s="3">
        <f t="shared" si="55"/>
        <v>1</v>
      </c>
      <c r="Q65" s="3">
        <f t="shared" si="55"/>
        <v>1</v>
      </c>
      <c r="R65" s="3">
        <f t="shared" si="55"/>
        <v>1</v>
      </c>
      <c r="S65" s="3">
        <f t="shared" si="55"/>
        <v>1</v>
      </c>
      <c r="T65" s="3">
        <f t="shared" si="55"/>
        <v>1</v>
      </c>
      <c r="U65" s="3">
        <f t="shared" si="55"/>
        <v>1</v>
      </c>
      <c r="V65" s="3">
        <f t="shared" si="55"/>
        <v>1</v>
      </c>
      <c r="W65" s="3">
        <f t="shared" si="55"/>
        <v>1</v>
      </c>
    </row>
    <row r="66" customHeight="1" spans="1:23">
      <c r="A66" s="2">
        <v>53</v>
      </c>
      <c r="B66" s="3">
        <f t="shared" ref="B66:W66" si="56">MIN(1,IF($A66&lt;B$4+B$3,0,IF(B$2=0,1,IF(B$5=0,($A66-B$4)/B$2,IF(MOD($A66-B$4,B$5)=0,($A66-B$4)/B$2,QUOTIENT($A66-B$4,B$5)*B$5/B$2)))))</f>
        <v>1</v>
      </c>
      <c r="C66" s="3">
        <f t="shared" si="56"/>
        <v>1</v>
      </c>
      <c r="D66" s="3">
        <f t="shared" si="56"/>
        <v>1</v>
      </c>
      <c r="E66" s="3" t="e">
        <f t="shared" si="56"/>
        <v>#REF!</v>
      </c>
      <c r="F66" s="3">
        <f t="shared" si="56"/>
        <v>1</v>
      </c>
      <c r="G66" s="3">
        <f t="shared" si="56"/>
        <v>1</v>
      </c>
      <c r="H66" s="3">
        <f t="shared" si="56"/>
        <v>1</v>
      </c>
      <c r="I66" s="3">
        <f t="shared" si="56"/>
        <v>1</v>
      </c>
      <c r="J66" s="3">
        <f t="shared" si="56"/>
        <v>1</v>
      </c>
      <c r="K66" s="3">
        <f t="shared" si="56"/>
        <v>1</v>
      </c>
      <c r="L66" s="3">
        <f t="shared" si="56"/>
        <v>1</v>
      </c>
      <c r="M66" s="3" t="e">
        <f t="shared" si="56"/>
        <v>#REF!</v>
      </c>
      <c r="N66" s="3">
        <f t="shared" si="56"/>
        <v>1</v>
      </c>
      <c r="O66" s="3">
        <f t="shared" si="56"/>
        <v>1</v>
      </c>
      <c r="P66" s="3">
        <f t="shared" si="56"/>
        <v>1</v>
      </c>
      <c r="Q66" s="3">
        <f t="shared" si="56"/>
        <v>1</v>
      </c>
      <c r="R66" s="3">
        <f t="shared" si="56"/>
        <v>1</v>
      </c>
      <c r="S66" s="3">
        <f t="shared" si="56"/>
        <v>1</v>
      </c>
      <c r="T66" s="3">
        <f t="shared" si="56"/>
        <v>1</v>
      </c>
      <c r="U66" s="3">
        <f t="shared" si="56"/>
        <v>1</v>
      </c>
      <c r="V66" s="3">
        <f t="shared" si="56"/>
        <v>1</v>
      </c>
      <c r="W66" s="3">
        <f t="shared" si="56"/>
        <v>1</v>
      </c>
    </row>
    <row r="67" customHeight="1" spans="1:23">
      <c r="A67" s="2">
        <v>54</v>
      </c>
      <c r="B67" s="3">
        <f t="shared" ref="B67:W67" si="57">MIN(1,IF($A67&lt;B$4+B$3,0,IF(B$2=0,1,IF(B$5=0,($A67-B$4)/B$2,IF(MOD($A67-B$4,B$5)=0,($A67-B$4)/B$2,QUOTIENT($A67-B$4,B$5)*B$5/B$2)))))</f>
        <v>1</v>
      </c>
      <c r="C67" s="3">
        <f t="shared" si="57"/>
        <v>1</v>
      </c>
      <c r="D67" s="3">
        <f t="shared" si="57"/>
        <v>1</v>
      </c>
      <c r="E67" s="3" t="e">
        <f t="shared" si="57"/>
        <v>#REF!</v>
      </c>
      <c r="F67" s="3">
        <f t="shared" si="57"/>
        <v>1</v>
      </c>
      <c r="G67" s="3">
        <f t="shared" si="57"/>
        <v>1</v>
      </c>
      <c r="H67" s="3">
        <f t="shared" si="57"/>
        <v>1</v>
      </c>
      <c r="I67" s="3">
        <f t="shared" si="57"/>
        <v>1</v>
      </c>
      <c r="J67" s="3">
        <f t="shared" si="57"/>
        <v>1</v>
      </c>
      <c r="K67" s="3">
        <f t="shared" si="57"/>
        <v>1</v>
      </c>
      <c r="L67" s="3">
        <f t="shared" si="57"/>
        <v>1</v>
      </c>
      <c r="M67" s="3" t="e">
        <f t="shared" si="57"/>
        <v>#REF!</v>
      </c>
      <c r="N67" s="3">
        <f t="shared" si="57"/>
        <v>1</v>
      </c>
      <c r="O67" s="3">
        <f t="shared" si="57"/>
        <v>1</v>
      </c>
      <c r="P67" s="3">
        <f t="shared" si="57"/>
        <v>1</v>
      </c>
      <c r="Q67" s="3">
        <f t="shared" si="57"/>
        <v>1</v>
      </c>
      <c r="R67" s="3">
        <f t="shared" si="57"/>
        <v>1</v>
      </c>
      <c r="S67" s="3">
        <f t="shared" si="57"/>
        <v>1</v>
      </c>
      <c r="T67" s="3">
        <f t="shared" si="57"/>
        <v>1</v>
      </c>
      <c r="U67" s="3">
        <f t="shared" si="57"/>
        <v>1</v>
      </c>
      <c r="V67" s="3">
        <f t="shared" si="57"/>
        <v>1</v>
      </c>
      <c r="W67" s="3">
        <f t="shared" si="57"/>
        <v>1</v>
      </c>
    </row>
    <row r="68" customHeight="1" spans="1:23">
      <c r="A68" s="2">
        <v>55</v>
      </c>
      <c r="B68" s="3">
        <f t="shared" ref="B68:W68" si="58">MIN(1,IF($A68&lt;B$4+B$3,0,IF(B$2=0,1,IF(B$5=0,($A68-B$4)/B$2,IF(MOD($A68-B$4,B$5)=0,($A68-B$4)/B$2,QUOTIENT($A68-B$4,B$5)*B$5/B$2)))))</f>
        <v>1</v>
      </c>
      <c r="C68" s="3">
        <f t="shared" si="58"/>
        <v>1</v>
      </c>
      <c r="D68" s="3">
        <f t="shared" si="58"/>
        <v>1</v>
      </c>
      <c r="E68" s="3" t="e">
        <f t="shared" si="58"/>
        <v>#REF!</v>
      </c>
      <c r="F68" s="3">
        <f t="shared" si="58"/>
        <v>1</v>
      </c>
      <c r="G68" s="3">
        <f t="shared" si="58"/>
        <v>1</v>
      </c>
      <c r="H68" s="3">
        <f t="shared" si="58"/>
        <v>1</v>
      </c>
      <c r="I68" s="3">
        <f t="shared" si="58"/>
        <v>1</v>
      </c>
      <c r="J68" s="3">
        <f t="shared" si="58"/>
        <v>1</v>
      </c>
      <c r="K68" s="3">
        <f t="shared" si="58"/>
        <v>1</v>
      </c>
      <c r="L68" s="3">
        <f t="shared" si="58"/>
        <v>1</v>
      </c>
      <c r="M68" s="3" t="e">
        <f t="shared" si="58"/>
        <v>#REF!</v>
      </c>
      <c r="N68" s="3">
        <f t="shared" si="58"/>
        <v>1</v>
      </c>
      <c r="O68" s="3">
        <f t="shared" si="58"/>
        <v>1</v>
      </c>
      <c r="P68" s="3">
        <f t="shared" si="58"/>
        <v>1</v>
      </c>
      <c r="Q68" s="3">
        <f t="shared" si="58"/>
        <v>1</v>
      </c>
      <c r="R68" s="3">
        <f t="shared" si="58"/>
        <v>1</v>
      </c>
      <c r="S68" s="3">
        <f t="shared" si="58"/>
        <v>1</v>
      </c>
      <c r="T68" s="3">
        <f t="shared" si="58"/>
        <v>1</v>
      </c>
      <c r="U68" s="3">
        <f t="shared" si="58"/>
        <v>1</v>
      </c>
      <c r="V68" s="3">
        <f t="shared" si="58"/>
        <v>1</v>
      </c>
      <c r="W68" s="3">
        <f t="shared" si="58"/>
        <v>1</v>
      </c>
    </row>
    <row r="69" customHeight="1" spans="1:23">
      <c r="A69" s="2">
        <v>56</v>
      </c>
      <c r="B69" s="3">
        <f t="shared" ref="B69:W69" si="59">MIN(1,IF($A69&lt;B$4+B$3,0,IF(B$2=0,1,IF(B$5=0,($A69-B$4)/B$2,IF(MOD($A69-B$4,B$5)=0,($A69-B$4)/B$2,QUOTIENT($A69-B$4,B$5)*B$5/B$2)))))</f>
        <v>1</v>
      </c>
      <c r="C69" s="3">
        <f t="shared" si="59"/>
        <v>1</v>
      </c>
      <c r="D69" s="3">
        <f t="shared" si="59"/>
        <v>1</v>
      </c>
      <c r="E69" s="3" t="e">
        <f t="shared" si="59"/>
        <v>#REF!</v>
      </c>
      <c r="F69" s="3">
        <f t="shared" si="59"/>
        <v>1</v>
      </c>
      <c r="G69" s="3">
        <f t="shared" si="59"/>
        <v>1</v>
      </c>
      <c r="H69" s="3">
        <f t="shared" si="59"/>
        <v>1</v>
      </c>
      <c r="I69" s="3">
        <f t="shared" si="59"/>
        <v>1</v>
      </c>
      <c r="J69" s="3">
        <f t="shared" si="59"/>
        <v>1</v>
      </c>
      <c r="K69" s="3">
        <f t="shared" si="59"/>
        <v>1</v>
      </c>
      <c r="L69" s="3">
        <f t="shared" si="59"/>
        <v>1</v>
      </c>
      <c r="M69" s="3" t="e">
        <f t="shared" si="59"/>
        <v>#REF!</v>
      </c>
      <c r="N69" s="3">
        <f t="shared" si="59"/>
        <v>1</v>
      </c>
      <c r="O69" s="3">
        <f t="shared" si="59"/>
        <v>1</v>
      </c>
      <c r="P69" s="3">
        <f t="shared" si="59"/>
        <v>1</v>
      </c>
      <c r="Q69" s="3">
        <f t="shared" si="59"/>
        <v>1</v>
      </c>
      <c r="R69" s="3">
        <f t="shared" si="59"/>
        <v>1</v>
      </c>
      <c r="S69" s="3">
        <f t="shared" si="59"/>
        <v>1</v>
      </c>
      <c r="T69" s="3">
        <f t="shared" si="59"/>
        <v>1</v>
      </c>
      <c r="U69" s="3">
        <f t="shared" si="59"/>
        <v>1</v>
      </c>
      <c r="V69" s="3">
        <f t="shared" si="59"/>
        <v>1</v>
      </c>
      <c r="W69" s="3">
        <f t="shared" si="59"/>
        <v>1</v>
      </c>
    </row>
    <row r="70" customHeight="1" spans="1:23">
      <c r="A70" s="2">
        <v>57</v>
      </c>
      <c r="B70" s="3">
        <f t="shared" ref="B70:W70" si="60">MIN(1,IF($A70&lt;B$4+B$3,0,IF(B$2=0,1,IF(B$5=0,($A70-B$4)/B$2,IF(MOD($A70-B$4,B$5)=0,($A70-B$4)/B$2,QUOTIENT($A70-B$4,B$5)*B$5/B$2)))))</f>
        <v>1</v>
      </c>
      <c r="C70" s="3">
        <f t="shared" si="60"/>
        <v>1</v>
      </c>
      <c r="D70" s="3">
        <f t="shared" si="60"/>
        <v>1</v>
      </c>
      <c r="E70" s="3" t="e">
        <f t="shared" si="60"/>
        <v>#REF!</v>
      </c>
      <c r="F70" s="3">
        <f t="shared" si="60"/>
        <v>1</v>
      </c>
      <c r="G70" s="3">
        <f t="shared" si="60"/>
        <v>1</v>
      </c>
      <c r="H70" s="3">
        <f t="shared" si="60"/>
        <v>1</v>
      </c>
      <c r="I70" s="3">
        <f t="shared" si="60"/>
        <v>1</v>
      </c>
      <c r="J70" s="3">
        <f t="shared" si="60"/>
        <v>1</v>
      </c>
      <c r="K70" s="3">
        <f t="shared" si="60"/>
        <v>1</v>
      </c>
      <c r="L70" s="3">
        <f t="shared" si="60"/>
        <v>1</v>
      </c>
      <c r="M70" s="3" t="e">
        <f t="shared" si="60"/>
        <v>#REF!</v>
      </c>
      <c r="N70" s="3">
        <f t="shared" si="60"/>
        <v>1</v>
      </c>
      <c r="O70" s="3">
        <f t="shared" si="60"/>
        <v>1</v>
      </c>
      <c r="P70" s="3">
        <f t="shared" si="60"/>
        <v>1</v>
      </c>
      <c r="Q70" s="3">
        <f t="shared" si="60"/>
        <v>1</v>
      </c>
      <c r="R70" s="3">
        <f t="shared" si="60"/>
        <v>1</v>
      </c>
      <c r="S70" s="3">
        <f t="shared" si="60"/>
        <v>1</v>
      </c>
      <c r="T70" s="3">
        <f t="shared" si="60"/>
        <v>1</v>
      </c>
      <c r="U70" s="3">
        <f t="shared" si="60"/>
        <v>1</v>
      </c>
      <c r="V70" s="3">
        <f t="shared" si="60"/>
        <v>1</v>
      </c>
      <c r="W70" s="3">
        <f t="shared" si="60"/>
        <v>1</v>
      </c>
    </row>
    <row r="71" customHeight="1" spans="1:23">
      <c r="A71" s="2">
        <v>58</v>
      </c>
      <c r="B71" s="3">
        <f t="shared" ref="B71:W71" si="61">MIN(1,IF($A71&lt;B$4+B$3,0,IF(B$2=0,1,IF(B$5=0,($A71-B$4)/B$2,IF(MOD($A71-B$4,B$5)=0,($A71-B$4)/B$2,QUOTIENT($A71-B$4,B$5)*B$5/B$2)))))</f>
        <v>1</v>
      </c>
      <c r="C71" s="3">
        <f t="shared" si="61"/>
        <v>1</v>
      </c>
      <c r="D71" s="3">
        <f t="shared" si="61"/>
        <v>1</v>
      </c>
      <c r="E71" s="3" t="e">
        <f t="shared" si="61"/>
        <v>#REF!</v>
      </c>
      <c r="F71" s="3">
        <f t="shared" si="61"/>
        <v>1</v>
      </c>
      <c r="G71" s="3">
        <f t="shared" si="61"/>
        <v>1</v>
      </c>
      <c r="H71" s="3">
        <f t="shared" si="61"/>
        <v>1</v>
      </c>
      <c r="I71" s="3">
        <f t="shared" si="61"/>
        <v>1</v>
      </c>
      <c r="J71" s="3">
        <f t="shared" si="61"/>
        <v>1</v>
      </c>
      <c r="K71" s="3">
        <f t="shared" si="61"/>
        <v>1</v>
      </c>
      <c r="L71" s="3">
        <f t="shared" si="61"/>
        <v>1</v>
      </c>
      <c r="M71" s="3" t="e">
        <f t="shared" si="61"/>
        <v>#REF!</v>
      </c>
      <c r="N71" s="3">
        <f t="shared" si="61"/>
        <v>1</v>
      </c>
      <c r="O71" s="3">
        <f t="shared" si="61"/>
        <v>1</v>
      </c>
      <c r="P71" s="3">
        <f t="shared" si="61"/>
        <v>1</v>
      </c>
      <c r="Q71" s="3">
        <f t="shared" si="61"/>
        <v>1</v>
      </c>
      <c r="R71" s="3">
        <f t="shared" si="61"/>
        <v>1</v>
      </c>
      <c r="S71" s="3">
        <f t="shared" si="61"/>
        <v>1</v>
      </c>
      <c r="T71" s="3">
        <f t="shared" si="61"/>
        <v>1</v>
      </c>
      <c r="U71" s="3">
        <f t="shared" si="61"/>
        <v>1</v>
      </c>
      <c r="V71" s="3">
        <f t="shared" si="61"/>
        <v>1</v>
      </c>
      <c r="W71" s="3">
        <f t="shared" si="61"/>
        <v>1</v>
      </c>
    </row>
    <row r="72" customHeight="1" spans="1:23">
      <c r="A72" s="2">
        <v>59</v>
      </c>
      <c r="B72" s="3">
        <f t="shared" ref="B72:W72" si="62">MIN(1,IF($A72&lt;B$4+B$3,0,IF(B$2=0,1,IF(B$5=0,($A72-B$4)/B$2,IF(MOD($A72-B$4,B$5)=0,($A72-B$4)/B$2,QUOTIENT($A72-B$4,B$5)*B$5/B$2)))))</f>
        <v>1</v>
      </c>
      <c r="C72" s="3">
        <f t="shared" si="62"/>
        <v>1</v>
      </c>
      <c r="D72" s="3">
        <f t="shared" si="62"/>
        <v>1</v>
      </c>
      <c r="E72" s="3" t="e">
        <f t="shared" si="62"/>
        <v>#REF!</v>
      </c>
      <c r="F72" s="3">
        <f t="shared" si="62"/>
        <v>1</v>
      </c>
      <c r="G72" s="3">
        <f t="shared" si="62"/>
        <v>1</v>
      </c>
      <c r="H72" s="3">
        <f t="shared" si="62"/>
        <v>1</v>
      </c>
      <c r="I72" s="3">
        <f t="shared" si="62"/>
        <v>1</v>
      </c>
      <c r="J72" s="3">
        <f t="shared" si="62"/>
        <v>1</v>
      </c>
      <c r="K72" s="3">
        <f t="shared" si="62"/>
        <v>1</v>
      </c>
      <c r="L72" s="3">
        <f t="shared" si="62"/>
        <v>1</v>
      </c>
      <c r="M72" s="3" t="e">
        <f t="shared" si="62"/>
        <v>#REF!</v>
      </c>
      <c r="N72" s="3">
        <f t="shared" si="62"/>
        <v>1</v>
      </c>
      <c r="O72" s="3">
        <f t="shared" si="62"/>
        <v>1</v>
      </c>
      <c r="P72" s="3">
        <f t="shared" si="62"/>
        <v>1</v>
      </c>
      <c r="Q72" s="3">
        <f t="shared" si="62"/>
        <v>1</v>
      </c>
      <c r="R72" s="3">
        <f t="shared" si="62"/>
        <v>1</v>
      </c>
      <c r="S72" s="3">
        <f t="shared" si="62"/>
        <v>1</v>
      </c>
      <c r="T72" s="3">
        <f t="shared" si="62"/>
        <v>1</v>
      </c>
      <c r="U72" s="3">
        <f t="shared" si="62"/>
        <v>1</v>
      </c>
      <c r="V72" s="3">
        <f t="shared" si="62"/>
        <v>1</v>
      </c>
      <c r="W72" s="3">
        <f t="shared" si="62"/>
        <v>1</v>
      </c>
    </row>
    <row r="73" customHeight="1" spans="1:23">
      <c r="A73" s="2">
        <v>60</v>
      </c>
      <c r="B73" s="3">
        <f t="shared" ref="B73:W73" si="63">MIN(1,IF($A73&lt;B$4+B$3,0,IF(B$2=0,1,IF(B$5=0,($A73-B$4)/B$2,IF(MOD($A73-B$4,B$5)=0,($A73-B$4)/B$2,QUOTIENT($A73-B$4,B$5)*B$5/B$2)))))</f>
        <v>1</v>
      </c>
      <c r="C73" s="3">
        <f t="shared" si="63"/>
        <v>1</v>
      </c>
      <c r="D73" s="3">
        <f t="shared" si="63"/>
        <v>1</v>
      </c>
      <c r="E73" s="3" t="e">
        <f t="shared" si="63"/>
        <v>#REF!</v>
      </c>
      <c r="F73" s="3">
        <f t="shared" si="63"/>
        <v>1</v>
      </c>
      <c r="G73" s="3">
        <f t="shared" si="63"/>
        <v>1</v>
      </c>
      <c r="H73" s="3">
        <f t="shared" si="63"/>
        <v>1</v>
      </c>
      <c r="I73" s="3">
        <f t="shared" si="63"/>
        <v>1</v>
      </c>
      <c r="J73" s="3">
        <f t="shared" si="63"/>
        <v>1</v>
      </c>
      <c r="K73" s="3">
        <f t="shared" si="63"/>
        <v>1</v>
      </c>
      <c r="L73" s="3">
        <f t="shared" si="63"/>
        <v>1</v>
      </c>
      <c r="M73" s="3" t="e">
        <f t="shared" si="63"/>
        <v>#REF!</v>
      </c>
      <c r="N73" s="3">
        <f t="shared" si="63"/>
        <v>1</v>
      </c>
      <c r="O73" s="3">
        <f t="shared" si="63"/>
        <v>1</v>
      </c>
      <c r="P73" s="3">
        <f t="shared" si="63"/>
        <v>1</v>
      </c>
      <c r="Q73" s="3">
        <f t="shared" si="63"/>
        <v>1</v>
      </c>
      <c r="R73" s="3">
        <f t="shared" si="63"/>
        <v>1</v>
      </c>
      <c r="S73" s="3">
        <f t="shared" si="63"/>
        <v>1</v>
      </c>
      <c r="T73" s="3">
        <f t="shared" si="63"/>
        <v>1</v>
      </c>
      <c r="U73" s="3">
        <f t="shared" si="63"/>
        <v>1</v>
      </c>
      <c r="V73" s="3">
        <f t="shared" si="63"/>
        <v>1</v>
      </c>
      <c r="W73" s="3">
        <f t="shared" si="63"/>
        <v>1</v>
      </c>
    </row>
    <row r="74" customHeight="1" spans="1:23">
      <c r="A74" s="2">
        <v>61</v>
      </c>
      <c r="B74" s="3">
        <f t="shared" ref="B74:W74" si="64">MIN(1,IF($A74&lt;B$4+B$3,0,IF(B$2=0,1,IF(B$5=0,($A74-B$4)/B$2,IF(MOD($A74-B$4,B$5)=0,($A74-B$4)/B$2,QUOTIENT($A74-B$4,B$5)*B$5/B$2)))))</f>
        <v>1</v>
      </c>
      <c r="C74" s="3">
        <f t="shared" si="64"/>
        <v>1</v>
      </c>
      <c r="D74" s="3">
        <f t="shared" si="64"/>
        <v>1</v>
      </c>
      <c r="E74" s="3" t="e">
        <f t="shared" si="64"/>
        <v>#REF!</v>
      </c>
      <c r="F74" s="3">
        <f t="shared" si="64"/>
        <v>1</v>
      </c>
      <c r="G74" s="3">
        <f t="shared" si="64"/>
        <v>1</v>
      </c>
      <c r="H74" s="3">
        <f t="shared" si="64"/>
        <v>1</v>
      </c>
      <c r="I74" s="3">
        <f t="shared" si="64"/>
        <v>1</v>
      </c>
      <c r="J74" s="3">
        <f t="shared" si="64"/>
        <v>1</v>
      </c>
      <c r="K74" s="3">
        <f t="shared" si="64"/>
        <v>1</v>
      </c>
      <c r="L74" s="3">
        <f t="shared" si="64"/>
        <v>1</v>
      </c>
      <c r="M74" s="3" t="e">
        <f t="shared" si="64"/>
        <v>#REF!</v>
      </c>
      <c r="N74" s="3">
        <f t="shared" si="64"/>
        <v>1</v>
      </c>
      <c r="O74" s="3">
        <f t="shared" si="64"/>
        <v>1</v>
      </c>
      <c r="P74" s="3">
        <f t="shared" si="64"/>
        <v>1</v>
      </c>
      <c r="Q74" s="3">
        <f t="shared" si="64"/>
        <v>1</v>
      </c>
      <c r="R74" s="3">
        <f t="shared" si="64"/>
        <v>1</v>
      </c>
      <c r="S74" s="3">
        <f t="shared" si="64"/>
        <v>1</v>
      </c>
      <c r="T74" s="3">
        <f t="shared" si="64"/>
        <v>1</v>
      </c>
      <c r="U74" s="3">
        <f t="shared" si="64"/>
        <v>1</v>
      </c>
      <c r="V74" s="3">
        <f t="shared" si="64"/>
        <v>1</v>
      </c>
      <c r="W74" s="3">
        <f t="shared" si="64"/>
        <v>1</v>
      </c>
    </row>
    <row r="75" customHeight="1" spans="1:23">
      <c r="A75" s="2">
        <v>62</v>
      </c>
      <c r="B75" s="3">
        <f t="shared" ref="B75:W75" si="65">MIN(1,IF($A75&lt;B$4+B$3,0,IF(B$2=0,1,IF(B$5=0,($A75-B$4)/B$2,IF(MOD($A75-B$4,B$5)=0,($A75-B$4)/B$2,QUOTIENT($A75-B$4,B$5)*B$5/B$2)))))</f>
        <v>1</v>
      </c>
      <c r="C75" s="3">
        <f t="shared" si="65"/>
        <v>1</v>
      </c>
      <c r="D75" s="3">
        <f t="shared" si="65"/>
        <v>1</v>
      </c>
      <c r="E75" s="3" t="e">
        <f t="shared" si="65"/>
        <v>#REF!</v>
      </c>
      <c r="F75" s="3">
        <f t="shared" si="65"/>
        <v>1</v>
      </c>
      <c r="G75" s="3">
        <f t="shared" si="65"/>
        <v>1</v>
      </c>
      <c r="H75" s="3">
        <f t="shared" si="65"/>
        <v>1</v>
      </c>
      <c r="I75" s="3">
        <f t="shared" si="65"/>
        <v>1</v>
      </c>
      <c r="J75" s="3">
        <f t="shared" si="65"/>
        <v>1</v>
      </c>
      <c r="K75" s="3">
        <f t="shared" si="65"/>
        <v>1</v>
      </c>
      <c r="L75" s="3">
        <f t="shared" si="65"/>
        <v>1</v>
      </c>
      <c r="M75" s="3" t="e">
        <f t="shared" si="65"/>
        <v>#REF!</v>
      </c>
      <c r="N75" s="3">
        <f t="shared" si="65"/>
        <v>1</v>
      </c>
      <c r="O75" s="3">
        <f t="shared" si="65"/>
        <v>1</v>
      </c>
      <c r="P75" s="3">
        <f t="shared" si="65"/>
        <v>1</v>
      </c>
      <c r="Q75" s="3">
        <f t="shared" si="65"/>
        <v>1</v>
      </c>
      <c r="R75" s="3">
        <f t="shared" si="65"/>
        <v>1</v>
      </c>
      <c r="S75" s="3">
        <f t="shared" si="65"/>
        <v>1</v>
      </c>
      <c r="T75" s="3">
        <f t="shared" si="65"/>
        <v>1</v>
      </c>
      <c r="U75" s="3">
        <f t="shared" si="65"/>
        <v>1</v>
      </c>
      <c r="V75" s="3">
        <f t="shared" si="65"/>
        <v>1</v>
      </c>
      <c r="W75" s="3">
        <f t="shared" si="65"/>
        <v>1</v>
      </c>
    </row>
    <row r="76" customHeight="1" spans="1:23">
      <c r="A76" s="2">
        <v>63</v>
      </c>
      <c r="B76" s="3">
        <f t="shared" ref="B76:W76" si="66">MIN(1,IF($A76&lt;B$4+B$3,0,IF(B$2=0,1,IF(B$5=0,($A76-B$4)/B$2,IF(MOD($A76-B$4,B$5)=0,($A76-B$4)/B$2,QUOTIENT($A76-B$4,B$5)*B$5/B$2)))))</f>
        <v>1</v>
      </c>
      <c r="C76" s="3">
        <f t="shared" si="66"/>
        <v>1</v>
      </c>
      <c r="D76" s="3">
        <f t="shared" si="66"/>
        <v>1</v>
      </c>
      <c r="E76" s="3" t="e">
        <f t="shared" si="66"/>
        <v>#REF!</v>
      </c>
      <c r="F76" s="3">
        <f t="shared" si="66"/>
        <v>1</v>
      </c>
      <c r="G76" s="3">
        <f t="shared" si="66"/>
        <v>1</v>
      </c>
      <c r="H76" s="3">
        <f t="shared" si="66"/>
        <v>1</v>
      </c>
      <c r="I76" s="3">
        <f t="shared" si="66"/>
        <v>1</v>
      </c>
      <c r="J76" s="3">
        <f t="shared" si="66"/>
        <v>1</v>
      </c>
      <c r="K76" s="3">
        <f t="shared" si="66"/>
        <v>1</v>
      </c>
      <c r="L76" s="3">
        <f t="shared" si="66"/>
        <v>1</v>
      </c>
      <c r="M76" s="3" t="e">
        <f t="shared" si="66"/>
        <v>#REF!</v>
      </c>
      <c r="N76" s="3">
        <f t="shared" si="66"/>
        <v>1</v>
      </c>
      <c r="O76" s="3">
        <f t="shared" si="66"/>
        <v>1</v>
      </c>
      <c r="P76" s="3">
        <f t="shared" si="66"/>
        <v>1</v>
      </c>
      <c r="Q76" s="3">
        <f t="shared" si="66"/>
        <v>1</v>
      </c>
      <c r="R76" s="3">
        <f t="shared" si="66"/>
        <v>1</v>
      </c>
      <c r="S76" s="3">
        <f t="shared" si="66"/>
        <v>1</v>
      </c>
      <c r="T76" s="3">
        <f t="shared" si="66"/>
        <v>1</v>
      </c>
      <c r="U76" s="3">
        <f t="shared" si="66"/>
        <v>1</v>
      </c>
      <c r="V76" s="3">
        <f t="shared" si="66"/>
        <v>1</v>
      </c>
      <c r="W76" s="3">
        <f t="shared" si="66"/>
        <v>1</v>
      </c>
    </row>
    <row r="77" customHeight="1" spans="1:23">
      <c r="A77" s="2">
        <v>64</v>
      </c>
      <c r="B77" s="3">
        <f t="shared" ref="B77:W77" si="67">MIN(1,IF($A77&lt;B$4+B$3,0,IF(B$2=0,1,IF(B$5=0,($A77-B$4)/B$2,IF(MOD($A77-B$4,B$5)=0,($A77-B$4)/B$2,QUOTIENT($A77-B$4,B$5)*B$5/B$2)))))</f>
        <v>1</v>
      </c>
      <c r="C77" s="3">
        <f t="shared" si="67"/>
        <v>1</v>
      </c>
      <c r="D77" s="3">
        <f t="shared" si="67"/>
        <v>1</v>
      </c>
      <c r="E77" s="3" t="e">
        <f t="shared" si="67"/>
        <v>#REF!</v>
      </c>
      <c r="F77" s="3">
        <f t="shared" si="67"/>
        <v>1</v>
      </c>
      <c r="G77" s="3">
        <f t="shared" si="67"/>
        <v>1</v>
      </c>
      <c r="H77" s="3">
        <f t="shared" si="67"/>
        <v>1</v>
      </c>
      <c r="I77" s="3">
        <f t="shared" si="67"/>
        <v>1</v>
      </c>
      <c r="J77" s="3">
        <f t="shared" si="67"/>
        <v>1</v>
      </c>
      <c r="K77" s="3">
        <f t="shared" si="67"/>
        <v>1</v>
      </c>
      <c r="L77" s="3">
        <f t="shared" si="67"/>
        <v>1</v>
      </c>
      <c r="M77" s="3" t="e">
        <f t="shared" si="67"/>
        <v>#REF!</v>
      </c>
      <c r="N77" s="3">
        <f t="shared" si="67"/>
        <v>1</v>
      </c>
      <c r="O77" s="3">
        <f t="shared" si="67"/>
        <v>1</v>
      </c>
      <c r="P77" s="3">
        <f t="shared" si="67"/>
        <v>1</v>
      </c>
      <c r="Q77" s="3">
        <f t="shared" si="67"/>
        <v>1</v>
      </c>
      <c r="R77" s="3">
        <f t="shared" si="67"/>
        <v>1</v>
      </c>
      <c r="S77" s="3">
        <f t="shared" si="67"/>
        <v>1</v>
      </c>
      <c r="T77" s="3">
        <f t="shared" si="67"/>
        <v>1</v>
      </c>
      <c r="U77" s="3">
        <f t="shared" si="67"/>
        <v>1</v>
      </c>
      <c r="V77" s="3">
        <f t="shared" si="67"/>
        <v>1</v>
      </c>
      <c r="W77" s="3">
        <f t="shared" si="67"/>
        <v>1</v>
      </c>
    </row>
    <row r="78" customHeight="1" spans="1:23">
      <c r="A78" s="2">
        <v>65</v>
      </c>
      <c r="B78" s="3">
        <f t="shared" ref="B78:W78" si="68">MIN(1,IF($A78&lt;B$4+B$3,0,IF(B$2=0,1,IF(B$5=0,($A78-B$4)/B$2,IF(MOD($A78-B$4,B$5)=0,($A78-B$4)/B$2,QUOTIENT($A78-B$4,B$5)*B$5/B$2)))))</f>
        <v>1</v>
      </c>
      <c r="C78" s="3">
        <f t="shared" si="68"/>
        <v>1</v>
      </c>
      <c r="D78" s="3">
        <f t="shared" si="68"/>
        <v>1</v>
      </c>
      <c r="E78" s="3" t="e">
        <f t="shared" si="68"/>
        <v>#REF!</v>
      </c>
      <c r="F78" s="3">
        <f t="shared" si="68"/>
        <v>1</v>
      </c>
      <c r="G78" s="3">
        <f t="shared" si="68"/>
        <v>1</v>
      </c>
      <c r="H78" s="3">
        <f t="shared" si="68"/>
        <v>1</v>
      </c>
      <c r="I78" s="3">
        <f t="shared" si="68"/>
        <v>1</v>
      </c>
      <c r="J78" s="3">
        <f t="shared" si="68"/>
        <v>1</v>
      </c>
      <c r="K78" s="3">
        <f t="shared" si="68"/>
        <v>1</v>
      </c>
      <c r="L78" s="3">
        <f t="shared" si="68"/>
        <v>1</v>
      </c>
      <c r="M78" s="3" t="e">
        <f t="shared" si="68"/>
        <v>#REF!</v>
      </c>
      <c r="N78" s="3">
        <f t="shared" si="68"/>
        <v>1</v>
      </c>
      <c r="O78" s="3">
        <f t="shared" si="68"/>
        <v>1</v>
      </c>
      <c r="P78" s="3">
        <f t="shared" si="68"/>
        <v>1</v>
      </c>
      <c r="Q78" s="3">
        <f t="shared" si="68"/>
        <v>1</v>
      </c>
      <c r="R78" s="3">
        <f t="shared" si="68"/>
        <v>1</v>
      </c>
      <c r="S78" s="3">
        <f t="shared" si="68"/>
        <v>1</v>
      </c>
      <c r="T78" s="3">
        <f t="shared" si="68"/>
        <v>1</v>
      </c>
      <c r="U78" s="3">
        <f t="shared" si="68"/>
        <v>1</v>
      </c>
      <c r="V78" s="3">
        <f t="shared" si="68"/>
        <v>1</v>
      </c>
      <c r="W78" s="3">
        <f t="shared" si="68"/>
        <v>1</v>
      </c>
    </row>
    <row r="79" customHeight="1" spans="1:23">
      <c r="A79" s="2">
        <v>66</v>
      </c>
      <c r="B79" s="3">
        <f t="shared" ref="B79:W79" si="69">MIN(1,IF($A79&lt;B$4+B$3,0,IF(B$2=0,1,IF(B$5=0,($A79-B$4)/B$2,IF(MOD($A79-B$4,B$5)=0,($A79-B$4)/B$2,QUOTIENT($A79-B$4,B$5)*B$5/B$2)))))</f>
        <v>1</v>
      </c>
      <c r="C79" s="3">
        <f t="shared" si="69"/>
        <v>1</v>
      </c>
      <c r="D79" s="3">
        <f t="shared" si="69"/>
        <v>1</v>
      </c>
      <c r="E79" s="3" t="e">
        <f t="shared" si="69"/>
        <v>#REF!</v>
      </c>
      <c r="F79" s="3">
        <f t="shared" si="69"/>
        <v>1</v>
      </c>
      <c r="G79" s="3">
        <f t="shared" si="69"/>
        <v>1</v>
      </c>
      <c r="H79" s="3">
        <f t="shared" si="69"/>
        <v>1</v>
      </c>
      <c r="I79" s="3">
        <f t="shared" si="69"/>
        <v>1</v>
      </c>
      <c r="J79" s="3">
        <f t="shared" si="69"/>
        <v>1</v>
      </c>
      <c r="K79" s="3">
        <f t="shared" si="69"/>
        <v>1</v>
      </c>
      <c r="L79" s="3">
        <f t="shared" si="69"/>
        <v>1</v>
      </c>
      <c r="M79" s="3" t="e">
        <f t="shared" si="69"/>
        <v>#REF!</v>
      </c>
      <c r="N79" s="3">
        <f t="shared" si="69"/>
        <v>1</v>
      </c>
      <c r="O79" s="3">
        <f t="shared" si="69"/>
        <v>1</v>
      </c>
      <c r="P79" s="3">
        <f t="shared" si="69"/>
        <v>1</v>
      </c>
      <c r="Q79" s="3">
        <f t="shared" si="69"/>
        <v>1</v>
      </c>
      <c r="R79" s="3">
        <f t="shared" si="69"/>
        <v>1</v>
      </c>
      <c r="S79" s="3">
        <f t="shared" si="69"/>
        <v>1</v>
      </c>
      <c r="T79" s="3">
        <f t="shared" si="69"/>
        <v>1</v>
      </c>
      <c r="U79" s="3">
        <f t="shared" si="69"/>
        <v>1</v>
      </c>
      <c r="V79" s="3">
        <f t="shared" si="69"/>
        <v>1</v>
      </c>
      <c r="W79" s="3">
        <f t="shared" si="69"/>
        <v>1</v>
      </c>
    </row>
    <row r="80" customHeight="1" spans="1:23">
      <c r="A80" s="2">
        <v>67</v>
      </c>
      <c r="B80" s="3">
        <f t="shared" ref="B80:W80" si="70">MIN(1,IF($A80&lt;B$4+B$3,0,IF(B$2=0,1,IF(B$5=0,($A80-B$4)/B$2,IF(MOD($A80-B$4,B$5)=0,($A80-B$4)/B$2,QUOTIENT($A80-B$4,B$5)*B$5/B$2)))))</f>
        <v>1</v>
      </c>
      <c r="C80" s="3">
        <f t="shared" si="70"/>
        <v>1</v>
      </c>
      <c r="D80" s="3">
        <f t="shared" si="70"/>
        <v>1</v>
      </c>
      <c r="E80" s="3" t="e">
        <f t="shared" si="70"/>
        <v>#REF!</v>
      </c>
      <c r="F80" s="3">
        <f t="shared" si="70"/>
        <v>1</v>
      </c>
      <c r="G80" s="3">
        <f t="shared" si="70"/>
        <v>1</v>
      </c>
      <c r="H80" s="3">
        <f t="shared" si="70"/>
        <v>1</v>
      </c>
      <c r="I80" s="3">
        <f t="shared" si="70"/>
        <v>1</v>
      </c>
      <c r="J80" s="3">
        <f t="shared" si="70"/>
        <v>1</v>
      </c>
      <c r="K80" s="3">
        <f t="shared" si="70"/>
        <v>1</v>
      </c>
      <c r="L80" s="3">
        <f t="shared" si="70"/>
        <v>1</v>
      </c>
      <c r="M80" s="3" t="e">
        <f t="shared" si="70"/>
        <v>#REF!</v>
      </c>
      <c r="N80" s="3">
        <f t="shared" si="70"/>
        <v>1</v>
      </c>
      <c r="O80" s="3">
        <f t="shared" si="70"/>
        <v>1</v>
      </c>
      <c r="P80" s="3">
        <f t="shared" si="70"/>
        <v>1</v>
      </c>
      <c r="Q80" s="3">
        <f t="shared" si="70"/>
        <v>1</v>
      </c>
      <c r="R80" s="3">
        <f t="shared" si="70"/>
        <v>1</v>
      </c>
      <c r="S80" s="3">
        <f t="shared" si="70"/>
        <v>1</v>
      </c>
      <c r="T80" s="3">
        <f t="shared" si="70"/>
        <v>1</v>
      </c>
      <c r="U80" s="3">
        <f t="shared" si="70"/>
        <v>1</v>
      </c>
      <c r="V80" s="3">
        <f t="shared" si="70"/>
        <v>1</v>
      </c>
      <c r="W80" s="3">
        <f t="shared" si="70"/>
        <v>1</v>
      </c>
    </row>
    <row r="81" customHeight="1" spans="1:23">
      <c r="A81" s="2">
        <v>68</v>
      </c>
      <c r="B81" s="3">
        <f t="shared" ref="B81:W81" si="71">MIN(1,IF($A81&lt;B$4+B$3,0,IF(B$2=0,1,IF(B$5=0,($A81-B$4)/B$2,IF(MOD($A81-B$4,B$5)=0,($A81-B$4)/B$2,QUOTIENT($A81-B$4,B$5)*B$5/B$2)))))</f>
        <v>1</v>
      </c>
      <c r="C81" s="3">
        <f t="shared" si="71"/>
        <v>1</v>
      </c>
      <c r="D81" s="3">
        <f t="shared" si="71"/>
        <v>1</v>
      </c>
      <c r="E81" s="3" t="e">
        <f t="shared" si="71"/>
        <v>#REF!</v>
      </c>
      <c r="F81" s="3">
        <f t="shared" si="71"/>
        <v>1</v>
      </c>
      <c r="G81" s="3">
        <f t="shared" si="71"/>
        <v>1</v>
      </c>
      <c r="H81" s="3">
        <f t="shared" si="71"/>
        <v>1</v>
      </c>
      <c r="I81" s="3">
        <f t="shared" si="71"/>
        <v>1</v>
      </c>
      <c r="J81" s="3">
        <f t="shared" si="71"/>
        <v>1</v>
      </c>
      <c r="K81" s="3">
        <f t="shared" si="71"/>
        <v>1</v>
      </c>
      <c r="L81" s="3">
        <f t="shared" si="71"/>
        <v>1</v>
      </c>
      <c r="M81" s="3" t="e">
        <f t="shared" si="71"/>
        <v>#REF!</v>
      </c>
      <c r="N81" s="3">
        <f t="shared" si="71"/>
        <v>1</v>
      </c>
      <c r="O81" s="3">
        <f t="shared" si="71"/>
        <v>1</v>
      </c>
      <c r="P81" s="3">
        <f t="shared" si="71"/>
        <v>1</v>
      </c>
      <c r="Q81" s="3">
        <f t="shared" si="71"/>
        <v>1</v>
      </c>
      <c r="R81" s="3">
        <f t="shared" si="71"/>
        <v>1</v>
      </c>
      <c r="S81" s="3">
        <f t="shared" si="71"/>
        <v>1</v>
      </c>
      <c r="T81" s="3">
        <f t="shared" si="71"/>
        <v>1</v>
      </c>
      <c r="U81" s="3">
        <f t="shared" si="71"/>
        <v>1</v>
      </c>
      <c r="V81" s="3">
        <f t="shared" si="71"/>
        <v>1</v>
      </c>
      <c r="W81" s="3">
        <f t="shared" si="71"/>
        <v>1</v>
      </c>
    </row>
    <row r="82" customHeight="1" spans="1:23">
      <c r="A82" s="2">
        <v>69</v>
      </c>
      <c r="B82" s="3">
        <f t="shared" ref="B82:W82" si="72">MIN(1,IF($A82&lt;B$4+B$3,0,IF(B$2=0,1,IF(B$5=0,($A82-B$4)/B$2,IF(MOD($A82-B$4,B$5)=0,($A82-B$4)/B$2,QUOTIENT($A82-B$4,B$5)*B$5/B$2)))))</f>
        <v>1</v>
      </c>
      <c r="C82" s="3">
        <f t="shared" si="72"/>
        <v>1</v>
      </c>
      <c r="D82" s="3">
        <f t="shared" si="72"/>
        <v>1</v>
      </c>
      <c r="E82" s="3" t="e">
        <f t="shared" si="72"/>
        <v>#REF!</v>
      </c>
      <c r="F82" s="3">
        <f t="shared" si="72"/>
        <v>1</v>
      </c>
      <c r="G82" s="3">
        <f t="shared" si="72"/>
        <v>1</v>
      </c>
      <c r="H82" s="3">
        <f t="shared" si="72"/>
        <v>1</v>
      </c>
      <c r="I82" s="3">
        <f t="shared" si="72"/>
        <v>1</v>
      </c>
      <c r="J82" s="3">
        <f t="shared" si="72"/>
        <v>1</v>
      </c>
      <c r="K82" s="3">
        <f t="shared" si="72"/>
        <v>1</v>
      </c>
      <c r="L82" s="3">
        <f t="shared" si="72"/>
        <v>1</v>
      </c>
      <c r="M82" s="3" t="e">
        <f t="shared" si="72"/>
        <v>#REF!</v>
      </c>
      <c r="N82" s="3">
        <f t="shared" si="72"/>
        <v>1</v>
      </c>
      <c r="O82" s="3">
        <f t="shared" si="72"/>
        <v>1</v>
      </c>
      <c r="P82" s="3">
        <f t="shared" si="72"/>
        <v>1</v>
      </c>
      <c r="Q82" s="3">
        <f t="shared" si="72"/>
        <v>1</v>
      </c>
      <c r="R82" s="3">
        <f t="shared" si="72"/>
        <v>1</v>
      </c>
      <c r="S82" s="3">
        <f t="shared" si="72"/>
        <v>1</v>
      </c>
      <c r="T82" s="3">
        <f t="shared" si="72"/>
        <v>1</v>
      </c>
      <c r="U82" s="3">
        <f t="shared" si="72"/>
        <v>1</v>
      </c>
      <c r="V82" s="3">
        <f t="shared" si="72"/>
        <v>1</v>
      </c>
      <c r="W82" s="3">
        <f t="shared" si="72"/>
        <v>1</v>
      </c>
    </row>
    <row r="83" customHeight="1" spans="1:23">
      <c r="A83" s="2">
        <v>70</v>
      </c>
      <c r="B83" s="3">
        <f t="shared" ref="B83:W83" si="73">MIN(1,IF($A83&lt;B$4+B$3,0,IF(B$2=0,1,IF(B$5=0,($A83-B$4)/B$2,IF(MOD($A83-B$4,B$5)=0,($A83-B$4)/B$2,QUOTIENT($A83-B$4,B$5)*B$5/B$2)))))</f>
        <v>1</v>
      </c>
      <c r="C83" s="3">
        <f t="shared" si="73"/>
        <v>1</v>
      </c>
      <c r="D83" s="3">
        <f t="shared" si="73"/>
        <v>1</v>
      </c>
      <c r="E83" s="3" t="e">
        <f t="shared" si="73"/>
        <v>#REF!</v>
      </c>
      <c r="F83" s="3">
        <f t="shared" si="73"/>
        <v>1</v>
      </c>
      <c r="G83" s="3">
        <f t="shared" si="73"/>
        <v>1</v>
      </c>
      <c r="H83" s="3">
        <f t="shared" si="73"/>
        <v>1</v>
      </c>
      <c r="I83" s="3">
        <f t="shared" si="73"/>
        <v>1</v>
      </c>
      <c r="J83" s="3">
        <f t="shared" si="73"/>
        <v>1</v>
      </c>
      <c r="K83" s="3">
        <f t="shared" si="73"/>
        <v>1</v>
      </c>
      <c r="L83" s="3">
        <f t="shared" si="73"/>
        <v>1</v>
      </c>
      <c r="M83" s="3" t="e">
        <f t="shared" si="73"/>
        <v>#REF!</v>
      </c>
      <c r="N83" s="3">
        <f t="shared" si="73"/>
        <v>1</v>
      </c>
      <c r="O83" s="3">
        <f t="shared" si="73"/>
        <v>1</v>
      </c>
      <c r="P83" s="3">
        <f t="shared" si="73"/>
        <v>1</v>
      </c>
      <c r="Q83" s="3">
        <f t="shared" si="73"/>
        <v>1</v>
      </c>
      <c r="R83" s="3">
        <f t="shared" si="73"/>
        <v>1</v>
      </c>
      <c r="S83" s="3">
        <f t="shared" si="73"/>
        <v>1</v>
      </c>
      <c r="T83" s="3">
        <f t="shared" si="73"/>
        <v>1</v>
      </c>
      <c r="U83" s="3">
        <f t="shared" si="73"/>
        <v>1</v>
      </c>
      <c r="V83" s="3">
        <f t="shared" si="73"/>
        <v>1</v>
      </c>
      <c r="W83" s="3">
        <f t="shared" si="73"/>
        <v>1</v>
      </c>
    </row>
    <row r="84" customHeight="1" spans="1:23">
      <c r="A84" s="2">
        <v>71</v>
      </c>
      <c r="B84" s="3">
        <f t="shared" ref="B84:W84" si="74">MIN(1,IF($A84&lt;B$4+B$3,0,IF(B$2=0,1,IF(B$5=0,($A84-B$4)/B$2,IF(MOD($A84-B$4,B$5)=0,($A84-B$4)/B$2,QUOTIENT($A84-B$4,B$5)*B$5/B$2)))))</f>
        <v>1</v>
      </c>
      <c r="C84" s="3">
        <f t="shared" si="74"/>
        <v>1</v>
      </c>
      <c r="D84" s="3">
        <f t="shared" si="74"/>
        <v>1</v>
      </c>
      <c r="E84" s="3" t="e">
        <f t="shared" si="74"/>
        <v>#REF!</v>
      </c>
      <c r="F84" s="3">
        <f t="shared" si="74"/>
        <v>1</v>
      </c>
      <c r="G84" s="3">
        <f t="shared" si="74"/>
        <v>1</v>
      </c>
      <c r="H84" s="3">
        <f t="shared" si="74"/>
        <v>1</v>
      </c>
      <c r="I84" s="3">
        <f t="shared" si="74"/>
        <v>1</v>
      </c>
      <c r="J84" s="3">
        <f t="shared" si="74"/>
        <v>1</v>
      </c>
      <c r="K84" s="3">
        <f t="shared" si="74"/>
        <v>1</v>
      </c>
      <c r="L84" s="3">
        <f t="shared" si="74"/>
        <v>1</v>
      </c>
      <c r="M84" s="3" t="e">
        <f t="shared" si="74"/>
        <v>#REF!</v>
      </c>
      <c r="N84" s="3">
        <f t="shared" si="74"/>
        <v>1</v>
      </c>
      <c r="O84" s="3">
        <f t="shared" si="74"/>
        <v>1</v>
      </c>
      <c r="P84" s="3">
        <f t="shared" si="74"/>
        <v>1</v>
      </c>
      <c r="Q84" s="3">
        <f t="shared" si="74"/>
        <v>1</v>
      </c>
      <c r="R84" s="3">
        <f t="shared" si="74"/>
        <v>1</v>
      </c>
      <c r="S84" s="3">
        <f t="shared" si="74"/>
        <v>1</v>
      </c>
      <c r="T84" s="3">
        <f t="shared" si="74"/>
        <v>1</v>
      </c>
      <c r="U84" s="3">
        <f t="shared" si="74"/>
        <v>1</v>
      </c>
      <c r="V84" s="3">
        <f t="shared" si="74"/>
        <v>1</v>
      </c>
      <c r="W84" s="3">
        <f t="shared" si="74"/>
        <v>1</v>
      </c>
    </row>
    <row r="85" customHeight="1" spans="1:23">
      <c r="A85" s="2">
        <v>72</v>
      </c>
      <c r="B85" s="3">
        <f t="shared" ref="B85:W85" si="75">MIN(1,IF($A85&lt;B$4+B$3,0,IF(B$2=0,1,IF(B$5=0,($A85-B$4)/B$2,IF(MOD($A85-B$4,B$5)=0,($A85-B$4)/B$2,QUOTIENT($A85-B$4,B$5)*B$5/B$2)))))</f>
        <v>1</v>
      </c>
      <c r="C85" s="3">
        <f t="shared" si="75"/>
        <v>1</v>
      </c>
      <c r="D85" s="3">
        <f t="shared" si="75"/>
        <v>1</v>
      </c>
      <c r="E85" s="3" t="e">
        <f t="shared" si="75"/>
        <v>#REF!</v>
      </c>
      <c r="F85" s="3">
        <f t="shared" si="75"/>
        <v>1</v>
      </c>
      <c r="G85" s="3">
        <f t="shared" si="75"/>
        <v>1</v>
      </c>
      <c r="H85" s="3">
        <f t="shared" si="75"/>
        <v>1</v>
      </c>
      <c r="I85" s="3">
        <f t="shared" si="75"/>
        <v>1</v>
      </c>
      <c r="J85" s="3">
        <f t="shared" si="75"/>
        <v>1</v>
      </c>
      <c r="K85" s="3">
        <f t="shared" si="75"/>
        <v>1</v>
      </c>
      <c r="L85" s="3">
        <f t="shared" si="75"/>
        <v>1</v>
      </c>
      <c r="M85" s="3" t="e">
        <f t="shared" si="75"/>
        <v>#REF!</v>
      </c>
      <c r="N85" s="3">
        <f t="shared" si="75"/>
        <v>1</v>
      </c>
      <c r="O85" s="3">
        <f t="shared" si="75"/>
        <v>1</v>
      </c>
      <c r="P85" s="3">
        <f t="shared" si="75"/>
        <v>1</v>
      </c>
      <c r="Q85" s="3">
        <f t="shared" si="75"/>
        <v>1</v>
      </c>
      <c r="R85" s="3">
        <f t="shared" si="75"/>
        <v>1</v>
      </c>
      <c r="S85" s="3">
        <f t="shared" si="75"/>
        <v>1</v>
      </c>
      <c r="T85" s="3">
        <f t="shared" si="75"/>
        <v>1</v>
      </c>
      <c r="U85" s="3">
        <f t="shared" si="75"/>
        <v>1</v>
      </c>
      <c r="V85" s="3">
        <f t="shared" si="75"/>
        <v>1</v>
      </c>
      <c r="W85" s="3">
        <f t="shared" si="75"/>
        <v>1</v>
      </c>
    </row>
    <row r="86" customHeight="1" spans="1:23">
      <c r="A86" s="2">
        <v>73</v>
      </c>
      <c r="B86" s="3">
        <f t="shared" ref="B86:W86" si="76">MIN(1,IF($A86&lt;B$4+B$3,0,IF(B$2=0,1,IF(B$5=0,($A86-B$4)/B$2,IF(MOD($A86-B$4,B$5)=0,($A86-B$4)/B$2,QUOTIENT($A86-B$4,B$5)*B$5/B$2)))))</f>
        <v>1</v>
      </c>
      <c r="C86" s="3">
        <f t="shared" si="76"/>
        <v>1</v>
      </c>
      <c r="D86" s="3">
        <f t="shared" si="76"/>
        <v>1</v>
      </c>
      <c r="E86" s="3" t="e">
        <f t="shared" si="76"/>
        <v>#REF!</v>
      </c>
      <c r="F86" s="3">
        <f t="shared" si="76"/>
        <v>1</v>
      </c>
      <c r="G86" s="3">
        <f t="shared" si="76"/>
        <v>1</v>
      </c>
      <c r="H86" s="3">
        <f t="shared" si="76"/>
        <v>1</v>
      </c>
      <c r="I86" s="3">
        <f t="shared" si="76"/>
        <v>1</v>
      </c>
      <c r="J86" s="3">
        <f t="shared" si="76"/>
        <v>1</v>
      </c>
      <c r="K86" s="3">
        <f t="shared" si="76"/>
        <v>1</v>
      </c>
      <c r="L86" s="3">
        <f t="shared" si="76"/>
        <v>1</v>
      </c>
      <c r="M86" s="3" t="e">
        <f t="shared" si="76"/>
        <v>#REF!</v>
      </c>
      <c r="N86" s="3">
        <f t="shared" si="76"/>
        <v>1</v>
      </c>
      <c r="O86" s="3">
        <f t="shared" si="76"/>
        <v>1</v>
      </c>
      <c r="P86" s="3">
        <f t="shared" si="76"/>
        <v>1</v>
      </c>
      <c r="Q86" s="3">
        <f t="shared" si="76"/>
        <v>1</v>
      </c>
      <c r="R86" s="3">
        <f t="shared" si="76"/>
        <v>1</v>
      </c>
      <c r="S86" s="3">
        <f t="shared" si="76"/>
        <v>1</v>
      </c>
      <c r="T86" s="3">
        <f t="shared" si="76"/>
        <v>1</v>
      </c>
      <c r="U86" s="3">
        <f t="shared" si="76"/>
        <v>1</v>
      </c>
      <c r="V86" s="3">
        <f t="shared" si="76"/>
        <v>1</v>
      </c>
      <c r="W86" s="3">
        <f t="shared" si="76"/>
        <v>1</v>
      </c>
    </row>
    <row r="87" customHeight="1" spans="1:23">
      <c r="A87" s="2">
        <v>74</v>
      </c>
      <c r="B87" s="3">
        <f t="shared" ref="B87:W87" si="77">MIN(1,IF($A87&lt;B$4+B$3,0,IF(B$2=0,1,IF(B$5=0,($A87-B$4)/B$2,IF(MOD($A87-B$4,B$5)=0,($A87-B$4)/B$2,QUOTIENT($A87-B$4,B$5)*B$5/B$2)))))</f>
        <v>1</v>
      </c>
      <c r="C87" s="3">
        <f t="shared" si="77"/>
        <v>1</v>
      </c>
      <c r="D87" s="3">
        <f t="shared" si="77"/>
        <v>1</v>
      </c>
      <c r="E87" s="3" t="e">
        <f t="shared" si="77"/>
        <v>#REF!</v>
      </c>
      <c r="F87" s="3">
        <f t="shared" si="77"/>
        <v>1</v>
      </c>
      <c r="G87" s="3">
        <f t="shared" si="77"/>
        <v>1</v>
      </c>
      <c r="H87" s="3">
        <f t="shared" si="77"/>
        <v>1</v>
      </c>
      <c r="I87" s="3">
        <f t="shared" si="77"/>
        <v>1</v>
      </c>
      <c r="J87" s="3">
        <f t="shared" si="77"/>
        <v>1</v>
      </c>
      <c r="K87" s="3">
        <f t="shared" si="77"/>
        <v>1</v>
      </c>
      <c r="L87" s="3">
        <f t="shared" si="77"/>
        <v>1</v>
      </c>
      <c r="M87" s="3" t="e">
        <f t="shared" si="77"/>
        <v>#REF!</v>
      </c>
      <c r="N87" s="3">
        <f t="shared" si="77"/>
        <v>1</v>
      </c>
      <c r="O87" s="3">
        <f t="shared" si="77"/>
        <v>1</v>
      </c>
      <c r="P87" s="3">
        <f t="shared" si="77"/>
        <v>1</v>
      </c>
      <c r="Q87" s="3">
        <f t="shared" si="77"/>
        <v>1</v>
      </c>
      <c r="R87" s="3">
        <f t="shared" si="77"/>
        <v>1</v>
      </c>
      <c r="S87" s="3">
        <f t="shared" si="77"/>
        <v>1</v>
      </c>
      <c r="T87" s="3">
        <f t="shared" si="77"/>
        <v>1</v>
      </c>
      <c r="U87" s="3">
        <f t="shared" si="77"/>
        <v>1</v>
      </c>
      <c r="V87" s="3">
        <f t="shared" si="77"/>
        <v>1</v>
      </c>
      <c r="W87" s="3">
        <f t="shared" si="77"/>
        <v>1</v>
      </c>
    </row>
    <row r="88" customHeight="1" spans="1:23">
      <c r="A88" s="2">
        <v>75</v>
      </c>
      <c r="B88" s="3">
        <f t="shared" ref="B88:W88" si="78">MIN(1,IF($A88&lt;B$4+B$3,0,IF(B$2=0,1,IF(B$5=0,($A88-B$4)/B$2,IF(MOD($A88-B$4,B$5)=0,($A88-B$4)/B$2,QUOTIENT($A88-B$4,B$5)*B$5/B$2)))))</f>
        <v>1</v>
      </c>
      <c r="C88" s="3">
        <f t="shared" si="78"/>
        <v>1</v>
      </c>
      <c r="D88" s="3">
        <f t="shared" si="78"/>
        <v>1</v>
      </c>
      <c r="E88" s="3" t="e">
        <f t="shared" si="78"/>
        <v>#REF!</v>
      </c>
      <c r="F88" s="3">
        <f t="shared" si="78"/>
        <v>1</v>
      </c>
      <c r="G88" s="3">
        <f t="shared" si="78"/>
        <v>1</v>
      </c>
      <c r="H88" s="3">
        <f t="shared" si="78"/>
        <v>1</v>
      </c>
      <c r="I88" s="3">
        <f t="shared" si="78"/>
        <v>1</v>
      </c>
      <c r="J88" s="3">
        <f t="shared" si="78"/>
        <v>1</v>
      </c>
      <c r="K88" s="3">
        <f t="shared" si="78"/>
        <v>1</v>
      </c>
      <c r="L88" s="3">
        <f t="shared" si="78"/>
        <v>1</v>
      </c>
      <c r="M88" s="3" t="e">
        <f t="shared" si="78"/>
        <v>#REF!</v>
      </c>
      <c r="N88" s="3">
        <f t="shared" si="78"/>
        <v>1</v>
      </c>
      <c r="O88" s="3">
        <f t="shared" si="78"/>
        <v>1</v>
      </c>
      <c r="P88" s="3">
        <f t="shared" si="78"/>
        <v>1</v>
      </c>
      <c r="Q88" s="3">
        <f t="shared" si="78"/>
        <v>1</v>
      </c>
      <c r="R88" s="3">
        <f t="shared" si="78"/>
        <v>1</v>
      </c>
      <c r="S88" s="3">
        <f t="shared" si="78"/>
        <v>1</v>
      </c>
      <c r="T88" s="3">
        <f t="shared" si="78"/>
        <v>1</v>
      </c>
      <c r="U88" s="3">
        <f t="shared" si="78"/>
        <v>1</v>
      </c>
      <c r="V88" s="3">
        <f t="shared" si="78"/>
        <v>1</v>
      </c>
      <c r="W88" s="3">
        <f t="shared" si="78"/>
        <v>1</v>
      </c>
    </row>
    <row r="89" customHeight="1" spans="1:23">
      <c r="A89" s="2">
        <v>76</v>
      </c>
      <c r="B89" s="3">
        <f t="shared" ref="B89:W89" si="79">MIN(1,IF($A89&lt;B$4+B$3,0,IF(B$2=0,1,IF(B$5=0,($A89-B$4)/B$2,IF(MOD($A89-B$4,B$5)=0,($A89-B$4)/B$2,QUOTIENT($A89-B$4,B$5)*B$5/B$2)))))</f>
        <v>1</v>
      </c>
      <c r="C89" s="3">
        <f t="shared" si="79"/>
        <v>1</v>
      </c>
      <c r="D89" s="3">
        <f t="shared" si="79"/>
        <v>1</v>
      </c>
      <c r="E89" s="3" t="e">
        <f t="shared" si="79"/>
        <v>#REF!</v>
      </c>
      <c r="F89" s="3">
        <f t="shared" si="79"/>
        <v>1</v>
      </c>
      <c r="G89" s="3">
        <f t="shared" si="79"/>
        <v>1</v>
      </c>
      <c r="H89" s="3">
        <f t="shared" si="79"/>
        <v>1</v>
      </c>
      <c r="I89" s="3">
        <f t="shared" si="79"/>
        <v>1</v>
      </c>
      <c r="J89" s="3">
        <f t="shared" si="79"/>
        <v>1</v>
      </c>
      <c r="K89" s="3">
        <f t="shared" si="79"/>
        <v>1</v>
      </c>
      <c r="L89" s="3">
        <f t="shared" si="79"/>
        <v>1</v>
      </c>
      <c r="M89" s="3" t="e">
        <f t="shared" si="79"/>
        <v>#REF!</v>
      </c>
      <c r="N89" s="3">
        <f t="shared" si="79"/>
        <v>1</v>
      </c>
      <c r="O89" s="3">
        <f t="shared" si="79"/>
        <v>1</v>
      </c>
      <c r="P89" s="3">
        <f t="shared" si="79"/>
        <v>1</v>
      </c>
      <c r="Q89" s="3">
        <f t="shared" si="79"/>
        <v>1</v>
      </c>
      <c r="R89" s="3">
        <f t="shared" si="79"/>
        <v>1</v>
      </c>
      <c r="S89" s="3">
        <f t="shared" si="79"/>
        <v>1</v>
      </c>
      <c r="T89" s="3">
        <f t="shared" si="79"/>
        <v>1</v>
      </c>
      <c r="U89" s="3">
        <f t="shared" si="79"/>
        <v>1</v>
      </c>
      <c r="V89" s="3">
        <f t="shared" si="79"/>
        <v>1</v>
      </c>
      <c r="W89" s="3">
        <f t="shared" si="79"/>
        <v>1</v>
      </c>
    </row>
    <row r="90" customHeight="1" spans="1:23">
      <c r="A90" s="2">
        <v>77</v>
      </c>
      <c r="B90" s="3">
        <f t="shared" ref="B90:W90" si="80">MIN(1,IF($A90&lt;B$4+B$3,0,IF(B$2=0,1,IF(B$5=0,($A90-B$4)/B$2,IF(MOD($A90-B$4,B$5)=0,($A90-B$4)/B$2,QUOTIENT($A90-B$4,B$5)*B$5/B$2)))))</f>
        <v>1</v>
      </c>
      <c r="C90" s="3">
        <f t="shared" si="80"/>
        <v>1</v>
      </c>
      <c r="D90" s="3">
        <f t="shared" si="80"/>
        <v>1</v>
      </c>
      <c r="E90" s="3" t="e">
        <f t="shared" si="80"/>
        <v>#REF!</v>
      </c>
      <c r="F90" s="3">
        <f t="shared" si="80"/>
        <v>1</v>
      </c>
      <c r="G90" s="3">
        <f t="shared" si="80"/>
        <v>1</v>
      </c>
      <c r="H90" s="3">
        <f t="shared" si="80"/>
        <v>1</v>
      </c>
      <c r="I90" s="3">
        <f t="shared" si="80"/>
        <v>1</v>
      </c>
      <c r="J90" s="3">
        <f t="shared" si="80"/>
        <v>1</v>
      </c>
      <c r="K90" s="3">
        <f t="shared" si="80"/>
        <v>1</v>
      </c>
      <c r="L90" s="3">
        <f t="shared" si="80"/>
        <v>1</v>
      </c>
      <c r="M90" s="3" t="e">
        <f t="shared" si="80"/>
        <v>#REF!</v>
      </c>
      <c r="N90" s="3">
        <f t="shared" si="80"/>
        <v>1</v>
      </c>
      <c r="O90" s="3">
        <f t="shared" si="80"/>
        <v>1</v>
      </c>
      <c r="P90" s="3">
        <f t="shared" si="80"/>
        <v>1</v>
      </c>
      <c r="Q90" s="3">
        <f t="shared" si="80"/>
        <v>1</v>
      </c>
      <c r="R90" s="3">
        <f t="shared" si="80"/>
        <v>1</v>
      </c>
      <c r="S90" s="3">
        <f t="shared" si="80"/>
        <v>1</v>
      </c>
      <c r="T90" s="3">
        <f t="shared" si="80"/>
        <v>1</v>
      </c>
      <c r="U90" s="3">
        <f t="shared" si="80"/>
        <v>1</v>
      </c>
      <c r="V90" s="3">
        <f t="shared" si="80"/>
        <v>1</v>
      </c>
      <c r="W90" s="3">
        <f t="shared" si="80"/>
        <v>1</v>
      </c>
    </row>
    <row r="91" customHeight="1" spans="1:23">
      <c r="A91" s="2">
        <v>78</v>
      </c>
      <c r="B91" s="3">
        <f t="shared" ref="B91:W91" si="81">MIN(1,IF($A91&lt;B$4+B$3,0,IF(B$2=0,1,IF(B$5=0,($A91-B$4)/B$2,IF(MOD($A91-B$4,B$5)=0,($A91-B$4)/B$2,QUOTIENT($A91-B$4,B$5)*B$5/B$2)))))</f>
        <v>1</v>
      </c>
      <c r="C91" s="3">
        <f t="shared" si="81"/>
        <v>1</v>
      </c>
      <c r="D91" s="3">
        <f t="shared" si="81"/>
        <v>1</v>
      </c>
      <c r="E91" s="3" t="e">
        <f t="shared" si="81"/>
        <v>#REF!</v>
      </c>
      <c r="F91" s="3">
        <f t="shared" si="81"/>
        <v>1</v>
      </c>
      <c r="G91" s="3">
        <f t="shared" si="81"/>
        <v>1</v>
      </c>
      <c r="H91" s="3">
        <f t="shared" si="81"/>
        <v>1</v>
      </c>
      <c r="I91" s="3">
        <f t="shared" si="81"/>
        <v>1</v>
      </c>
      <c r="J91" s="3">
        <f t="shared" si="81"/>
        <v>1</v>
      </c>
      <c r="K91" s="3">
        <f t="shared" si="81"/>
        <v>1</v>
      </c>
      <c r="L91" s="3">
        <f t="shared" si="81"/>
        <v>1</v>
      </c>
      <c r="M91" s="3" t="e">
        <f t="shared" si="81"/>
        <v>#REF!</v>
      </c>
      <c r="N91" s="3">
        <f t="shared" si="81"/>
        <v>1</v>
      </c>
      <c r="O91" s="3">
        <f t="shared" si="81"/>
        <v>1</v>
      </c>
      <c r="P91" s="3">
        <f t="shared" si="81"/>
        <v>1</v>
      </c>
      <c r="Q91" s="3">
        <f t="shared" si="81"/>
        <v>1</v>
      </c>
      <c r="R91" s="3">
        <f t="shared" si="81"/>
        <v>1</v>
      </c>
      <c r="S91" s="3">
        <f t="shared" si="81"/>
        <v>1</v>
      </c>
      <c r="T91" s="3">
        <f t="shared" si="81"/>
        <v>1</v>
      </c>
      <c r="U91" s="3">
        <f t="shared" si="81"/>
        <v>1</v>
      </c>
      <c r="V91" s="3">
        <f t="shared" si="81"/>
        <v>1</v>
      </c>
      <c r="W91" s="3">
        <f t="shared" si="81"/>
        <v>1</v>
      </c>
    </row>
    <row r="92" customHeight="1" spans="1:23">
      <c r="A92" s="2">
        <v>79</v>
      </c>
      <c r="B92" s="3">
        <f t="shared" ref="B92:W92" si="82">MIN(1,IF($A92&lt;B$4+B$3,0,IF(B$2=0,1,IF(B$5=0,($A92-B$4)/B$2,IF(MOD($A92-B$4,B$5)=0,($A92-B$4)/B$2,QUOTIENT($A92-B$4,B$5)*B$5/B$2)))))</f>
        <v>1</v>
      </c>
      <c r="C92" s="3">
        <f t="shared" si="82"/>
        <v>1</v>
      </c>
      <c r="D92" s="3">
        <f t="shared" si="82"/>
        <v>1</v>
      </c>
      <c r="E92" s="3" t="e">
        <f t="shared" si="82"/>
        <v>#REF!</v>
      </c>
      <c r="F92" s="3">
        <f t="shared" si="82"/>
        <v>1</v>
      </c>
      <c r="G92" s="3">
        <f t="shared" si="82"/>
        <v>1</v>
      </c>
      <c r="H92" s="3">
        <f t="shared" si="82"/>
        <v>1</v>
      </c>
      <c r="I92" s="3">
        <f t="shared" si="82"/>
        <v>1</v>
      </c>
      <c r="J92" s="3">
        <f t="shared" si="82"/>
        <v>1</v>
      </c>
      <c r="K92" s="3">
        <f t="shared" si="82"/>
        <v>1</v>
      </c>
      <c r="L92" s="3">
        <f t="shared" si="82"/>
        <v>1</v>
      </c>
      <c r="M92" s="3" t="e">
        <f t="shared" si="82"/>
        <v>#REF!</v>
      </c>
      <c r="N92" s="3">
        <f t="shared" si="82"/>
        <v>1</v>
      </c>
      <c r="O92" s="3">
        <f t="shared" si="82"/>
        <v>1</v>
      </c>
      <c r="P92" s="3">
        <f t="shared" si="82"/>
        <v>1</v>
      </c>
      <c r="Q92" s="3">
        <f t="shared" si="82"/>
        <v>1</v>
      </c>
      <c r="R92" s="3">
        <f t="shared" si="82"/>
        <v>1</v>
      </c>
      <c r="S92" s="3">
        <f t="shared" si="82"/>
        <v>1</v>
      </c>
      <c r="T92" s="3">
        <f t="shared" si="82"/>
        <v>1</v>
      </c>
      <c r="U92" s="3">
        <f t="shared" si="82"/>
        <v>1</v>
      </c>
      <c r="V92" s="3">
        <f t="shared" si="82"/>
        <v>1</v>
      </c>
      <c r="W92" s="3">
        <f t="shared" si="82"/>
        <v>1</v>
      </c>
    </row>
    <row r="93" customHeight="1" spans="1:23">
      <c r="A93" s="2">
        <v>80</v>
      </c>
      <c r="B93" s="3">
        <f t="shared" ref="B93:W93" si="83">MIN(1,IF($A93&lt;B$4+B$3,0,IF(B$2=0,1,IF(B$5=0,($A93-B$4)/B$2,IF(MOD($A93-B$4,B$5)=0,($A93-B$4)/B$2,QUOTIENT($A93-B$4,B$5)*B$5/B$2)))))</f>
        <v>1</v>
      </c>
      <c r="C93" s="3">
        <f t="shared" si="83"/>
        <v>1</v>
      </c>
      <c r="D93" s="3">
        <f t="shared" si="83"/>
        <v>1</v>
      </c>
      <c r="E93" s="3" t="e">
        <f t="shared" si="83"/>
        <v>#REF!</v>
      </c>
      <c r="F93" s="3">
        <f t="shared" si="83"/>
        <v>1</v>
      </c>
      <c r="G93" s="3">
        <f t="shared" si="83"/>
        <v>1</v>
      </c>
      <c r="H93" s="3">
        <f t="shared" si="83"/>
        <v>1</v>
      </c>
      <c r="I93" s="3">
        <f t="shared" si="83"/>
        <v>1</v>
      </c>
      <c r="J93" s="3">
        <f t="shared" si="83"/>
        <v>1</v>
      </c>
      <c r="K93" s="3">
        <f t="shared" si="83"/>
        <v>1</v>
      </c>
      <c r="L93" s="3">
        <f t="shared" si="83"/>
        <v>1</v>
      </c>
      <c r="M93" s="3" t="e">
        <f t="shared" si="83"/>
        <v>#REF!</v>
      </c>
      <c r="N93" s="3">
        <f t="shared" si="83"/>
        <v>1</v>
      </c>
      <c r="O93" s="3">
        <f t="shared" si="83"/>
        <v>1</v>
      </c>
      <c r="P93" s="3">
        <f t="shared" si="83"/>
        <v>1</v>
      </c>
      <c r="Q93" s="3">
        <f t="shared" si="83"/>
        <v>1</v>
      </c>
      <c r="R93" s="3">
        <f t="shared" si="83"/>
        <v>1</v>
      </c>
      <c r="S93" s="3">
        <f t="shared" si="83"/>
        <v>1</v>
      </c>
      <c r="T93" s="3">
        <f t="shared" si="83"/>
        <v>1</v>
      </c>
      <c r="U93" s="3">
        <f t="shared" si="83"/>
        <v>1</v>
      </c>
      <c r="V93" s="3">
        <f t="shared" si="83"/>
        <v>1</v>
      </c>
      <c r="W93" s="3">
        <f t="shared" si="83"/>
        <v>1</v>
      </c>
    </row>
    <row r="94" customHeight="1" spans="1:23">
      <c r="A94" s="2">
        <v>81</v>
      </c>
      <c r="B94" s="3">
        <f t="shared" ref="B94:W94" si="84">MIN(1,IF($A94&lt;B$4+B$3,0,IF(B$2=0,1,IF(B$5=0,($A94-B$4)/B$2,IF(MOD($A94-B$4,B$5)=0,($A94-B$4)/B$2,QUOTIENT($A94-B$4,B$5)*B$5/B$2)))))</f>
        <v>1</v>
      </c>
      <c r="C94" s="3">
        <f t="shared" si="84"/>
        <v>1</v>
      </c>
      <c r="D94" s="3">
        <f t="shared" si="84"/>
        <v>1</v>
      </c>
      <c r="E94" s="3" t="e">
        <f t="shared" si="84"/>
        <v>#REF!</v>
      </c>
      <c r="F94" s="3">
        <f t="shared" si="84"/>
        <v>1</v>
      </c>
      <c r="G94" s="3">
        <f t="shared" si="84"/>
        <v>1</v>
      </c>
      <c r="H94" s="3">
        <f t="shared" si="84"/>
        <v>1</v>
      </c>
      <c r="I94" s="3">
        <f t="shared" si="84"/>
        <v>1</v>
      </c>
      <c r="J94" s="3">
        <f t="shared" si="84"/>
        <v>1</v>
      </c>
      <c r="K94" s="3">
        <f t="shared" si="84"/>
        <v>1</v>
      </c>
      <c r="L94" s="3">
        <f t="shared" si="84"/>
        <v>1</v>
      </c>
      <c r="M94" s="3" t="e">
        <f t="shared" si="84"/>
        <v>#REF!</v>
      </c>
      <c r="N94" s="3">
        <f t="shared" si="84"/>
        <v>1</v>
      </c>
      <c r="O94" s="3">
        <f t="shared" si="84"/>
        <v>1</v>
      </c>
      <c r="P94" s="3">
        <f t="shared" si="84"/>
        <v>1</v>
      </c>
      <c r="Q94" s="3">
        <f t="shared" si="84"/>
        <v>1</v>
      </c>
      <c r="R94" s="3">
        <f t="shared" si="84"/>
        <v>1</v>
      </c>
      <c r="S94" s="3">
        <f t="shared" si="84"/>
        <v>1</v>
      </c>
      <c r="T94" s="3">
        <f t="shared" si="84"/>
        <v>1</v>
      </c>
      <c r="U94" s="3">
        <f t="shared" si="84"/>
        <v>1</v>
      </c>
      <c r="V94" s="3">
        <f t="shared" si="84"/>
        <v>1</v>
      </c>
      <c r="W94" s="3">
        <f t="shared" si="84"/>
        <v>1</v>
      </c>
    </row>
    <row r="95" customHeight="1" spans="1:23">
      <c r="A95" s="2">
        <v>82</v>
      </c>
      <c r="B95" s="3">
        <f t="shared" ref="B95:W95" si="85">MIN(1,IF($A95&lt;B$4+B$3,0,IF(B$2=0,1,IF(B$5=0,($A95-B$4)/B$2,IF(MOD($A95-B$4,B$5)=0,($A95-B$4)/B$2,QUOTIENT($A95-B$4,B$5)*B$5/B$2)))))</f>
        <v>1</v>
      </c>
      <c r="C95" s="3">
        <f t="shared" si="85"/>
        <v>1</v>
      </c>
      <c r="D95" s="3">
        <f t="shared" si="85"/>
        <v>1</v>
      </c>
      <c r="E95" s="3" t="e">
        <f t="shared" si="85"/>
        <v>#REF!</v>
      </c>
      <c r="F95" s="3">
        <f t="shared" si="85"/>
        <v>1</v>
      </c>
      <c r="G95" s="3">
        <f t="shared" si="85"/>
        <v>1</v>
      </c>
      <c r="H95" s="3">
        <f t="shared" si="85"/>
        <v>1</v>
      </c>
      <c r="I95" s="3">
        <f t="shared" si="85"/>
        <v>1</v>
      </c>
      <c r="J95" s="3">
        <f t="shared" si="85"/>
        <v>1</v>
      </c>
      <c r="K95" s="3">
        <f t="shared" si="85"/>
        <v>1</v>
      </c>
      <c r="L95" s="3">
        <f t="shared" si="85"/>
        <v>1</v>
      </c>
      <c r="M95" s="3" t="e">
        <f t="shared" si="85"/>
        <v>#REF!</v>
      </c>
      <c r="N95" s="3">
        <f t="shared" si="85"/>
        <v>1</v>
      </c>
      <c r="O95" s="3">
        <f t="shared" si="85"/>
        <v>1</v>
      </c>
      <c r="P95" s="3">
        <f t="shared" si="85"/>
        <v>1</v>
      </c>
      <c r="Q95" s="3">
        <f t="shared" si="85"/>
        <v>1</v>
      </c>
      <c r="R95" s="3">
        <f t="shared" si="85"/>
        <v>1</v>
      </c>
      <c r="S95" s="3">
        <f t="shared" si="85"/>
        <v>1</v>
      </c>
      <c r="T95" s="3">
        <f t="shared" si="85"/>
        <v>1</v>
      </c>
      <c r="U95" s="3">
        <f t="shared" si="85"/>
        <v>1</v>
      </c>
      <c r="V95" s="3">
        <f t="shared" si="85"/>
        <v>1</v>
      </c>
      <c r="W95" s="3">
        <f t="shared" si="85"/>
        <v>1</v>
      </c>
    </row>
    <row r="96" customHeight="1" spans="1:23">
      <c r="A96" s="2">
        <v>83</v>
      </c>
      <c r="B96" s="3">
        <f t="shared" ref="B96:W96" si="86">MIN(1,IF($A96&lt;B$4+B$3,0,IF(B$2=0,1,IF(B$5=0,($A96-B$4)/B$2,IF(MOD($A96-B$4,B$5)=0,($A96-B$4)/B$2,QUOTIENT($A96-B$4,B$5)*B$5/B$2)))))</f>
        <v>1</v>
      </c>
      <c r="C96" s="3">
        <f t="shared" si="86"/>
        <v>1</v>
      </c>
      <c r="D96" s="3">
        <f t="shared" si="86"/>
        <v>1</v>
      </c>
      <c r="E96" s="3" t="e">
        <f t="shared" si="86"/>
        <v>#REF!</v>
      </c>
      <c r="F96" s="3">
        <f t="shared" si="86"/>
        <v>1</v>
      </c>
      <c r="G96" s="3">
        <f t="shared" si="86"/>
        <v>1</v>
      </c>
      <c r="H96" s="3">
        <f t="shared" si="86"/>
        <v>1</v>
      </c>
      <c r="I96" s="3">
        <f t="shared" si="86"/>
        <v>1</v>
      </c>
      <c r="J96" s="3">
        <f t="shared" si="86"/>
        <v>1</v>
      </c>
      <c r="K96" s="3">
        <f t="shared" si="86"/>
        <v>1</v>
      </c>
      <c r="L96" s="3">
        <f t="shared" si="86"/>
        <v>1</v>
      </c>
      <c r="M96" s="3" t="e">
        <f t="shared" si="86"/>
        <v>#REF!</v>
      </c>
      <c r="N96" s="3">
        <f t="shared" si="86"/>
        <v>1</v>
      </c>
      <c r="O96" s="3">
        <f t="shared" si="86"/>
        <v>1</v>
      </c>
      <c r="P96" s="3">
        <f t="shared" si="86"/>
        <v>1</v>
      </c>
      <c r="Q96" s="3">
        <f t="shared" si="86"/>
        <v>1</v>
      </c>
      <c r="R96" s="3">
        <f t="shared" si="86"/>
        <v>1</v>
      </c>
      <c r="S96" s="3">
        <f t="shared" si="86"/>
        <v>1</v>
      </c>
      <c r="T96" s="3">
        <f t="shared" si="86"/>
        <v>1</v>
      </c>
      <c r="U96" s="3">
        <f t="shared" si="86"/>
        <v>1</v>
      </c>
      <c r="V96" s="3">
        <f t="shared" si="86"/>
        <v>1</v>
      </c>
      <c r="W96" s="3">
        <f t="shared" si="86"/>
        <v>1</v>
      </c>
    </row>
    <row r="97" customHeight="1" spans="1:23">
      <c r="A97" s="2">
        <v>84</v>
      </c>
      <c r="B97" s="3">
        <f t="shared" ref="B97:W97" si="87">MIN(1,IF($A97&lt;B$4+B$3,0,IF(B$2=0,1,IF(B$5=0,($A97-B$4)/B$2,IF(MOD($A97-B$4,B$5)=0,($A97-B$4)/B$2,QUOTIENT($A97-B$4,B$5)*B$5/B$2)))))</f>
        <v>1</v>
      </c>
      <c r="C97" s="3">
        <f t="shared" si="87"/>
        <v>1</v>
      </c>
      <c r="D97" s="3">
        <f t="shared" si="87"/>
        <v>1</v>
      </c>
      <c r="E97" s="3" t="e">
        <f t="shared" si="87"/>
        <v>#REF!</v>
      </c>
      <c r="F97" s="3">
        <f t="shared" si="87"/>
        <v>1</v>
      </c>
      <c r="G97" s="3">
        <f t="shared" si="87"/>
        <v>1</v>
      </c>
      <c r="H97" s="3">
        <f t="shared" si="87"/>
        <v>1</v>
      </c>
      <c r="I97" s="3">
        <f t="shared" si="87"/>
        <v>1</v>
      </c>
      <c r="J97" s="3">
        <f t="shared" si="87"/>
        <v>1</v>
      </c>
      <c r="K97" s="3">
        <f t="shared" si="87"/>
        <v>1</v>
      </c>
      <c r="L97" s="3">
        <f t="shared" si="87"/>
        <v>1</v>
      </c>
      <c r="M97" s="3" t="e">
        <f t="shared" si="87"/>
        <v>#REF!</v>
      </c>
      <c r="N97" s="3">
        <f t="shared" si="87"/>
        <v>1</v>
      </c>
      <c r="O97" s="3">
        <f t="shared" si="87"/>
        <v>1</v>
      </c>
      <c r="P97" s="3">
        <f t="shared" si="87"/>
        <v>1</v>
      </c>
      <c r="Q97" s="3">
        <f t="shared" si="87"/>
        <v>1</v>
      </c>
      <c r="R97" s="3">
        <f t="shared" si="87"/>
        <v>1</v>
      </c>
      <c r="S97" s="3">
        <f t="shared" si="87"/>
        <v>1</v>
      </c>
      <c r="T97" s="3">
        <f t="shared" si="87"/>
        <v>1</v>
      </c>
      <c r="U97" s="3">
        <f t="shared" si="87"/>
        <v>1</v>
      </c>
      <c r="V97" s="3">
        <f t="shared" si="87"/>
        <v>1</v>
      </c>
      <c r="W97" s="3">
        <f t="shared" si="87"/>
        <v>1</v>
      </c>
    </row>
    <row r="98" customHeight="1" spans="1:23">
      <c r="A98" s="2">
        <v>85</v>
      </c>
      <c r="B98" s="3">
        <f t="shared" ref="B98:W98" si="88">MIN(1,IF($A98&lt;B$4+B$3,0,IF(B$2=0,1,IF(B$5=0,($A98-B$4)/B$2,IF(MOD($A98-B$4,B$5)=0,($A98-B$4)/B$2,QUOTIENT($A98-B$4,B$5)*B$5/B$2)))))</f>
        <v>1</v>
      </c>
      <c r="C98" s="3">
        <f t="shared" si="88"/>
        <v>1</v>
      </c>
      <c r="D98" s="3">
        <f t="shared" si="88"/>
        <v>1</v>
      </c>
      <c r="E98" s="3" t="e">
        <f t="shared" si="88"/>
        <v>#REF!</v>
      </c>
      <c r="F98" s="3">
        <f t="shared" si="88"/>
        <v>1</v>
      </c>
      <c r="G98" s="3">
        <f t="shared" si="88"/>
        <v>1</v>
      </c>
      <c r="H98" s="3">
        <f t="shared" si="88"/>
        <v>1</v>
      </c>
      <c r="I98" s="3">
        <f t="shared" si="88"/>
        <v>1</v>
      </c>
      <c r="J98" s="3">
        <f t="shared" si="88"/>
        <v>1</v>
      </c>
      <c r="K98" s="3">
        <f t="shared" si="88"/>
        <v>1</v>
      </c>
      <c r="L98" s="3">
        <f t="shared" si="88"/>
        <v>1</v>
      </c>
      <c r="M98" s="3" t="e">
        <f t="shared" si="88"/>
        <v>#REF!</v>
      </c>
      <c r="N98" s="3">
        <f t="shared" si="88"/>
        <v>1</v>
      </c>
      <c r="O98" s="3">
        <f t="shared" si="88"/>
        <v>1</v>
      </c>
      <c r="P98" s="3">
        <f t="shared" si="88"/>
        <v>1</v>
      </c>
      <c r="Q98" s="3">
        <f t="shared" si="88"/>
        <v>1</v>
      </c>
      <c r="R98" s="3">
        <f t="shared" si="88"/>
        <v>1</v>
      </c>
      <c r="S98" s="3">
        <f t="shared" si="88"/>
        <v>1</v>
      </c>
      <c r="T98" s="3">
        <f t="shared" si="88"/>
        <v>1</v>
      </c>
      <c r="U98" s="3">
        <f t="shared" si="88"/>
        <v>1</v>
      </c>
      <c r="V98" s="3">
        <f t="shared" si="88"/>
        <v>1</v>
      </c>
      <c r="W98" s="3">
        <f t="shared" si="88"/>
        <v>1</v>
      </c>
    </row>
    <row r="99" customHeight="1" spans="1:23">
      <c r="A99" s="2">
        <v>86</v>
      </c>
      <c r="B99" s="3">
        <f t="shared" ref="B99:W99" si="89">MIN(1,IF($A99&lt;B$4+B$3,0,IF(B$2=0,1,IF(B$5=0,($A99-B$4)/B$2,IF(MOD($A99-B$4,B$5)=0,($A99-B$4)/B$2,QUOTIENT($A99-B$4,B$5)*B$5/B$2)))))</f>
        <v>1</v>
      </c>
      <c r="C99" s="3">
        <f t="shared" si="89"/>
        <v>1</v>
      </c>
      <c r="D99" s="3">
        <f t="shared" si="89"/>
        <v>1</v>
      </c>
      <c r="E99" s="3" t="e">
        <f t="shared" si="89"/>
        <v>#REF!</v>
      </c>
      <c r="F99" s="3">
        <f t="shared" si="89"/>
        <v>1</v>
      </c>
      <c r="G99" s="3">
        <f t="shared" si="89"/>
        <v>1</v>
      </c>
      <c r="H99" s="3">
        <f t="shared" si="89"/>
        <v>1</v>
      </c>
      <c r="I99" s="3">
        <f t="shared" si="89"/>
        <v>1</v>
      </c>
      <c r="J99" s="3">
        <f t="shared" si="89"/>
        <v>1</v>
      </c>
      <c r="K99" s="3">
        <f t="shared" si="89"/>
        <v>1</v>
      </c>
      <c r="L99" s="3">
        <f t="shared" si="89"/>
        <v>1</v>
      </c>
      <c r="M99" s="3" t="e">
        <f t="shared" si="89"/>
        <v>#REF!</v>
      </c>
      <c r="N99" s="3">
        <f t="shared" si="89"/>
        <v>1</v>
      </c>
      <c r="O99" s="3">
        <f t="shared" si="89"/>
        <v>1</v>
      </c>
      <c r="P99" s="3">
        <f t="shared" si="89"/>
        <v>1</v>
      </c>
      <c r="Q99" s="3">
        <f t="shared" si="89"/>
        <v>1</v>
      </c>
      <c r="R99" s="3">
        <f t="shared" si="89"/>
        <v>1</v>
      </c>
      <c r="S99" s="3">
        <f t="shared" si="89"/>
        <v>1</v>
      </c>
      <c r="T99" s="3">
        <f t="shared" si="89"/>
        <v>1</v>
      </c>
      <c r="U99" s="3">
        <f t="shared" si="89"/>
        <v>1</v>
      </c>
      <c r="V99" s="3">
        <f t="shared" si="89"/>
        <v>1</v>
      </c>
      <c r="W99" s="3">
        <f t="shared" si="89"/>
        <v>1</v>
      </c>
    </row>
    <row r="100" customHeight="1" spans="1:23">
      <c r="A100" s="2">
        <v>87</v>
      </c>
      <c r="B100" s="3">
        <f t="shared" ref="B100:W100" si="90">MIN(1,IF($A100&lt;B$4+B$3,0,IF(B$2=0,1,IF(B$5=0,($A100-B$4)/B$2,IF(MOD($A100-B$4,B$5)=0,($A100-B$4)/B$2,QUOTIENT($A100-B$4,B$5)*B$5/B$2)))))</f>
        <v>1</v>
      </c>
      <c r="C100" s="3">
        <f t="shared" si="90"/>
        <v>1</v>
      </c>
      <c r="D100" s="3">
        <f t="shared" si="90"/>
        <v>1</v>
      </c>
      <c r="E100" s="3" t="e">
        <f t="shared" si="90"/>
        <v>#REF!</v>
      </c>
      <c r="F100" s="3">
        <f t="shared" si="90"/>
        <v>1</v>
      </c>
      <c r="G100" s="3">
        <f t="shared" si="90"/>
        <v>1</v>
      </c>
      <c r="H100" s="3">
        <f t="shared" si="90"/>
        <v>1</v>
      </c>
      <c r="I100" s="3">
        <f t="shared" si="90"/>
        <v>1</v>
      </c>
      <c r="J100" s="3">
        <f t="shared" si="90"/>
        <v>1</v>
      </c>
      <c r="K100" s="3">
        <f t="shared" si="90"/>
        <v>1</v>
      </c>
      <c r="L100" s="3">
        <f t="shared" si="90"/>
        <v>1</v>
      </c>
      <c r="M100" s="3" t="e">
        <f t="shared" si="90"/>
        <v>#REF!</v>
      </c>
      <c r="N100" s="3">
        <f t="shared" si="90"/>
        <v>1</v>
      </c>
      <c r="O100" s="3">
        <f t="shared" si="90"/>
        <v>1</v>
      </c>
      <c r="P100" s="3">
        <f t="shared" si="90"/>
        <v>1</v>
      </c>
      <c r="Q100" s="3">
        <f t="shared" si="90"/>
        <v>1</v>
      </c>
      <c r="R100" s="3">
        <f t="shared" si="90"/>
        <v>1</v>
      </c>
      <c r="S100" s="3">
        <f t="shared" si="90"/>
        <v>1</v>
      </c>
      <c r="T100" s="3">
        <f t="shared" si="90"/>
        <v>1</v>
      </c>
      <c r="U100" s="3">
        <f t="shared" si="90"/>
        <v>1</v>
      </c>
      <c r="V100" s="3">
        <f t="shared" si="90"/>
        <v>1</v>
      </c>
      <c r="W100" s="3">
        <f t="shared" si="90"/>
        <v>1</v>
      </c>
    </row>
    <row r="101" customHeight="1" spans="1:23">
      <c r="A101" s="2">
        <v>88</v>
      </c>
      <c r="B101" s="3">
        <f t="shared" ref="B101:W101" si="91">MIN(1,IF($A101&lt;B$4+B$3,0,IF(B$2=0,1,IF(B$5=0,($A101-B$4)/B$2,IF(MOD($A101-B$4,B$5)=0,($A101-B$4)/B$2,QUOTIENT($A101-B$4,B$5)*B$5/B$2)))))</f>
        <v>1</v>
      </c>
      <c r="C101" s="3">
        <f t="shared" si="91"/>
        <v>1</v>
      </c>
      <c r="D101" s="3">
        <f t="shared" si="91"/>
        <v>1</v>
      </c>
      <c r="E101" s="3" t="e">
        <f t="shared" si="91"/>
        <v>#REF!</v>
      </c>
      <c r="F101" s="3">
        <f t="shared" si="91"/>
        <v>1</v>
      </c>
      <c r="G101" s="3">
        <f t="shared" si="91"/>
        <v>1</v>
      </c>
      <c r="H101" s="3">
        <f t="shared" si="91"/>
        <v>1</v>
      </c>
      <c r="I101" s="3">
        <f t="shared" si="91"/>
        <v>1</v>
      </c>
      <c r="J101" s="3">
        <f t="shared" si="91"/>
        <v>1</v>
      </c>
      <c r="K101" s="3">
        <f t="shared" si="91"/>
        <v>1</v>
      </c>
      <c r="L101" s="3">
        <f t="shared" si="91"/>
        <v>1</v>
      </c>
      <c r="M101" s="3" t="e">
        <f t="shared" si="91"/>
        <v>#REF!</v>
      </c>
      <c r="N101" s="3">
        <f t="shared" si="91"/>
        <v>1</v>
      </c>
      <c r="O101" s="3">
        <f t="shared" si="91"/>
        <v>1</v>
      </c>
      <c r="P101" s="3">
        <f t="shared" si="91"/>
        <v>1</v>
      </c>
      <c r="Q101" s="3">
        <f t="shared" si="91"/>
        <v>1</v>
      </c>
      <c r="R101" s="3">
        <f t="shared" si="91"/>
        <v>1</v>
      </c>
      <c r="S101" s="3">
        <f t="shared" si="91"/>
        <v>1</v>
      </c>
      <c r="T101" s="3">
        <f t="shared" si="91"/>
        <v>1</v>
      </c>
      <c r="U101" s="3">
        <f t="shared" si="91"/>
        <v>1</v>
      </c>
      <c r="V101" s="3">
        <f t="shared" si="91"/>
        <v>1</v>
      </c>
      <c r="W101" s="3">
        <f t="shared" si="91"/>
        <v>1</v>
      </c>
    </row>
    <row r="102" customHeight="1" spans="1:23">
      <c r="A102" s="2">
        <v>89</v>
      </c>
      <c r="B102" s="3">
        <f t="shared" ref="B102:W102" si="92">MIN(1,IF($A102&lt;B$4+B$3,0,IF(B$2=0,1,IF(B$5=0,($A102-B$4)/B$2,IF(MOD($A102-B$4,B$5)=0,($A102-B$4)/B$2,QUOTIENT($A102-B$4,B$5)*B$5/B$2)))))</f>
        <v>1</v>
      </c>
      <c r="C102" s="3">
        <f t="shared" si="92"/>
        <v>1</v>
      </c>
      <c r="D102" s="3">
        <f t="shared" si="92"/>
        <v>1</v>
      </c>
      <c r="E102" s="3" t="e">
        <f t="shared" si="92"/>
        <v>#REF!</v>
      </c>
      <c r="F102" s="3">
        <f t="shared" si="92"/>
        <v>1</v>
      </c>
      <c r="G102" s="3">
        <f t="shared" si="92"/>
        <v>1</v>
      </c>
      <c r="H102" s="3">
        <f t="shared" si="92"/>
        <v>1</v>
      </c>
      <c r="I102" s="3">
        <f t="shared" si="92"/>
        <v>1</v>
      </c>
      <c r="J102" s="3">
        <f t="shared" si="92"/>
        <v>1</v>
      </c>
      <c r="K102" s="3">
        <f t="shared" si="92"/>
        <v>1</v>
      </c>
      <c r="L102" s="3">
        <f t="shared" si="92"/>
        <v>1</v>
      </c>
      <c r="M102" s="3" t="e">
        <f t="shared" si="92"/>
        <v>#REF!</v>
      </c>
      <c r="N102" s="3">
        <f t="shared" si="92"/>
        <v>1</v>
      </c>
      <c r="O102" s="3">
        <f t="shared" si="92"/>
        <v>1</v>
      </c>
      <c r="P102" s="3">
        <f t="shared" si="92"/>
        <v>1</v>
      </c>
      <c r="Q102" s="3">
        <f t="shared" si="92"/>
        <v>1</v>
      </c>
      <c r="R102" s="3">
        <f t="shared" si="92"/>
        <v>1</v>
      </c>
      <c r="S102" s="3">
        <f t="shared" si="92"/>
        <v>1</v>
      </c>
      <c r="T102" s="3">
        <f t="shared" si="92"/>
        <v>1</v>
      </c>
      <c r="U102" s="3">
        <f t="shared" si="92"/>
        <v>1</v>
      </c>
      <c r="V102" s="3">
        <f t="shared" si="92"/>
        <v>1</v>
      </c>
      <c r="W102" s="3">
        <f t="shared" si="92"/>
        <v>1</v>
      </c>
    </row>
    <row r="103" customHeight="1" spans="1:23">
      <c r="A103" s="2">
        <v>90</v>
      </c>
      <c r="B103" s="3">
        <f t="shared" ref="B103:W103" si="93">MIN(1,IF($A103&lt;B$4+B$3,0,IF(B$2=0,1,IF(B$5=0,($A103-B$4)/B$2,IF(MOD($A103-B$4,B$5)=0,($A103-B$4)/B$2,QUOTIENT($A103-B$4,B$5)*B$5/B$2)))))</f>
        <v>1</v>
      </c>
      <c r="C103" s="3">
        <f t="shared" si="93"/>
        <v>1</v>
      </c>
      <c r="D103" s="3">
        <f t="shared" si="93"/>
        <v>1</v>
      </c>
      <c r="E103" s="3" t="e">
        <f t="shared" si="93"/>
        <v>#REF!</v>
      </c>
      <c r="F103" s="3">
        <f t="shared" si="93"/>
        <v>1</v>
      </c>
      <c r="G103" s="3">
        <f t="shared" si="93"/>
        <v>1</v>
      </c>
      <c r="H103" s="3">
        <f t="shared" si="93"/>
        <v>1</v>
      </c>
      <c r="I103" s="3">
        <f t="shared" si="93"/>
        <v>1</v>
      </c>
      <c r="J103" s="3">
        <f t="shared" si="93"/>
        <v>1</v>
      </c>
      <c r="K103" s="3">
        <f t="shared" si="93"/>
        <v>1</v>
      </c>
      <c r="L103" s="3">
        <f t="shared" si="93"/>
        <v>1</v>
      </c>
      <c r="M103" s="3" t="e">
        <f t="shared" si="93"/>
        <v>#REF!</v>
      </c>
      <c r="N103" s="3">
        <f t="shared" si="93"/>
        <v>1</v>
      </c>
      <c r="O103" s="3">
        <f t="shared" si="93"/>
        <v>1</v>
      </c>
      <c r="P103" s="3">
        <f t="shared" si="93"/>
        <v>1</v>
      </c>
      <c r="Q103" s="3">
        <f t="shared" si="93"/>
        <v>1</v>
      </c>
      <c r="R103" s="3">
        <f t="shared" si="93"/>
        <v>1</v>
      </c>
      <c r="S103" s="3">
        <f t="shared" si="93"/>
        <v>1</v>
      </c>
      <c r="T103" s="3">
        <f t="shared" si="93"/>
        <v>1</v>
      </c>
      <c r="U103" s="3">
        <f t="shared" si="93"/>
        <v>1</v>
      </c>
      <c r="V103" s="3">
        <f t="shared" si="93"/>
        <v>1</v>
      </c>
      <c r="W103" s="3">
        <f t="shared" si="93"/>
        <v>1</v>
      </c>
    </row>
    <row r="104" customHeight="1" spans="1:23">
      <c r="A104" s="2">
        <v>91</v>
      </c>
      <c r="B104" s="3">
        <f t="shared" ref="B104:W104" si="94">MIN(1,IF($A104&lt;B$4+B$3,0,IF(B$2=0,1,IF(B$5=0,($A104-B$4)/B$2,IF(MOD($A104-B$4,B$5)=0,($A104-B$4)/B$2,QUOTIENT($A104-B$4,B$5)*B$5/B$2)))))</f>
        <v>1</v>
      </c>
      <c r="C104" s="3">
        <f t="shared" si="94"/>
        <v>1</v>
      </c>
      <c r="D104" s="3">
        <f t="shared" si="94"/>
        <v>1</v>
      </c>
      <c r="E104" s="3" t="e">
        <f t="shared" si="94"/>
        <v>#REF!</v>
      </c>
      <c r="F104" s="3">
        <f t="shared" si="94"/>
        <v>1</v>
      </c>
      <c r="G104" s="3">
        <f t="shared" si="94"/>
        <v>1</v>
      </c>
      <c r="H104" s="3">
        <f t="shared" si="94"/>
        <v>1</v>
      </c>
      <c r="I104" s="3">
        <f t="shared" si="94"/>
        <v>1</v>
      </c>
      <c r="J104" s="3">
        <f t="shared" si="94"/>
        <v>1</v>
      </c>
      <c r="K104" s="3">
        <f t="shared" si="94"/>
        <v>1</v>
      </c>
      <c r="L104" s="3">
        <f t="shared" si="94"/>
        <v>1</v>
      </c>
      <c r="M104" s="3" t="e">
        <f t="shared" si="94"/>
        <v>#REF!</v>
      </c>
      <c r="N104" s="3">
        <f t="shared" si="94"/>
        <v>1</v>
      </c>
      <c r="O104" s="3">
        <f t="shared" si="94"/>
        <v>1</v>
      </c>
      <c r="P104" s="3">
        <f t="shared" si="94"/>
        <v>1</v>
      </c>
      <c r="Q104" s="3">
        <f t="shared" si="94"/>
        <v>1</v>
      </c>
      <c r="R104" s="3">
        <f t="shared" si="94"/>
        <v>1</v>
      </c>
      <c r="S104" s="3">
        <f t="shared" si="94"/>
        <v>1</v>
      </c>
      <c r="T104" s="3">
        <f t="shared" si="94"/>
        <v>1</v>
      </c>
      <c r="U104" s="3">
        <f t="shared" si="94"/>
        <v>1</v>
      </c>
      <c r="V104" s="3">
        <f t="shared" si="94"/>
        <v>1</v>
      </c>
      <c r="W104" s="3">
        <f t="shared" si="94"/>
        <v>1</v>
      </c>
    </row>
    <row r="105" customHeight="1" spans="1:23">
      <c r="A105" s="2">
        <v>92</v>
      </c>
      <c r="B105" s="3">
        <f t="shared" ref="B105:W105" si="95">MIN(1,IF($A105&lt;B$4+B$3,0,IF(B$2=0,1,IF(B$5=0,($A105-B$4)/B$2,IF(MOD($A105-B$4,B$5)=0,($A105-B$4)/B$2,QUOTIENT($A105-B$4,B$5)*B$5/B$2)))))</f>
        <v>1</v>
      </c>
      <c r="C105" s="3">
        <f t="shared" si="95"/>
        <v>1</v>
      </c>
      <c r="D105" s="3">
        <f t="shared" si="95"/>
        <v>1</v>
      </c>
      <c r="E105" s="3" t="e">
        <f t="shared" si="95"/>
        <v>#REF!</v>
      </c>
      <c r="F105" s="3">
        <f t="shared" si="95"/>
        <v>1</v>
      </c>
      <c r="G105" s="3">
        <f t="shared" si="95"/>
        <v>1</v>
      </c>
      <c r="H105" s="3">
        <f t="shared" si="95"/>
        <v>1</v>
      </c>
      <c r="I105" s="3">
        <f t="shared" si="95"/>
        <v>1</v>
      </c>
      <c r="J105" s="3">
        <f t="shared" si="95"/>
        <v>1</v>
      </c>
      <c r="K105" s="3">
        <f t="shared" si="95"/>
        <v>1</v>
      </c>
      <c r="L105" s="3">
        <f t="shared" si="95"/>
        <v>1</v>
      </c>
      <c r="M105" s="3" t="e">
        <f t="shared" si="95"/>
        <v>#REF!</v>
      </c>
      <c r="N105" s="3">
        <f t="shared" si="95"/>
        <v>1</v>
      </c>
      <c r="O105" s="3">
        <f t="shared" si="95"/>
        <v>1</v>
      </c>
      <c r="P105" s="3">
        <f t="shared" si="95"/>
        <v>1</v>
      </c>
      <c r="Q105" s="3">
        <f t="shared" si="95"/>
        <v>1</v>
      </c>
      <c r="R105" s="3">
        <f t="shared" si="95"/>
        <v>1</v>
      </c>
      <c r="S105" s="3">
        <f t="shared" si="95"/>
        <v>1</v>
      </c>
      <c r="T105" s="3">
        <f t="shared" si="95"/>
        <v>1</v>
      </c>
      <c r="U105" s="3">
        <f t="shared" si="95"/>
        <v>1</v>
      </c>
      <c r="V105" s="3">
        <f t="shared" si="95"/>
        <v>1</v>
      </c>
      <c r="W105" s="3">
        <f t="shared" si="95"/>
        <v>1</v>
      </c>
    </row>
    <row r="106" customHeight="1" spans="1:23">
      <c r="A106" s="2">
        <v>93</v>
      </c>
      <c r="B106" s="3">
        <f t="shared" ref="B106:W106" si="96">MIN(1,IF($A106&lt;B$4+B$3,0,IF(B$2=0,1,IF(B$5=0,($A106-B$4)/B$2,IF(MOD($A106-B$4,B$5)=0,($A106-B$4)/B$2,QUOTIENT($A106-B$4,B$5)*B$5/B$2)))))</f>
        <v>1</v>
      </c>
      <c r="C106" s="3">
        <f t="shared" si="96"/>
        <v>1</v>
      </c>
      <c r="D106" s="3">
        <f t="shared" si="96"/>
        <v>1</v>
      </c>
      <c r="E106" s="3" t="e">
        <f t="shared" si="96"/>
        <v>#REF!</v>
      </c>
      <c r="F106" s="3">
        <f t="shared" si="96"/>
        <v>1</v>
      </c>
      <c r="G106" s="3">
        <f t="shared" si="96"/>
        <v>1</v>
      </c>
      <c r="H106" s="3">
        <f t="shared" si="96"/>
        <v>1</v>
      </c>
      <c r="I106" s="3">
        <f t="shared" si="96"/>
        <v>1</v>
      </c>
      <c r="J106" s="3">
        <f t="shared" si="96"/>
        <v>1</v>
      </c>
      <c r="K106" s="3">
        <f t="shared" si="96"/>
        <v>1</v>
      </c>
      <c r="L106" s="3">
        <f t="shared" si="96"/>
        <v>1</v>
      </c>
      <c r="M106" s="3" t="e">
        <f t="shared" si="96"/>
        <v>#REF!</v>
      </c>
      <c r="N106" s="3">
        <f t="shared" si="96"/>
        <v>1</v>
      </c>
      <c r="O106" s="3">
        <f t="shared" si="96"/>
        <v>1</v>
      </c>
      <c r="P106" s="3">
        <f t="shared" si="96"/>
        <v>1</v>
      </c>
      <c r="Q106" s="3">
        <f t="shared" si="96"/>
        <v>1</v>
      </c>
      <c r="R106" s="3">
        <f t="shared" si="96"/>
        <v>1</v>
      </c>
      <c r="S106" s="3">
        <f t="shared" si="96"/>
        <v>1</v>
      </c>
      <c r="T106" s="3">
        <f t="shared" si="96"/>
        <v>1</v>
      </c>
      <c r="U106" s="3">
        <f t="shared" si="96"/>
        <v>1</v>
      </c>
      <c r="V106" s="3">
        <f t="shared" si="96"/>
        <v>1</v>
      </c>
      <c r="W106" s="3">
        <f t="shared" si="96"/>
        <v>1</v>
      </c>
    </row>
    <row r="107" customHeight="1" spans="1:23">
      <c r="A107" s="2">
        <v>94</v>
      </c>
      <c r="B107" s="3">
        <f t="shared" ref="B107:W107" si="97">MIN(1,IF($A107&lt;B$4+B$3,0,IF(B$2=0,1,IF(B$5=0,($A107-B$4)/B$2,IF(MOD($A107-B$4,B$5)=0,($A107-B$4)/B$2,QUOTIENT($A107-B$4,B$5)*B$5/B$2)))))</f>
        <v>1</v>
      </c>
      <c r="C107" s="3">
        <f t="shared" si="97"/>
        <v>1</v>
      </c>
      <c r="D107" s="3">
        <f t="shared" si="97"/>
        <v>1</v>
      </c>
      <c r="E107" s="3" t="e">
        <f t="shared" si="97"/>
        <v>#REF!</v>
      </c>
      <c r="F107" s="3">
        <f t="shared" si="97"/>
        <v>1</v>
      </c>
      <c r="G107" s="3">
        <f t="shared" si="97"/>
        <v>1</v>
      </c>
      <c r="H107" s="3">
        <f t="shared" si="97"/>
        <v>1</v>
      </c>
      <c r="I107" s="3">
        <f t="shared" si="97"/>
        <v>1</v>
      </c>
      <c r="J107" s="3">
        <f t="shared" si="97"/>
        <v>1</v>
      </c>
      <c r="K107" s="3">
        <f t="shared" si="97"/>
        <v>1</v>
      </c>
      <c r="L107" s="3">
        <f t="shared" si="97"/>
        <v>1</v>
      </c>
      <c r="M107" s="3" t="e">
        <f t="shared" si="97"/>
        <v>#REF!</v>
      </c>
      <c r="N107" s="3">
        <f t="shared" si="97"/>
        <v>1</v>
      </c>
      <c r="O107" s="3">
        <f t="shared" si="97"/>
        <v>1</v>
      </c>
      <c r="P107" s="3">
        <f t="shared" si="97"/>
        <v>1</v>
      </c>
      <c r="Q107" s="3">
        <f t="shared" si="97"/>
        <v>1</v>
      </c>
      <c r="R107" s="3">
        <f t="shared" si="97"/>
        <v>1</v>
      </c>
      <c r="S107" s="3">
        <f t="shared" si="97"/>
        <v>1</v>
      </c>
      <c r="T107" s="3">
        <f t="shared" si="97"/>
        <v>1</v>
      </c>
      <c r="U107" s="3">
        <f t="shared" si="97"/>
        <v>1</v>
      </c>
      <c r="V107" s="3">
        <f t="shared" si="97"/>
        <v>1</v>
      </c>
      <c r="W107" s="3">
        <f t="shared" si="97"/>
        <v>1</v>
      </c>
    </row>
    <row r="108" customHeight="1" spans="1:23">
      <c r="A108" s="2">
        <v>95</v>
      </c>
      <c r="B108" s="3">
        <f t="shared" ref="B108:W108" si="98">MIN(1,IF($A108&lt;B$4+B$3,0,IF(B$2=0,1,IF(B$5=0,($A108-B$4)/B$2,IF(MOD($A108-B$4,B$5)=0,($A108-B$4)/B$2,QUOTIENT($A108-B$4,B$5)*B$5/B$2)))))</f>
        <v>1</v>
      </c>
      <c r="C108" s="3">
        <f t="shared" si="98"/>
        <v>1</v>
      </c>
      <c r="D108" s="3">
        <f t="shared" si="98"/>
        <v>1</v>
      </c>
      <c r="E108" s="3" t="e">
        <f t="shared" si="98"/>
        <v>#REF!</v>
      </c>
      <c r="F108" s="3">
        <f t="shared" si="98"/>
        <v>1</v>
      </c>
      <c r="G108" s="3">
        <f t="shared" si="98"/>
        <v>1</v>
      </c>
      <c r="H108" s="3">
        <f t="shared" si="98"/>
        <v>1</v>
      </c>
      <c r="I108" s="3">
        <f t="shared" si="98"/>
        <v>1</v>
      </c>
      <c r="J108" s="3">
        <f t="shared" si="98"/>
        <v>1</v>
      </c>
      <c r="K108" s="3">
        <f t="shared" si="98"/>
        <v>1</v>
      </c>
      <c r="L108" s="3">
        <f t="shared" si="98"/>
        <v>1</v>
      </c>
      <c r="M108" s="3" t="e">
        <f t="shared" si="98"/>
        <v>#REF!</v>
      </c>
      <c r="N108" s="3">
        <f t="shared" si="98"/>
        <v>1</v>
      </c>
      <c r="O108" s="3">
        <f t="shared" si="98"/>
        <v>1</v>
      </c>
      <c r="P108" s="3">
        <f t="shared" si="98"/>
        <v>1</v>
      </c>
      <c r="Q108" s="3">
        <f t="shared" si="98"/>
        <v>1</v>
      </c>
      <c r="R108" s="3">
        <f t="shared" si="98"/>
        <v>1</v>
      </c>
      <c r="S108" s="3">
        <f t="shared" si="98"/>
        <v>1</v>
      </c>
      <c r="T108" s="3">
        <f t="shared" si="98"/>
        <v>1</v>
      </c>
      <c r="U108" s="3">
        <f t="shared" si="98"/>
        <v>1</v>
      </c>
      <c r="V108" s="3">
        <f t="shared" si="98"/>
        <v>1</v>
      </c>
      <c r="W108" s="3">
        <f t="shared" si="98"/>
        <v>1</v>
      </c>
    </row>
    <row r="109" customHeight="1" spans="1:23">
      <c r="A109" s="2">
        <v>96</v>
      </c>
      <c r="B109" s="3">
        <f t="shared" ref="B109:W109" si="99">MIN(1,IF($A109&lt;B$4+B$3,0,IF(B$2=0,1,IF(B$5=0,($A109-B$4)/B$2,IF(MOD($A109-B$4,B$5)=0,($A109-B$4)/B$2,QUOTIENT($A109-B$4,B$5)*B$5/B$2)))))</f>
        <v>1</v>
      </c>
      <c r="C109" s="3">
        <f t="shared" si="99"/>
        <v>1</v>
      </c>
      <c r="D109" s="3">
        <f t="shared" si="99"/>
        <v>1</v>
      </c>
      <c r="E109" s="3" t="e">
        <f t="shared" si="99"/>
        <v>#REF!</v>
      </c>
      <c r="F109" s="3">
        <f t="shared" si="99"/>
        <v>1</v>
      </c>
      <c r="G109" s="3">
        <f t="shared" si="99"/>
        <v>1</v>
      </c>
      <c r="H109" s="3">
        <f t="shared" si="99"/>
        <v>1</v>
      </c>
      <c r="I109" s="3">
        <f t="shared" si="99"/>
        <v>1</v>
      </c>
      <c r="J109" s="3">
        <f t="shared" si="99"/>
        <v>1</v>
      </c>
      <c r="K109" s="3">
        <f t="shared" si="99"/>
        <v>1</v>
      </c>
      <c r="L109" s="3">
        <f t="shared" si="99"/>
        <v>1</v>
      </c>
      <c r="M109" s="3" t="e">
        <f t="shared" si="99"/>
        <v>#REF!</v>
      </c>
      <c r="N109" s="3">
        <f t="shared" si="99"/>
        <v>1</v>
      </c>
      <c r="O109" s="3">
        <f t="shared" si="99"/>
        <v>1</v>
      </c>
      <c r="P109" s="3">
        <f t="shared" si="99"/>
        <v>1</v>
      </c>
      <c r="Q109" s="3">
        <f t="shared" si="99"/>
        <v>1</v>
      </c>
      <c r="R109" s="3">
        <f t="shared" si="99"/>
        <v>1</v>
      </c>
      <c r="S109" s="3">
        <f t="shared" si="99"/>
        <v>1</v>
      </c>
      <c r="T109" s="3">
        <f t="shared" si="99"/>
        <v>1</v>
      </c>
      <c r="U109" s="3">
        <f t="shared" si="99"/>
        <v>1</v>
      </c>
      <c r="V109" s="3">
        <f t="shared" si="99"/>
        <v>1</v>
      </c>
      <c r="W109" s="3">
        <f t="shared" si="99"/>
        <v>1</v>
      </c>
    </row>
    <row r="110" customHeight="1" spans="1:23">
      <c r="A110" s="2">
        <v>97</v>
      </c>
      <c r="B110" s="3">
        <f t="shared" ref="B110:W110" si="100">MIN(1,IF($A110&lt;B$4+B$3,0,IF(B$2=0,1,IF(B$5=0,($A110-B$4)/B$2,IF(MOD($A110-B$4,B$5)=0,($A110-B$4)/B$2,QUOTIENT($A110-B$4,B$5)*B$5/B$2)))))</f>
        <v>1</v>
      </c>
      <c r="C110" s="3">
        <f t="shared" si="100"/>
        <v>1</v>
      </c>
      <c r="D110" s="3">
        <f t="shared" si="100"/>
        <v>1</v>
      </c>
      <c r="E110" s="3" t="e">
        <f t="shared" si="100"/>
        <v>#REF!</v>
      </c>
      <c r="F110" s="3">
        <f t="shared" si="100"/>
        <v>1</v>
      </c>
      <c r="G110" s="3">
        <f t="shared" si="100"/>
        <v>1</v>
      </c>
      <c r="H110" s="3">
        <f t="shared" si="100"/>
        <v>1</v>
      </c>
      <c r="I110" s="3">
        <f t="shared" si="100"/>
        <v>1</v>
      </c>
      <c r="J110" s="3">
        <f t="shared" si="100"/>
        <v>1</v>
      </c>
      <c r="K110" s="3">
        <f t="shared" si="100"/>
        <v>1</v>
      </c>
      <c r="L110" s="3">
        <f t="shared" si="100"/>
        <v>1</v>
      </c>
      <c r="M110" s="3" t="e">
        <f t="shared" si="100"/>
        <v>#REF!</v>
      </c>
      <c r="N110" s="3">
        <f t="shared" si="100"/>
        <v>1</v>
      </c>
      <c r="O110" s="3">
        <f t="shared" si="100"/>
        <v>1</v>
      </c>
      <c r="P110" s="3">
        <f t="shared" si="100"/>
        <v>1</v>
      </c>
      <c r="Q110" s="3">
        <f t="shared" si="100"/>
        <v>1</v>
      </c>
      <c r="R110" s="3">
        <f t="shared" si="100"/>
        <v>1</v>
      </c>
      <c r="S110" s="3">
        <f t="shared" si="100"/>
        <v>1</v>
      </c>
      <c r="T110" s="3">
        <f t="shared" si="100"/>
        <v>1</v>
      </c>
      <c r="U110" s="3">
        <f t="shared" si="100"/>
        <v>1</v>
      </c>
      <c r="V110" s="3">
        <f t="shared" si="100"/>
        <v>1</v>
      </c>
      <c r="W110" s="3">
        <f t="shared" si="100"/>
        <v>1</v>
      </c>
    </row>
    <row r="111" customHeight="1" spans="1:23">
      <c r="A111" s="2">
        <v>98</v>
      </c>
      <c r="B111" s="3">
        <f t="shared" ref="B111:W111" si="101">MIN(1,IF($A111&lt;B$4+B$3,0,IF(B$2=0,1,IF(B$5=0,($A111-B$4)/B$2,IF(MOD($A111-B$4,B$5)=0,($A111-B$4)/B$2,QUOTIENT($A111-B$4,B$5)*B$5/B$2)))))</f>
        <v>1</v>
      </c>
      <c r="C111" s="3">
        <f t="shared" si="101"/>
        <v>1</v>
      </c>
      <c r="D111" s="3">
        <f t="shared" si="101"/>
        <v>1</v>
      </c>
      <c r="E111" s="3" t="e">
        <f t="shared" si="101"/>
        <v>#REF!</v>
      </c>
      <c r="F111" s="3">
        <f t="shared" si="101"/>
        <v>1</v>
      </c>
      <c r="G111" s="3">
        <f t="shared" si="101"/>
        <v>1</v>
      </c>
      <c r="H111" s="3">
        <f t="shared" si="101"/>
        <v>1</v>
      </c>
      <c r="I111" s="3">
        <f t="shared" si="101"/>
        <v>1</v>
      </c>
      <c r="J111" s="3">
        <f t="shared" si="101"/>
        <v>1</v>
      </c>
      <c r="K111" s="3">
        <f t="shared" si="101"/>
        <v>1</v>
      </c>
      <c r="L111" s="3">
        <f t="shared" si="101"/>
        <v>1</v>
      </c>
      <c r="M111" s="3" t="e">
        <f t="shared" si="101"/>
        <v>#REF!</v>
      </c>
      <c r="N111" s="3">
        <f t="shared" si="101"/>
        <v>1</v>
      </c>
      <c r="O111" s="3">
        <f t="shared" si="101"/>
        <v>1</v>
      </c>
      <c r="P111" s="3">
        <f t="shared" si="101"/>
        <v>1</v>
      </c>
      <c r="Q111" s="3">
        <f t="shared" si="101"/>
        <v>1</v>
      </c>
      <c r="R111" s="3">
        <f t="shared" si="101"/>
        <v>1</v>
      </c>
      <c r="S111" s="3">
        <f t="shared" si="101"/>
        <v>1</v>
      </c>
      <c r="T111" s="3">
        <f t="shared" si="101"/>
        <v>1</v>
      </c>
      <c r="U111" s="3">
        <f t="shared" si="101"/>
        <v>1</v>
      </c>
      <c r="V111" s="3">
        <f t="shared" si="101"/>
        <v>1</v>
      </c>
      <c r="W111" s="3">
        <f t="shared" si="101"/>
        <v>1</v>
      </c>
    </row>
    <row r="112" customHeight="1" spans="1:23">
      <c r="A112" s="2">
        <v>99</v>
      </c>
      <c r="B112" s="3">
        <f t="shared" ref="B112:W112" si="102">MIN(1,IF($A112&lt;B$4+B$3,0,IF(B$2=0,1,IF(B$5=0,($A112-B$4)/B$2,IF(MOD($A112-B$4,B$5)=0,($A112-B$4)/B$2,QUOTIENT($A112-B$4,B$5)*B$5/B$2)))))</f>
        <v>1</v>
      </c>
      <c r="C112" s="3">
        <f t="shared" si="102"/>
        <v>1</v>
      </c>
      <c r="D112" s="3">
        <f t="shared" si="102"/>
        <v>1</v>
      </c>
      <c r="E112" s="3" t="e">
        <f t="shared" si="102"/>
        <v>#REF!</v>
      </c>
      <c r="F112" s="3">
        <f t="shared" si="102"/>
        <v>1</v>
      </c>
      <c r="G112" s="3">
        <f t="shared" si="102"/>
        <v>1</v>
      </c>
      <c r="H112" s="3">
        <f t="shared" si="102"/>
        <v>1</v>
      </c>
      <c r="I112" s="3">
        <f t="shared" si="102"/>
        <v>1</v>
      </c>
      <c r="J112" s="3">
        <f t="shared" si="102"/>
        <v>1</v>
      </c>
      <c r="K112" s="3">
        <f t="shared" si="102"/>
        <v>1</v>
      </c>
      <c r="L112" s="3">
        <f t="shared" si="102"/>
        <v>1</v>
      </c>
      <c r="M112" s="3" t="e">
        <f t="shared" si="102"/>
        <v>#REF!</v>
      </c>
      <c r="N112" s="3">
        <f t="shared" si="102"/>
        <v>1</v>
      </c>
      <c r="O112" s="3">
        <f t="shared" si="102"/>
        <v>1</v>
      </c>
      <c r="P112" s="3">
        <f t="shared" si="102"/>
        <v>1</v>
      </c>
      <c r="Q112" s="3">
        <f t="shared" si="102"/>
        <v>1</v>
      </c>
      <c r="R112" s="3">
        <f t="shared" si="102"/>
        <v>1</v>
      </c>
      <c r="S112" s="3">
        <f t="shared" si="102"/>
        <v>1</v>
      </c>
      <c r="T112" s="3">
        <f t="shared" si="102"/>
        <v>1</v>
      </c>
      <c r="U112" s="3">
        <f t="shared" si="102"/>
        <v>1</v>
      </c>
      <c r="V112" s="3">
        <f t="shared" si="102"/>
        <v>1</v>
      </c>
      <c r="W112" s="3">
        <f t="shared" si="102"/>
        <v>1</v>
      </c>
    </row>
    <row r="113" customHeight="1" spans="1:23">
      <c r="A113" s="2">
        <v>100</v>
      </c>
      <c r="B113" s="3">
        <f t="shared" ref="B113:W113" si="103">MIN(1,IF($A113&lt;B$4+B$3,0,IF(B$2=0,1,IF(B$5=0,($A113-B$4)/B$2,IF(MOD($A113-B$4,B$5)=0,($A113-B$4)/B$2,QUOTIENT($A113-B$4,B$5)*B$5/B$2)))))</f>
        <v>1</v>
      </c>
      <c r="C113" s="3">
        <f t="shared" si="103"/>
        <v>1</v>
      </c>
      <c r="D113" s="3">
        <f t="shared" si="103"/>
        <v>1</v>
      </c>
      <c r="E113" s="3" t="e">
        <f t="shared" si="103"/>
        <v>#REF!</v>
      </c>
      <c r="F113" s="3">
        <f t="shared" si="103"/>
        <v>1</v>
      </c>
      <c r="G113" s="3">
        <f t="shared" si="103"/>
        <v>1</v>
      </c>
      <c r="H113" s="3">
        <f t="shared" si="103"/>
        <v>1</v>
      </c>
      <c r="I113" s="3">
        <f t="shared" si="103"/>
        <v>1</v>
      </c>
      <c r="J113" s="3">
        <f t="shared" si="103"/>
        <v>1</v>
      </c>
      <c r="K113" s="3">
        <f t="shared" si="103"/>
        <v>1</v>
      </c>
      <c r="L113" s="3">
        <f t="shared" si="103"/>
        <v>1</v>
      </c>
      <c r="M113" s="3" t="e">
        <f t="shared" si="103"/>
        <v>#REF!</v>
      </c>
      <c r="N113" s="3">
        <f t="shared" si="103"/>
        <v>1</v>
      </c>
      <c r="O113" s="3">
        <f t="shared" si="103"/>
        <v>1</v>
      </c>
      <c r="P113" s="3">
        <f t="shared" si="103"/>
        <v>1</v>
      </c>
      <c r="Q113" s="3">
        <f t="shared" si="103"/>
        <v>1</v>
      </c>
      <c r="R113" s="3">
        <f t="shared" si="103"/>
        <v>1</v>
      </c>
      <c r="S113" s="3">
        <f t="shared" si="103"/>
        <v>1</v>
      </c>
      <c r="T113" s="3">
        <f t="shared" si="103"/>
        <v>1</v>
      </c>
      <c r="U113" s="3">
        <f t="shared" si="103"/>
        <v>1</v>
      </c>
      <c r="V113" s="3">
        <f t="shared" si="103"/>
        <v>1</v>
      </c>
      <c r="W113" s="3">
        <f t="shared" si="103"/>
        <v>1</v>
      </c>
    </row>
    <row r="114" customHeight="1" spans="1:23">
      <c r="A114" s="2">
        <v>101</v>
      </c>
      <c r="B114" s="3">
        <f t="shared" ref="B114:W114" si="104">MIN(1,IF($A114&lt;B$4+B$3,0,IF(B$2=0,1,IF(B$5=0,($A114-B$4)/B$2,IF(MOD($A114-B$4,B$5)=0,($A114-B$4)/B$2,QUOTIENT($A114-B$4,B$5)*B$5/B$2)))))</f>
        <v>1</v>
      </c>
      <c r="C114" s="3">
        <f t="shared" si="104"/>
        <v>1</v>
      </c>
      <c r="D114" s="3">
        <f t="shared" si="104"/>
        <v>1</v>
      </c>
      <c r="E114" s="3" t="e">
        <f t="shared" si="104"/>
        <v>#REF!</v>
      </c>
      <c r="F114" s="3">
        <f t="shared" si="104"/>
        <v>1</v>
      </c>
      <c r="G114" s="3">
        <f t="shared" si="104"/>
        <v>1</v>
      </c>
      <c r="H114" s="3">
        <f t="shared" si="104"/>
        <v>1</v>
      </c>
      <c r="I114" s="3">
        <f t="shared" si="104"/>
        <v>1</v>
      </c>
      <c r="J114" s="3">
        <f t="shared" si="104"/>
        <v>1</v>
      </c>
      <c r="K114" s="3">
        <f t="shared" si="104"/>
        <v>1</v>
      </c>
      <c r="L114" s="3">
        <f t="shared" si="104"/>
        <v>1</v>
      </c>
      <c r="M114" s="3" t="e">
        <f t="shared" si="104"/>
        <v>#REF!</v>
      </c>
      <c r="N114" s="3">
        <f t="shared" si="104"/>
        <v>1</v>
      </c>
      <c r="O114" s="3">
        <f t="shared" si="104"/>
        <v>1</v>
      </c>
      <c r="P114" s="3">
        <f t="shared" si="104"/>
        <v>1</v>
      </c>
      <c r="Q114" s="3">
        <f t="shared" si="104"/>
        <v>1</v>
      </c>
      <c r="R114" s="3">
        <f t="shared" si="104"/>
        <v>1</v>
      </c>
      <c r="S114" s="3">
        <f t="shared" si="104"/>
        <v>1</v>
      </c>
      <c r="T114" s="3">
        <f t="shared" si="104"/>
        <v>1</v>
      </c>
      <c r="U114" s="3">
        <f t="shared" si="104"/>
        <v>1</v>
      </c>
      <c r="V114" s="3">
        <f t="shared" si="104"/>
        <v>1</v>
      </c>
      <c r="W114" s="3">
        <f t="shared" si="104"/>
        <v>1</v>
      </c>
    </row>
    <row r="115" customHeight="1" spans="1:23">
      <c r="A115" s="2">
        <v>102</v>
      </c>
      <c r="B115" s="3">
        <f t="shared" ref="B115:W115" si="105">MIN(1,IF($A115&lt;B$4+B$3,0,IF(B$2=0,1,IF(B$5=0,($A115-B$4)/B$2,IF(MOD($A115-B$4,B$5)=0,($A115-B$4)/B$2,QUOTIENT($A115-B$4,B$5)*B$5/B$2)))))</f>
        <v>1</v>
      </c>
      <c r="C115" s="3">
        <f t="shared" si="105"/>
        <v>1</v>
      </c>
      <c r="D115" s="3">
        <f t="shared" si="105"/>
        <v>1</v>
      </c>
      <c r="E115" s="3" t="e">
        <f t="shared" si="105"/>
        <v>#REF!</v>
      </c>
      <c r="F115" s="3">
        <f t="shared" si="105"/>
        <v>1</v>
      </c>
      <c r="G115" s="3">
        <f t="shared" si="105"/>
        <v>1</v>
      </c>
      <c r="H115" s="3">
        <f t="shared" si="105"/>
        <v>1</v>
      </c>
      <c r="I115" s="3">
        <f t="shared" si="105"/>
        <v>1</v>
      </c>
      <c r="J115" s="3">
        <f t="shared" si="105"/>
        <v>1</v>
      </c>
      <c r="K115" s="3">
        <f t="shared" si="105"/>
        <v>1</v>
      </c>
      <c r="L115" s="3">
        <f t="shared" si="105"/>
        <v>1</v>
      </c>
      <c r="M115" s="3" t="e">
        <f t="shared" si="105"/>
        <v>#REF!</v>
      </c>
      <c r="N115" s="3">
        <f t="shared" si="105"/>
        <v>1</v>
      </c>
      <c r="O115" s="3">
        <f t="shared" si="105"/>
        <v>1</v>
      </c>
      <c r="P115" s="3">
        <f t="shared" si="105"/>
        <v>1</v>
      </c>
      <c r="Q115" s="3">
        <f t="shared" si="105"/>
        <v>1</v>
      </c>
      <c r="R115" s="3">
        <f t="shared" si="105"/>
        <v>1</v>
      </c>
      <c r="S115" s="3">
        <f t="shared" si="105"/>
        <v>1</v>
      </c>
      <c r="T115" s="3">
        <f t="shared" si="105"/>
        <v>1</v>
      </c>
      <c r="U115" s="3">
        <f t="shared" si="105"/>
        <v>1</v>
      </c>
      <c r="V115" s="3">
        <f t="shared" si="105"/>
        <v>1</v>
      </c>
      <c r="W115" s="3">
        <f t="shared" si="105"/>
        <v>1</v>
      </c>
    </row>
    <row r="116" customHeight="1" spans="1:23">
      <c r="A116" s="2">
        <v>103</v>
      </c>
      <c r="B116" s="3">
        <f t="shared" ref="B116:W116" si="106">MIN(1,IF($A116&lt;B$4+B$3,0,IF(B$2=0,1,IF(B$5=0,($A116-B$4)/B$2,IF(MOD($A116-B$4,B$5)=0,($A116-B$4)/B$2,QUOTIENT($A116-B$4,B$5)*B$5/B$2)))))</f>
        <v>1</v>
      </c>
      <c r="C116" s="3">
        <f t="shared" si="106"/>
        <v>1</v>
      </c>
      <c r="D116" s="3">
        <f t="shared" si="106"/>
        <v>1</v>
      </c>
      <c r="E116" s="3" t="e">
        <f t="shared" si="106"/>
        <v>#REF!</v>
      </c>
      <c r="F116" s="3">
        <f t="shared" si="106"/>
        <v>1</v>
      </c>
      <c r="G116" s="3">
        <f t="shared" si="106"/>
        <v>1</v>
      </c>
      <c r="H116" s="3">
        <f t="shared" si="106"/>
        <v>1</v>
      </c>
      <c r="I116" s="3">
        <f t="shared" si="106"/>
        <v>1</v>
      </c>
      <c r="J116" s="3">
        <f t="shared" si="106"/>
        <v>1</v>
      </c>
      <c r="K116" s="3">
        <f t="shared" si="106"/>
        <v>1</v>
      </c>
      <c r="L116" s="3">
        <f t="shared" si="106"/>
        <v>1</v>
      </c>
      <c r="M116" s="3" t="e">
        <f t="shared" si="106"/>
        <v>#REF!</v>
      </c>
      <c r="N116" s="3">
        <f t="shared" si="106"/>
        <v>1</v>
      </c>
      <c r="O116" s="3">
        <f t="shared" si="106"/>
        <v>1</v>
      </c>
      <c r="P116" s="3">
        <f t="shared" si="106"/>
        <v>1</v>
      </c>
      <c r="Q116" s="3">
        <f t="shared" si="106"/>
        <v>1</v>
      </c>
      <c r="R116" s="3">
        <f t="shared" si="106"/>
        <v>1</v>
      </c>
      <c r="S116" s="3">
        <f t="shared" si="106"/>
        <v>1</v>
      </c>
      <c r="T116" s="3">
        <f t="shared" si="106"/>
        <v>1</v>
      </c>
      <c r="U116" s="3">
        <f t="shared" si="106"/>
        <v>1</v>
      </c>
      <c r="V116" s="3">
        <f t="shared" si="106"/>
        <v>1</v>
      </c>
      <c r="W116" s="3">
        <f t="shared" si="106"/>
        <v>1</v>
      </c>
    </row>
    <row r="117" customHeight="1" spans="1:23">
      <c r="A117" s="2">
        <v>104</v>
      </c>
      <c r="B117" s="3">
        <f t="shared" ref="B117:W117" si="107">MIN(1,IF($A117&lt;B$4+B$3,0,IF(B$2=0,1,IF(B$5=0,($A117-B$4)/B$2,IF(MOD($A117-B$4,B$5)=0,($A117-B$4)/B$2,QUOTIENT($A117-B$4,B$5)*B$5/B$2)))))</f>
        <v>1</v>
      </c>
      <c r="C117" s="3">
        <f t="shared" si="107"/>
        <v>1</v>
      </c>
      <c r="D117" s="3">
        <f t="shared" si="107"/>
        <v>1</v>
      </c>
      <c r="E117" s="3" t="e">
        <f t="shared" si="107"/>
        <v>#REF!</v>
      </c>
      <c r="F117" s="3">
        <f t="shared" si="107"/>
        <v>1</v>
      </c>
      <c r="G117" s="3">
        <f t="shared" si="107"/>
        <v>1</v>
      </c>
      <c r="H117" s="3">
        <f t="shared" si="107"/>
        <v>1</v>
      </c>
      <c r="I117" s="3">
        <f t="shared" si="107"/>
        <v>1</v>
      </c>
      <c r="J117" s="3">
        <f t="shared" si="107"/>
        <v>1</v>
      </c>
      <c r="K117" s="3">
        <f t="shared" si="107"/>
        <v>1</v>
      </c>
      <c r="L117" s="3">
        <f t="shared" si="107"/>
        <v>1</v>
      </c>
      <c r="M117" s="3" t="e">
        <f t="shared" si="107"/>
        <v>#REF!</v>
      </c>
      <c r="N117" s="3">
        <f t="shared" si="107"/>
        <v>1</v>
      </c>
      <c r="O117" s="3">
        <f t="shared" si="107"/>
        <v>1</v>
      </c>
      <c r="P117" s="3">
        <f t="shared" si="107"/>
        <v>1</v>
      </c>
      <c r="Q117" s="3">
        <f t="shared" si="107"/>
        <v>1</v>
      </c>
      <c r="R117" s="3">
        <f t="shared" si="107"/>
        <v>1</v>
      </c>
      <c r="S117" s="3">
        <f t="shared" si="107"/>
        <v>1</v>
      </c>
      <c r="T117" s="3">
        <f t="shared" si="107"/>
        <v>1</v>
      </c>
      <c r="U117" s="3">
        <f t="shared" si="107"/>
        <v>1</v>
      </c>
      <c r="V117" s="3">
        <f t="shared" si="107"/>
        <v>1</v>
      </c>
      <c r="W117" s="3">
        <f t="shared" si="107"/>
        <v>1</v>
      </c>
    </row>
    <row r="118" customHeight="1" spans="1:23">
      <c r="A118" s="2">
        <v>105</v>
      </c>
      <c r="B118" s="3">
        <f t="shared" ref="B118:W118" si="108">MIN(1,IF($A118&lt;B$4+B$3,0,IF(B$2=0,1,IF(B$5=0,($A118-B$4)/B$2,IF(MOD($A118-B$4,B$5)=0,($A118-B$4)/B$2,QUOTIENT($A118-B$4,B$5)*B$5/B$2)))))</f>
        <v>1</v>
      </c>
      <c r="C118" s="3">
        <f t="shared" si="108"/>
        <v>1</v>
      </c>
      <c r="D118" s="3">
        <f t="shared" si="108"/>
        <v>1</v>
      </c>
      <c r="E118" s="3" t="e">
        <f t="shared" si="108"/>
        <v>#REF!</v>
      </c>
      <c r="F118" s="3">
        <f t="shared" si="108"/>
        <v>1</v>
      </c>
      <c r="G118" s="3">
        <f t="shared" si="108"/>
        <v>1</v>
      </c>
      <c r="H118" s="3">
        <f t="shared" si="108"/>
        <v>1</v>
      </c>
      <c r="I118" s="3">
        <f t="shared" si="108"/>
        <v>1</v>
      </c>
      <c r="J118" s="3">
        <f t="shared" si="108"/>
        <v>1</v>
      </c>
      <c r="K118" s="3">
        <f t="shared" si="108"/>
        <v>1</v>
      </c>
      <c r="L118" s="3">
        <f t="shared" si="108"/>
        <v>1</v>
      </c>
      <c r="M118" s="3" t="e">
        <f t="shared" si="108"/>
        <v>#REF!</v>
      </c>
      <c r="N118" s="3">
        <f t="shared" si="108"/>
        <v>1</v>
      </c>
      <c r="O118" s="3">
        <f t="shared" si="108"/>
        <v>1</v>
      </c>
      <c r="P118" s="3">
        <f t="shared" si="108"/>
        <v>1</v>
      </c>
      <c r="Q118" s="3">
        <f t="shared" si="108"/>
        <v>1</v>
      </c>
      <c r="R118" s="3">
        <f t="shared" si="108"/>
        <v>1</v>
      </c>
      <c r="S118" s="3">
        <f t="shared" si="108"/>
        <v>1</v>
      </c>
      <c r="T118" s="3">
        <f t="shared" si="108"/>
        <v>1</v>
      </c>
      <c r="U118" s="3">
        <f t="shared" si="108"/>
        <v>1</v>
      </c>
      <c r="V118" s="3">
        <f t="shared" si="108"/>
        <v>1</v>
      </c>
      <c r="W118" s="3">
        <f t="shared" si="108"/>
        <v>1</v>
      </c>
    </row>
    <row r="119" customHeight="1" spans="1:23">
      <c r="A119" s="2">
        <v>106</v>
      </c>
      <c r="B119" s="3">
        <f t="shared" ref="B119:W119" si="109">MIN(1,IF($A119&lt;B$4+B$3,0,IF(B$2=0,1,IF(B$5=0,($A119-B$4)/B$2,IF(MOD($A119-B$4,B$5)=0,($A119-B$4)/B$2,QUOTIENT($A119-B$4,B$5)*B$5/B$2)))))</f>
        <v>1</v>
      </c>
      <c r="C119" s="3">
        <f t="shared" si="109"/>
        <v>1</v>
      </c>
      <c r="D119" s="3">
        <f t="shared" si="109"/>
        <v>1</v>
      </c>
      <c r="E119" s="3" t="e">
        <f t="shared" si="109"/>
        <v>#REF!</v>
      </c>
      <c r="F119" s="3">
        <f t="shared" si="109"/>
        <v>1</v>
      </c>
      <c r="G119" s="3">
        <f t="shared" si="109"/>
        <v>1</v>
      </c>
      <c r="H119" s="3">
        <f t="shared" si="109"/>
        <v>1</v>
      </c>
      <c r="I119" s="3">
        <f t="shared" si="109"/>
        <v>1</v>
      </c>
      <c r="J119" s="3">
        <f t="shared" si="109"/>
        <v>1</v>
      </c>
      <c r="K119" s="3">
        <f t="shared" si="109"/>
        <v>1</v>
      </c>
      <c r="L119" s="3">
        <f t="shared" si="109"/>
        <v>1</v>
      </c>
      <c r="M119" s="3" t="e">
        <f t="shared" si="109"/>
        <v>#REF!</v>
      </c>
      <c r="N119" s="3">
        <f t="shared" si="109"/>
        <v>1</v>
      </c>
      <c r="O119" s="3">
        <f t="shared" si="109"/>
        <v>1</v>
      </c>
      <c r="P119" s="3">
        <f t="shared" si="109"/>
        <v>1</v>
      </c>
      <c r="Q119" s="3">
        <f t="shared" si="109"/>
        <v>1</v>
      </c>
      <c r="R119" s="3">
        <f t="shared" si="109"/>
        <v>1</v>
      </c>
      <c r="S119" s="3">
        <f t="shared" si="109"/>
        <v>1</v>
      </c>
      <c r="T119" s="3">
        <f t="shared" si="109"/>
        <v>1</v>
      </c>
      <c r="U119" s="3">
        <f t="shared" si="109"/>
        <v>1</v>
      </c>
      <c r="V119" s="3">
        <f t="shared" si="109"/>
        <v>1</v>
      </c>
      <c r="W119" s="3">
        <f t="shared" si="109"/>
        <v>1</v>
      </c>
    </row>
    <row r="120" customHeight="1" spans="1:23">
      <c r="A120" s="2">
        <v>107</v>
      </c>
      <c r="B120" s="3">
        <f t="shared" ref="B120:W120" si="110">MIN(1,IF($A120&lt;B$4+B$3,0,IF(B$2=0,1,IF(B$5=0,($A120-B$4)/B$2,IF(MOD($A120-B$4,B$5)=0,($A120-B$4)/B$2,QUOTIENT($A120-B$4,B$5)*B$5/B$2)))))</f>
        <v>1</v>
      </c>
      <c r="C120" s="3">
        <f t="shared" si="110"/>
        <v>1</v>
      </c>
      <c r="D120" s="3">
        <f t="shared" si="110"/>
        <v>1</v>
      </c>
      <c r="E120" s="3" t="e">
        <f t="shared" si="110"/>
        <v>#REF!</v>
      </c>
      <c r="F120" s="3">
        <f t="shared" si="110"/>
        <v>1</v>
      </c>
      <c r="G120" s="3">
        <f t="shared" si="110"/>
        <v>1</v>
      </c>
      <c r="H120" s="3">
        <f t="shared" si="110"/>
        <v>1</v>
      </c>
      <c r="I120" s="3">
        <f t="shared" si="110"/>
        <v>1</v>
      </c>
      <c r="J120" s="3">
        <f t="shared" si="110"/>
        <v>1</v>
      </c>
      <c r="K120" s="3">
        <f t="shared" si="110"/>
        <v>1</v>
      </c>
      <c r="L120" s="3">
        <f t="shared" si="110"/>
        <v>1</v>
      </c>
      <c r="M120" s="3" t="e">
        <f t="shared" si="110"/>
        <v>#REF!</v>
      </c>
      <c r="N120" s="3">
        <f t="shared" si="110"/>
        <v>1</v>
      </c>
      <c r="O120" s="3">
        <f t="shared" si="110"/>
        <v>1</v>
      </c>
      <c r="P120" s="3">
        <f t="shared" si="110"/>
        <v>1</v>
      </c>
      <c r="Q120" s="3">
        <f t="shared" si="110"/>
        <v>1</v>
      </c>
      <c r="R120" s="3">
        <f t="shared" si="110"/>
        <v>1</v>
      </c>
      <c r="S120" s="3">
        <f t="shared" si="110"/>
        <v>1</v>
      </c>
      <c r="T120" s="3">
        <f t="shared" si="110"/>
        <v>1</v>
      </c>
      <c r="U120" s="3">
        <f t="shared" si="110"/>
        <v>1</v>
      </c>
      <c r="V120" s="3">
        <f t="shared" si="110"/>
        <v>1</v>
      </c>
      <c r="W120" s="3">
        <f t="shared" si="110"/>
        <v>1</v>
      </c>
    </row>
    <row r="121" customHeight="1" spans="1:23">
      <c r="A121" s="2">
        <v>108</v>
      </c>
      <c r="B121" s="3">
        <f t="shared" ref="B121:W121" si="111">MIN(1,IF($A121&lt;B$4+B$3,0,IF(B$2=0,1,IF(B$5=0,($A121-B$4)/B$2,IF(MOD($A121-B$4,B$5)=0,($A121-B$4)/B$2,QUOTIENT($A121-B$4,B$5)*B$5/B$2)))))</f>
        <v>1</v>
      </c>
      <c r="C121" s="3">
        <f t="shared" si="111"/>
        <v>1</v>
      </c>
      <c r="D121" s="3">
        <f t="shared" si="111"/>
        <v>1</v>
      </c>
      <c r="E121" s="3" t="e">
        <f t="shared" si="111"/>
        <v>#REF!</v>
      </c>
      <c r="F121" s="3">
        <f t="shared" si="111"/>
        <v>1</v>
      </c>
      <c r="G121" s="3">
        <f t="shared" si="111"/>
        <v>1</v>
      </c>
      <c r="H121" s="3">
        <f t="shared" si="111"/>
        <v>1</v>
      </c>
      <c r="I121" s="3">
        <f t="shared" si="111"/>
        <v>1</v>
      </c>
      <c r="J121" s="3">
        <f t="shared" si="111"/>
        <v>1</v>
      </c>
      <c r="K121" s="3">
        <f t="shared" si="111"/>
        <v>1</v>
      </c>
      <c r="L121" s="3">
        <f t="shared" si="111"/>
        <v>1</v>
      </c>
      <c r="M121" s="3" t="e">
        <f t="shared" si="111"/>
        <v>#REF!</v>
      </c>
      <c r="N121" s="3">
        <f t="shared" si="111"/>
        <v>1</v>
      </c>
      <c r="O121" s="3">
        <f t="shared" si="111"/>
        <v>1</v>
      </c>
      <c r="P121" s="3">
        <f t="shared" si="111"/>
        <v>1</v>
      </c>
      <c r="Q121" s="3">
        <f t="shared" si="111"/>
        <v>1</v>
      </c>
      <c r="R121" s="3">
        <f t="shared" si="111"/>
        <v>1</v>
      </c>
      <c r="S121" s="3">
        <f t="shared" si="111"/>
        <v>1</v>
      </c>
      <c r="T121" s="3">
        <f t="shared" si="111"/>
        <v>1</v>
      </c>
      <c r="U121" s="3">
        <f t="shared" si="111"/>
        <v>1</v>
      </c>
      <c r="V121" s="3">
        <f t="shared" si="111"/>
        <v>1</v>
      </c>
      <c r="W121" s="3">
        <f t="shared" si="111"/>
        <v>1</v>
      </c>
    </row>
    <row r="122" customHeight="1" spans="1:23">
      <c r="A122" s="2">
        <v>109</v>
      </c>
      <c r="B122" s="3">
        <f t="shared" ref="B122:W122" si="112">MIN(1,IF($A122&lt;B$4+B$3,0,IF(B$2=0,1,IF(B$5=0,($A122-B$4)/B$2,IF(MOD($A122-B$4,B$5)=0,($A122-B$4)/B$2,QUOTIENT($A122-B$4,B$5)*B$5/B$2)))))</f>
        <v>1</v>
      </c>
      <c r="C122" s="3">
        <f t="shared" si="112"/>
        <v>1</v>
      </c>
      <c r="D122" s="3">
        <f t="shared" si="112"/>
        <v>1</v>
      </c>
      <c r="E122" s="3" t="e">
        <f t="shared" si="112"/>
        <v>#REF!</v>
      </c>
      <c r="F122" s="3">
        <f t="shared" si="112"/>
        <v>1</v>
      </c>
      <c r="G122" s="3">
        <f t="shared" si="112"/>
        <v>1</v>
      </c>
      <c r="H122" s="3">
        <f t="shared" si="112"/>
        <v>1</v>
      </c>
      <c r="I122" s="3">
        <f t="shared" si="112"/>
        <v>1</v>
      </c>
      <c r="J122" s="3">
        <f t="shared" si="112"/>
        <v>1</v>
      </c>
      <c r="K122" s="3">
        <f t="shared" si="112"/>
        <v>1</v>
      </c>
      <c r="L122" s="3">
        <f t="shared" si="112"/>
        <v>1</v>
      </c>
      <c r="M122" s="3" t="e">
        <f t="shared" si="112"/>
        <v>#REF!</v>
      </c>
      <c r="N122" s="3">
        <f t="shared" si="112"/>
        <v>1</v>
      </c>
      <c r="O122" s="3">
        <f t="shared" si="112"/>
        <v>1</v>
      </c>
      <c r="P122" s="3">
        <f t="shared" si="112"/>
        <v>1</v>
      </c>
      <c r="Q122" s="3">
        <f t="shared" si="112"/>
        <v>1</v>
      </c>
      <c r="R122" s="3">
        <f t="shared" si="112"/>
        <v>1</v>
      </c>
      <c r="S122" s="3">
        <f t="shared" si="112"/>
        <v>1</v>
      </c>
      <c r="T122" s="3">
        <f t="shared" si="112"/>
        <v>1</v>
      </c>
      <c r="U122" s="3">
        <f t="shared" si="112"/>
        <v>1</v>
      </c>
      <c r="V122" s="3">
        <f t="shared" si="112"/>
        <v>1</v>
      </c>
      <c r="W122" s="3">
        <f t="shared" si="112"/>
        <v>1</v>
      </c>
    </row>
    <row r="123" customHeight="1" spans="1:23">
      <c r="A123" s="2">
        <v>110</v>
      </c>
      <c r="B123" s="3">
        <f t="shared" ref="B123:W123" si="113">MIN(1,IF($A123&lt;B$4+B$3,0,IF(B$2=0,1,IF(B$5=0,($A123-B$4)/B$2,IF(MOD($A123-B$4,B$5)=0,($A123-B$4)/B$2,QUOTIENT($A123-B$4,B$5)*B$5/B$2)))))</f>
        <v>1</v>
      </c>
      <c r="C123" s="3">
        <f t="shared" si="113"/>
        <v>1</v>
      </c>
      <c r="D123" s="3">
        <f t="shared" si="113"/>
        <v>1</v>
      </c>
      <c r="E123" s="3" t="e">
        <f t="shared" si="113"/>
        <v>#REF!</v>
      </c>
      <c r="F123" s="3">
        <f t="shared" si="113"/>
        <v>1</v>
      </c>
      <c r="G123" s="3">
        <f t="shared" si="113"/>
        <v>1</v>
      </c>
      <c r="H123" s="3">
        <f t="shared" si="113"/>
        <v>1</v>
      </c>
      <c r="I123" s="3">
        <f t="shared" si="113"/>
        <v>1</v>
      </c>
      <c r="J123" s="3">
        <f t="shared" si="113"/>
        <v>1</v>
      </c>
      <c r="K123" s="3">
        <f t="shared" si="113"/>
        <v>1</v>
      </c>
      <c r="L123" s="3">
        <f t="shared" si="113"/>
        <v>1</v>
      </c>
      <c r="M123" s="3" t="e">
        <f t="shared" si="113"/>
        <v>#REF!</v>
      </c>
      <c r="N123" s="3">
        <f t="shared" si="113"/>
        <v>1</v>
      </c>
      <c r="O123" s="3">
        <f t="shared" si="113"/>
        <v>1</v>
      </c>
      <c r="P123" s="3">
        <f t="shared" si="113"/>
        <v>1</v>
      </c>
      <c r="Q123" s="3">
        <f t="shared" si="113"/>
        <v>1</v>
      </c>
      <c r="R123" s="3">
        <f t="shared" si="113"/>
        <v>1</v>
      </c>
      <c r="S123" s="3">
        <f t="shared" si="113"/>
        <v>1</v>
      </c>
      <c r="T123" s="3">
        <f t="shared" si="113"/>
        <v>1</v>
      </c>
      <c r="U123" s="3">
        <f t="shared" si="113"/>
        <v>1</v>
      </c>
      <c r="V123" s="3">
        <f t="shared" si="113"/>
        <v>1</v>
      </c>
      <c r="W123" s="3">
        <f t="shared" si="113"/>
        <v>1</v>
      </c>
    </row>
    <row r="124" customHeight="1" spans="1:23">
      <c r="A124" s="2">
        <v>111</v>
      </c>
      <c r="B124" s="3">
        <f t="shared" ref="B124:W124" si="114">MIN(1,IF($A124&lt;B$4+B$3,0,IF(B$2=0,1,IF(B$5=0,($A124-B$4)/B$2,IF(MOD($A124-B$4,B$5)=0,($A124-B$4)/B$2,QUOTIENT($A124-B$4,B$5)*B$5/B$2)))))</f>
        <v>1</v>
      </c>
      <c r="C124" s="3">
        <f t="shared" si="114"/>
        <v>1</v>
      </c>
      <c r="D124" s="3">
        <f t="shared" si="114"/>
        <v>1</v>
      </c>
      <c r="E124" s="3" t="e">
        <f t="shared" si="114"/>
        <v>#REF!</v>
      </c>
      <c r="F124" s="3">
        <f t="shared" si="114"/>
        <v>1</v>
      </c>
      <c r="G124" s="3">
        <f t="shared" si="114"/>
        <v>1</v>
      </c>
      <c r="H124" s="3">
        <f t="shared" si="114"/>
        <v>1</v>
      </c>
      <c r="I124" s="3">
        <f t="shared" si="114"/>
        <v>1</v>
      </c>
      <c r="J124" s="3">
        <f t="shared" si="114"/>
        <v>1</v>
      </c>
      <c r="K124" s="3">
        <f t="shared" si="114"/>
        <v>1</v>
      </c>
      <c r="L124" s="3">
        <f t="shared" si="114"/>
        <v>1</v>
      </c>
      <c r="M124" s="3" t="e">
        <f t="shared" si="114"/>
        <v>#REF!</v>
      </c>
      <c r="N124" s="3">
        <f t="shared" si="114"/>
        <v>1</v>
      </c>
      <c r="O124" s="3">
        <f t="shared" si="114"/>
        <v>1</v>
      </c>
      <c r="P124" s="3">
        <f t="shared" si="114"/>
        <v>1</v>
      </c>
      <c r="Q124" s="3">
        <f t="shared" si="114"/>
        <v>1</v>
      </c>
      <c r="R124" s="3">
        <f t="shared" si="114"/>
        <v>1</v>
      </c>
      <c r="S124" s="3">
        <f t="shared" si="114"/>
        <v>1</v>
      </c>
      <c r="T124" s="3">
        <f t="shared" si="114"/>
        <v>1</v>
      </c>
      <c r="U124" s="3">
        <f t="shared" si="114"/>
        <v>1</v>
      </c>
      <c r="V124" s="3">
        <f t="shared" si="114"/>
        <v>1</v>
      </c>
      <c r="W124" s="3">
        <f t="shared" si="114"/>
        <v>1</v>
      </c>
    </row>
    <row r="125" customHeight="1" spans="1:23">
      <c r="A125" s="2">
        <v>112</v>
      </c>
      <c r="B125" s="3">
        <f t="shared" ref="B125:W125" si="115">MIN(1,IF($A125&lt;B$4+B$3,0,IF(B$2=0,1,IF(B$5=0,($A125-B$4)/B$2,IF(MOD($A125-B$4,B$5)=0,($A125-B$4)/B$2,QUOTIENT($A125-B$4,B$5)*B$5/B$2)))))</f>
        <v>1</v>
      </c>
      <c r="C125" s="3">
        <f t="shared" si="115"/>
        <v>1</v>
      </c>
      <c r="D125" s="3">
        <f t="shared" si="115"/>
        <v>1</v>
      </c>
      <c r="E125" s="3" t="e">
        <f t="shared" si="115"/>
        <v>#REF!</v>
      </c>
      <c r="F125" s="3">
        <f t="shared" si="115"/>
        <v>1</v>
      </c>
      <c r="G125" s="3">
        <f t="shared" si="115"/>
        <v>1</v>
      </c>
      <c r="H125" s="3">
        <f t="shared" si="115"/>
        <v>1</v>
      </c>
      <c r="I125" s="3">
        <f t="shared" si="115"/>
        <v>1</v>
      </c>
      <c r="J125" s="3">
        <f t="shared" si="115"/>
        <v>1</v>
      </c>
      <c r="K125" s="3">
        <f t="shared" si="115"/>
        <v>1</v>
      </c>
      <c r="L125" s="3">
        <f t="shared" si="115"/>
        <v>1</v>
      </c>
      <c r="M125" s="3" t="e">
        <f t="shared" si="115"/>
        <v>#REF!</v>
      </c>
      <c r="N125" s="3">
        <f t="shared" si="115"/>
        <v>1</v>
      </c>
      <c r="O125" s="3">
        <f t="shared" si="115"/>
        <v>1</v>
      </c>
      <c r="P125" s="3">
        <f t="shared" si="115"/>
        <v>1</v>
      </c>
      <c r="Q125" s="3">
        <f t="shared" si="115"/>
        <v>1</v>
      </c>
      <c r="R125" s="3">
        <f t="shared" si="115"/>
        <v>1</v>
      </c>
      <c r="S125" s="3">
        <f t="shared" si="115"/>
        <v>1</v>
      </c>
      <c r="T125" s="3">
        <f t="shared" si="115"/>
        <v>1</v>
      </c>
      <c r="U125" s="3">
        <f t="shared" si="115"/>
        <v>1</v>
      </c>
      <c r="V125" s="3">
        <f t="shared" si="115"/>
        <v>1</v>
      </c>
      <c r="W125" s="3">
        <f t="shared" si="115"/>
        <v>1</v>
      </c>
    </row>
    <row r="126" customHeight="1" spans="1:23">
      <c r="A126" s="2">
        <v>113</v>
      </c>
      <c r="B126" s="3">
        <f t="shared" ref="B126:W126" si="116">MIN(1,IF($A126&lt;B$4+B$3,0,IF(B$2=0,1,IF(B$5=0,($A126-B$4)/B$2,IF(MOD($A126-B$4,B$5)=0,($A126-B$4)/B$2,QUOTIENT($A126-B$4,B$5)*B$5/B$2)))))</f>
        <v>1</v>
      </c>
      <c r="C126" s="3">
        <f t="shared" si="116"/>
        <v>1</v>
      </c>
      <c r="D126" s="3">
        <f t="shared" si="116"/>
        <v>1</v>
      </c>
      <c r="E126" s="3" t="e">
        <f t="shared" si="116"/>
        <v>#REF!</v>
      </c>
      <c r="F126" s="3">
        <f t="shared" si="116"/>
        <v>1</v>
      </c>
      <c r="G126" s="3">
        <f t="shared" si="116"/>
        <v>1</v>
      </c>
      <c r="H126" s="3">
        <f t="shared" si="116"/>
        <v>1</v>
      </c>
      <c r="I126" s="3">
        <f t="shared" si="116"/>
        <v>1</v>
      </c>
      <c r="J126" s="3">
        <f t="shared" si="116"/>
        <v>1</v>
      </c>
      <c r="K126" s="3">
        <f t="shared" si="116"/>
        <v>1</v>
      </c>
      <c r="L126" s="3">
        <f t="shared" si="116"/>
        <v>1</v>
      </c>
      <c r="M126" s="3" t="e">
        <f t="shared" si="116"/>
        <v>#REF!</v>
      </c>
      <c r="N126" s="3">
        <f t="shared" si="116"/>
        <v>1</v>
      </c>
      <c r="O126" s="3">
        <f t="shared" si="116"/>
        <v>1</v>
      </c>
      <c r="P126" s="3">
        <f t="shared" si="116"/>
        <v>1</v>
      </c>
      <c r="Q126" s="3">
        <f t="shared" si="116"/>
        <v>1</v>
      </c>
      <c r="R126" s="3">
        <f t="shared" si="116"/>
        <v>1</v>
      </c>
      <c r="S126" s="3">
        <f t="shared" si="116"/>
        <v>1</v>
      </c>
      <c r="T126" s="3">
        <f t="shared" si="116"/>
        <v>1</v>
      </c>
      <c r="U126" s="3">
        <f t="shared" si="116"/>
        <v>1</v>
      </c>
      <c r="V126" s="3">
        <f t="shared" si="116"/>
        <v>1</v>
      </c>
      <c r="W126" s="3">
        <f t="shared" si="116"/>
        <v>1</v>
      </c>
    </row>
    <row r="127" customHeight="1" spans="1:23">
      <c r="A127" s="2">
        <v>114</v>
      </c>
      <c r="B127" s="3">
        <f t="shared" ref="B127:W127" si="117">MIN(1,IF($A127&lt;B$4+B$3,0,IF(B$2=0,1,IF(B$5=0,($A127-B$4)/B$2,IF(MOD($A127-B$4,B$5)=0,($A127-B$4)/B$2,QUOTIENT($A127-B$4,B$5)*B$5/B$2)))))</f>
        <v>1</v>
      </c>
      <c r="C127" s="3">
        <f t="shared" si="117"/>
        <v>1</v>
      </c>
      <c r="D127" s="3">
        <f t="shared" si="117"/>
        <v>1</v>
      </c>
      <c r="E127" s="3" t="e">
        <f t="shared" si="117"/>
        <v>#REF!</v>
      </c>
      <c r="F127" s="3">
        <f t="shared" si="117"/>
        <v>1</v>
      </c>
      <c r="G127" s="3">
        <f t="shared" si="117"/>
        <v>1</v>
      </c>
      <c r="H127" s="3">
        <f t="shared" si="117"/>
        <v>1</v>
      </c>
      <c r="I127" s="3">
        <f t="shared" si="117"/>
        <v>1</v>
      </c>
      <c r="J127" s="3">
        <f t="shared" si="117"/>
        <v>1</v>
      </c>
      <c r="K127" s="3">
        <f t="shared" si="117"/>
        <v>1</v>
      </c>
      <c r="L127" s="3">
        <f t="shared" si="117"/>
        <v>1</v>
      </c>
      <c r="M127" s="3" t="e">
        <f t="shared" si="117"/>
        <v>#REF!</v>
      </c>
      <c r="N127" s="3">
        <f t="shared" si="117"/>
        <v>1</v>
      </c>
      <c r="O127" s="3">
        <f t="shared" si="117"/>
        <v>1</v>
      </c>
      <c r="P127" s="3">
        <f t="shared" si="117"/>
        <v>1</v>
      </c>
      <c r="Q127" s="3">
        <f t="shared" si="117"/>
        <v>1</v>
      </c>
      <c r="R127" s="3">
        <f t="shared" si="117"/>
        <v>1</v>
      </c>
      <c r="S127" s="3">
        <f t="shared" si="117"/>
        <v>1</v>
      </c>
      <c r="T127" s="3">
        <f t="shared" si="117"/>
        <v>1</v>
      </c>
      <c r="U127" s="3">
        <f t="shared" si="117"/>
        <v>1</v>
      </c>
      <c r="V127" s="3">
        <f t="shared" si="117"/>
        <v>1</v>
      </c>
      <c r="W127" s="3">
        <f t="shared" si="117"/>
        <v>1</v>
      </c>
    </row>
    <row r="128" customHeight="1" spans="1:23">
      <c r="A128" s="2">
        <v>115</v>
      </c>
      <c r="B128" s="3">
        <f t="shared" ref="B128:W128" si="118">MIN(1,IF($A128&lt;B$4+B$3,0,IF(B$2=0,1,IF(B$5=0,($A128-B$4)/B$2,IF(MOD($A128-B$4,B$5)=0,($A128-B$4)/B$2,QUOTIENT($A128-B$4,B$5)*B$5/B$2)))))</f>
        <v>1</v>
      </c>
      <c r="C128" s="3">
        <f t="shared" si="118"/>
        <v>1</v>
      </c>
      <c r="D128" s="3">
        <f t="shared" si="118"/>
        <v>1</v>
      </c>
      <c r="E128" s="3" t="e">
        <f t="shared" si="118"/>
        <v>#REF!</v>
      </c>
      <c r="F128" s="3">
        <f t="shared" si="118"/>
        <v>1</v>
      </c>
      <c r="G128" s="3">
        <f t="shared" si="118"/>
        <v>1</v>
      </c>
      <c r="H128" s="3">
        <f t="shared" si="118"/>
        <v>1</v>
      </c>
      <c r="I128" s="3">
        <f t="shared" si="118"/>
        <v>1</v>
      </c>
      <c r="J128" s="3">
        <f t="shared" si="118"/>
        <v>1</v>
      </c>
      <c r="K128" s="3">
        <f t="shared" si="118"/>
        <v>1</v>
      </c>
      <c r="L128" s="3">
        <f t="shared" si="118"/>
        <v>1</v>
      </c>
      <c r="M128" s="3" t="e">
        <f t="shared" si="118"/>
        <v>#REF!</v>
      </c>
      <c r="N128" s="3">
        <f t="shared" si="118"/>
        <v>1</v>
      </c>
      <c r="O128" s="3">
        <f t="shared" si="118"/>
        <v>1</v>
      </c>
      <c r="P128" s="3">
        <f t="shared" si="118"/>
        <v>1</v>
      </c>
      <c r="Q128" s="3">
        <f t="shared" si="118"/>
        <v>1</v>
      </c>
      <c r="R128" s="3">
        <f t="shared" si="118"/>
        <v>1</v>
      </c>
      <c r="S128" s="3">
        <f t="shared" si="118"/>
        <v>1</v>
      </c>
      <c r="T128" s="3">
        <f t="shared" si="118"/>
        <v>1</v>
      </c>
      <c r="U128" s="3">
        <f t="shared" si="118"/>
        <v>1</v>
      </c>
      <c r="V128" s="3">
        <f t="shared" si="118"/>
        <v>1</v>
      </c>
      <c r="W128" s="3">
        <f t="shared" si="118"/>
        <v>1</v>
      </c>
    </row>
    <row r="129" customHeight="1" spans="1:23">
      <c r="A129" s="2">
        <v>116</v>
      </c>
      <c r="B129" s="3">
        <f t="shared" ref="B129:W129" si="119">MIN(1,IF($A129&lt;B$4+B$3,0,IF(B$2=0,1,IF(B$5=0,($A129-B$4)/B$2,IF(MOD($A129-B$4,B$5)=0,($A129-B$4)/B$2,QUOTIENT($A129-B$4,B$5)*B$5/B$2)))))</f>
        <v>1</v>
      </c>
      <c r="C129" s="3">
        <f t="shared" si="119"/>
        <v>1</v>
      </c>
      <c r="D129" s="3">
        <f t="shared" si="119"/>
        <v>1</v>
      </c>
      <c r="E129" s="3" t="e">
        <f t="shared" si="119"/>
        <v>#REF!</v>
      </c>
      <c r="F129" s="3">
        <f t="shared" si="119"/>
        <v>1</v>
      </c>
      <c r="G129" s="3">
        <f t="shared" si="119"/>
        <v>1</v>
      </c>
      <c r="H129" s="3">
        <f t="shared" si="119"/>
        <v>1</v>
      </c>
      <c r="I129" s="3">
        <f t="shared" si="119"/>
        <v>1</v>
      </c>
      <c r="J129" s="3">
        <f t="shared" si="119"/>
        <v>1</v>
      </c>
      <c r="K129" s="3">
        <f t="shared" si="119"/>
        <v>1</v>
      </c>
      <c r="L129" s="3">
        <f t="shared" si="119"/>
        <v>1</v>
      </c>
      <c r="M129" s="3" t="e">
        <f t="shared" si="119"/>
        <v>#REF!</v>
      </c>
      <c r="N129" s="3">
        <f t="shared" si="119"/>
        <v>1</v>
      </c>
      <c r="O129" s="3">
        <f t="shared" si="119"/>
        <v>1</v>
      </c>
      <c r="P129" s="3">
        <f t="shared" si="119"/>
        <v>1</v>
      </c>
      <c r="Q129" s="3">
        <f t="shared" si="119"/>
        <v>1</v>
      </c>
      <c r="R129" s="3">
        <f t="shared" si="119"/>
        <v>1</v>
      </c>
      <c r="S129" s="3">
        <f t="shared" si="119"/>
        <v>1</v>
      </c>
      <c r="T129" s="3">
        <f t="shared" si="119"/>
        <v>1</v>
      </c>
      <c r="U129" s="3">
        <f t="shared" si="119"/>
        <v>1</v>
      </c>
      <c r="V129" s="3">
        <f t="shared" si="119"/>
        <v>1</v>
      </c>
      <c r="W129" s="3">
        <f t="shared" si="119"/>
        <v>1</v>
      </c>
    </row>
    <row r="130" customHeight="1" spans="1:23">
      <c r="A130" s="2">
        <v>117</v>
      </c>
      <c r="B130" s="3">
        <f t="shared" ref="B130:W130" si="120">MIN(1,IF($A130&lt;B$4+B$3,0,IF(B$2=0,1,IF(B$5=0,($A130-B$4)/B$2,IF(MOD($A130-B$4,B$5)=0,($A130-B$4)/B$2,QUOTIENT($A130-B$4,B$5)*B$5/B$2)))))</f>
        <v>1</v>
      </c>
      <c r="C130" s="3">
        <f t="shared" si="120"/>
        <v>1</v>
      </c>
      <c r="D130" s="3">
        <f t="shared" si="120"/>
        <v>1</v>
      </c>
      <c r="E130" s="3" t="e">
        <f t="shared" si="120"/>
        <v>#REF!</v>
      </c>
      <c r="F130" s="3">
        <f t="shared" si="120"/>
        <v>1</v>
      </c>
      <c r="G130" s="3">
        <f t="shared" si="120"/>
        <v>1</v>
      </c>
      <c r="H130" s="3">
        <f t="shared" si="120"/>
        <v>1</v>
      </c>
      <c r="I130" s="3">
        <f t="shared" si="120"/>
        <v>1</v>
      </c>
      <c r="J130" s="3">
        <f t="shared" si="120"/>
        <v>1</v>
      </c>
      <c r="K130" s="3">
        <f t="shared" si="120"/>
        <v>1</v>
      </c>
      <c r="L130" s="3">
        <f t="shared" si="120"/>
        <v>1</v>
      </c>
      <c r="M130" s="3" t="e">
        <f t="shared" si="120"/>
        <v>#REF!</v>
      </c>
      <c r="N130" s="3">
        <f t="shared" si="120"/>
        <v>1</v>
      </c>
      <c r="O130" s="3">
        <f t="shared" si="120"/>
        <v>1</v>
      </c>
      <c r="P130" s="3">
        <f t="shared" si="120"/>
        <v>1</v>
      </c>
      <c r="Q130" s="3">
        <f t="shared" si="120"/>
        <v>1</v>
      </c>
      <c r="R130" s="3">
        <f t="shared" si="120"/>
        <v>1</v>
      </c>
      <c r="S130" s="3">
        <f t="shared" si="120"/>
        <v>1</v>
      </c>
      <c r="T130" s="3">
        <f t="shared" si="120"/>
        <v>1</v>
      </c>
      <c r="U130" s="3">
        <f t="shared" si="120"/>
        <v>1</v>
      </c>
      <c r="V130" s="3">
        <f t="shared" si="120"/>
        <v>1</v>
      </c>
      <c r="W130" s="3">
        <f t="shared" si="120"/>
        <v>1</v>
      </c>
    </row>
    <row r="131" customHeight="1" spans="1:23">
      <c r="A131" s="2">
        <v>118</v>
      </c>
      <c r="B131" s="3">
        <f t="shared" ref="B131:W131" si="121">MIN(1,IF($A131&lt;B$4+B$3,0,IF(B$2=0,1,IF(B$5=0,($A131-B$4)/B$2,IF(MOD($A131-B$4,B$5)=0,($A131-B$4)/B$2,QUOTIENT($A131-B$4,B$5)*B$5/B$2)))))</f>
        <v>1</v>
      </c>
      <c r="C131" s="3">
        <f t="shared" si="121"/>
        <v>1</v>
      </c>
      <c r="D131" s="3">
        <f t="shared" si="121"/>
        <v>1</v>
      </c>
      <c r="E131" s="3" t="e">
        <f t="shared" si="121"/>
        <v>#REF!</v>
      </c>
      <c r="F131" s="3">
        <f t="shared" si="121"/>
        <v>1</v>
      </c>
      <c r="G131" s="3">
        <f t="shared" si="121"/>
        <v>1</v>
      </c>
      <c r="H131" s="3">
        <f t="shared" si="121"/>
        <v>1</v>
      </c>
      <c r="I131" s="3">
        <f t="shared" si="121"/>
        <v>1</v>
      </c>
      <c r="J131" s="3">
        <f t="shared" si="121"/>
        <v>1</v>
      </c>
      <c r="K131" s="3">
        <f t="shared" si="121"/>
        <v>1</v>
      </c>
      <c r="L131" s="3">
        <f t="shared" si="121"/>
        <v>1</v>
      </c>
      <c r="M131" s="3" t="e">
        <f t="shared" si="121"/>
        <v>#REF!</v>
      </c>
      <c r="N131" s="3">
        <f t="shared" si="121"/>
        <v>1</v>
      </c>
      <c r="O131" s="3">
        <f t="shared" si="121"/>
        <v>1</v>
      </c>
      <c r="P131" s="3">
        <f t="shared" si="121"/>
        <v>1</v>
      </c>
      <c r="Q131" s="3">
        <f t="shared" si="121"/>
        <v>1</v>
      </c>
      <c r="R131" s="3">
        <f t="shared" si="121"/>
        <v>1</v>
      </c>
      <c r="S131" s="3">
        <f t="shared" si="121"/>
        <v>1</v>
      </c>
      <c r="T131" s="3">
        <f t="shared" si="121"/>
        <v>1</v>
      </c>
      <c r="U131" s="3">
        <f t="shared" si="121"/>
        <v>1</v>
      </c>
      <c r="V131" s="3">
        <f t="shared" si="121"/>
        <v>1</v>
      </c>
      <c r="W131" s="3">
        <f t="shared" si="121"/>
        <v>1</v>
      </c>
    </row>
    <row r="132" customHeight="1" spans="1:23">
      <c r="A132" s="2">
        <v>119</v>
      </c>
      <c r="B132" s="3">
        <f t="shared" ref="B132:W132" si="122">MIN(1,IF($A132&lt;B$4+B$3,0,IF(B$2=0,1,IF(B$5=0,($A132-B$4)/B$2,IF(MOD($A132-B$4,B$5)=0,($A132-B$4)/B$2,QUOTIENT($A132-B$4,B$5)*B$5/B$2)))))</f>
        <v>1</v>
      </c>
      <c r="C132" s="3">
        <f t="shared" si="122"/>
        <v>1</v>
      </c>
      <c r="D132" s="3">
        <f t="shared" si="122"/>
        <v>1</v>
      </c>
      <c r="E132" s="3" t="e">
        <f t="shared" si="122"/>
        <v>#REF!</v>
      </c>
      <c r="F132" s="3">
        <f t="shared" si="122"/>
        <v>1</v>
      </c>
      <c r="G132" s="3">
        <f t="shared" si="122"/>
        <v>1</v>
      </c>
      <c r="H132" s="3">
        <f t="shared" si="122"/>
        <v>1</v>
      </c>
      <c r="I132" s="3">
        <f t="shared" si="122"/>
        <v>1</v>
      </c>
      <c r="J132" s="3">
        <f t="shared" si="122"/>
        <v>1</v>
      </c>
      <c r="K132" s="3">
        <f t="shared" si="122"/>
        <v>1</v>
      </c>
      <c r="L132" s="3">
        <f t="shared" si="122"/>
        <v>1</v>
      </c>
      <c r="M132" s="3" t="e">
        <f t="shared" si="122"/>
        <v>#REF!</v>
      </c>
      <c r="N132" s="3">
        <f t="shared" si="122"/>
        <v>1</v>
      </c>
      <c r="O132" s="3">
        <f t="shared" si="122"/>
        <v>1</v>
      </c>
      <c r="P132" s="3">
        <f t="shared" si="122"/>
        <v>1</v>
      </c>
      <c r="Q132" s="3">
        <f t="shared" si="122"/>
        <v>1</v>
      </c>
      <c r="R132" s="3">
        <f t="shared" si="122"/>
        <v>1</v>
      </c>
      <c r="S132" s="3">
        <f t="shared" si="122"/>
        <v>1</v>
      </c>
      <c r="T132" s="3">
        <f t="shared" si="122"/>
        <v>1</v>
      </c>
      <c r="U132" s="3">
        <f t="shared" si="122"/>
        <v>1</v>
      </c>
      <c r="V132" s="3">
        <f t="shared" si="122"/>
        <v>1</v>
      </c>
      <c r="W132" s="3">
        <f t="shared" si="122"/>
        <v>1</v>
      </c>
    </row>
    <row r="133" customHeight="1" spans="1:23">
      <c r="A133" s="2">
        <v>120</v>
      </c>
      <c r="B133" s="3">
        <f t="shared" ref="B133:W133" si="123">MIN(1,IF($A133&lt;B$4+B$3,0,IF(B$2=0,1,IF(B$5=0,($A133-B$4)/B$2,IF(MOD($A133-B$4,B$5)=0,($A133-B$4)/B$2,QUOTIENT($A133-B$4,B$5)*B$5/B$2)))))</f>
        <v>1</v>
      </c>
      <c r="C133" s="3">
        <f t="shared" si="123"/>
        <v>1</v>
      </c>
      <c r="D133" s="3">
        <f t="shared" si="123"/>
        <v>1</v>
      </c>
      <c r="E133" s="3" t="e">
        <f t="shared" si="123"/>
        <v>#REF!</v>
      </c>
      <c r="F133" s="3">
        <f t="shared" si="123"/>
        <v>1</v>
      </c>
      <c r="G133" s="3">
        <f t="shared" si="123"/>
        <v>1</v>
      </c>
      <c r="H133" s="3">
        <f t="shared" si="123"/>
        <v>1</v>
      </c>
      <c r="I133" s="3">
        <f t="shared" si="123"/>
        <v>1</v>
      </c>
      <c r="J133" s="3">
        <f t="shared" si="123"/>
        <v>1</v>
      </c>
      <c r="K133" s="3">
        <f t="shared" si="123"/>
        <v>1</v>
      </c>
      <c r="L133" s="3">
        <f t="shared" si="123"/>
        <v>1</v>
      </c>
      <c r="M133" s="3" t="e">
        <f t="shared" si="123"/>
        <v>#REF!</v>
      </c>
      <c r="N133" s="3">
        <f t="shared" si="123"/>
        <v>1</v>
      </c>
      <c r="O133" s="3">
        <f t="shared" si="123"/>
        <v>1</v>
      </c>
      <c r="P133" s="3">
        <f t="shared" si="123"/>
        <v>1</v>
      </c>
      <c r="Q133" s="3">
        <f t="shared" si="123"/>
        <v>1</v>
      </c>
      <c r="R133" s="3">
        <f t="shared" si="123"/>
        <v>1</v>
      </c>
      <c r="S133" s="3">
        <f t="shared" si="123"/>
        <v>1</v>
      </c>
      <c r="T133" s="3">
        <f t="shared" si="123"/>
        <v>1</v>
      </c>
      <c r="U133" s="3">
        <f t="shared" si="123"/>
        <v>1</v>
      </c>
      <c r="V133" s="3">
        <f t="shared" si="123"/>
        <v>1</v>
      </c>
      <c r="W133" s="3">
        <f t="shared" si="123"/>
        <v>1</v>
      </c>
    </row>
    <row r="134" customHeight="1" spans="1:23">
      <c r="A134" s="2">
        <v>121</v>
      </c>
      <c r="B134" s="3">
        <f t="shared" ref="B134:W134" si="124">MIN(1,IF($A134&lt;B$4+B$3,0,IF(B$2=0,1,IF(B$5=0,($A134-B$4)/B$2,IF(MOD($A134-B$4,B$5)=0,($A134-B$4)/B$2,QUOTIENT($A134-B$4,B$5)*B$5/B$2)))))</f>
        <v>1</v>
      </c>
      <c r="C134" s="3">
        <f t="shared" si="124"/>
        <v>1</v>
      </c>
      <c r="D134" s="3">
        <f t="shared" si="124"/>
        <v>1</v>
      </c>
      <c r="E134" s="3" t="e">
        <f t="shared" si="124"/>
        <v>#REF!</v>
      </c>
      <c r="F134" s="3">
        <f t="shared" si="124"/>
        <v>1</v>
      </c>
      <c r="G134" s="3">
        <f t="shared" si="124"/>
        <v>1</v>
      </c>
      <c r="H134" s="3">
        <f t="shared" si="124"/>
        <v>1</v>
      </c>
      <c r="I134" s="3">
        <f t="shared" si="124"/>
        <v>1</v>
      </c>
      <c r="J134" s="3">
        <f t="shared" si="124"/>
        <v>1</v>
      </c>
      <c r="K134" s="3">
        <f t="shared" si="124"/>
        <v>1</v>
      </c>
      <c r="L134" s="3">
        <f t="shared" si="124"/>
        <v>1</v>
      </c>
      <c r="M134" s="3" t="e">
        <f t="shared" si="124"/>
        <v>#REF!</v>
      </c>
      <c r="N134" s="3">
        <f t="shared" si="124"/>
        <v>1</v>
      </c>
      <c r="O134" s="3">
        <f t="shared" si="124"/>
        <v>1</v>
      </c>
      <c r="P134" s="3">
        <f t="shared" si="124"/>
        <v>1</v>
      </c>
      <c r="Q134" s="3">
        <f t="shared" si="124"/>
        <v>1</v>
      </c>
      <c r="R134" s="3">
        <f t="shared" si="124"/>
        <v>1</v>
      </c>
      <c r="S134" s="3">
        <f t="shared" si="124"/>
        <v>1</v>
      </c>
      <c r="T134" s="3">
        <f t="shared" si="124"/>
        <v>1</v>
      </c>
      <c r="U134" s="3">
        <f t="shared" si="124"/>
        <v>1</v>
      </c>
      <c r="V134" s="3">
        <f t="shared" si="124"/>
        <v>1</v>
      </c>
      <c r="W134" s="3">
        <f t="shared" si="124"/>
        <v>1</v>
      </c>
    </row>
    <row r="135" customHeight="1" spans="1:23">
      <c r="A135" s="2">
        <v>122</v>
      </c>
      <c r="B135" s="3">
        <f t="shared" ref="B135:W135" si="125">MIN(1,IF($A135&lt;B$4+B$3,0,IF(B$2=0,1,IF(B$5=0,($A135-B$4)/B$2,IF(MOD($A135-B$4,B$5)=0,($A135-B$4)/B$2,QUOTIENT($A135-B$4,B$5)*B$5/B$2)))))</f>
        <v>1</v>
      </c>
      <c r="C135" s="3">
        <f t="shared" si="125"/>
        <v>1</v>
      </c>
      <c r="D135" s="3">
        <f t="shared" si="125"/>
        <v>1</v>
      </c>
      <c r="E135" s="3" t="e">
        <f t="shared" si="125"/>
        <v>#REF!</v>
      </c>
      <c r="F135" s="3">
        <f t="shared" si="125"/>
        <v>1</v>
      </c>
      <c r="G135" s="3">
        <f t="shared" si="125"/>
        <v>1</v>
      </c>
      <c r="H135" s="3">
        <f t="shared" si="125"/>
        <v>1</v>
      </c>
      <c r="I135" s="3">
        <f t="shared" si="125"/>
        <v>1</v>
      </c>
      <c r="J135" s="3">
        <f t="shared" si="125"/>
        <v>1</v>
      </c>
      <c r="K135" s="3">
        <f t="shared" si="125"/>
        <v>1</v>
      </c>
      <c r="L135" s="3">
        <f t="shared" si="125"/>
        <v>1</v>
      </c>
      <c r="M135" s="3" t="e">
        <f t="shared" si="125"/>
        <v>#REF!</v>
      </c>
      <c r="N135" s="3">
        <f t="shared" si="125"/>
        <v>1</v>
      </c>
      <c r="O135" s="3">
        <f t="shared" si="125"/>
        <v>1</v>
      </c>
      <c r="P135" s="3">
        <f t="shared" si="125"/>
        <v>1</v>
      </c>
      <c r="Q135" s="3">
        <f t="shared" si="125"/>
        <v>1</v>
      </c>
      <c r="R135" s="3">
        <f t="shared" si="125"/>
        <v>1</v>
      </c>
      <c r="S135" s="3">
        <f t="shared" si="125"/>
        <v>1</v>
      </c>
      <c r="T135" s="3">
        <f t="shared" si="125"/>
        <v>1</v>
      </c>
      <c r="U135" s="3">
        <f t="shared" si="125"/>
        <v>1</v>
      </c>
      <c r="V135" s="3">
        <f t="shared" si="125"/>
        <v>1</v>
      </c>
      <c r="W135" s="3">
        <f t="shared" si="125"/>
        <v>1</v>
      </c>
    </row>
    <row r="136" customHeight="1" spans="1:23">
      <c r="A136" s="2">
        <v>123</v>
      </c>
      <c r="B136" s="3">
        <f t="shared" ref="B136:W136" si="126">MIN(1,IF($A136&lt;B$4+B$3,0,IF(B$2=0,1,IF(B$5=0,($A136-B$4)/B$2,IF(MOD($A136-B$4,B$5)=0,($A136-B$4)/B$2,QUOTIENT($A136-B$4,B$5)*B$5/B$2)))))</f>
        <v>1</v>
      </c>
      <c r="C136" s="3">
        <f t="shared" si="126"/>
        <v>1</v>
      </c>
      <c r="D136" s="3">
        <f t="shared" si="126"/>
        <v>1</v>
      </c>
      <c r="E136" s="3" t="e">
        <f t="shared" si="126"/>
        <v>#REF!</v>
      </c>
      <c r="F136" s="3">
        <f t="shared" si="126"/>
        <v>1</v>
      </c>
      <c r="G136" s="3">
        <f t="shared" si="126"/>
        <v>1</v>
      </c>
      <c r="H136" s="3">
        <f t="shared" si="126"/>
        <v>1</v>
      </c>
      <c r="I136" s="3">
        <f t="shared" si="126"/>
        <v>1</v>
      </c>
      <c r="J136" s="3">
        <f t="shared" si="126"/>
        <v>1</v>
      </c>
      <c r="K136" s="3">
        <f t="shared" si="126"/>
        <v>1</v>
      </c>
      <c r="L136" s="3">
        <f t="shared" si="126"/>
        <v>1</v>
      </c>
      <c r="M136" s="3" t="e">
        <f t="shared" si="126"/>
        <v>#REF!</v>
      </c>
      <c r="N136" s="3">
        <f t="shared" si="126"/>
        <v>1</v>
      </c>
      <c r="O136" s="3">
        <f t="shared" si="126"/>
        <v>1</v>
      </c>
      <c r="P136" s="3">
        <f t="shared" si="126"/>
        <v>1</v>
      </c>
      <c r="Q136" s="3">
        <f t="shared" si="126"/>
        <v>1</v>
      </c>
      <c r="R136" s="3">
        <f t="shared" si="126"/>
        <v>1</v>
      </c>
      <c r="S136" s="3">
        <f t="shared" si="126"/>
        <v>1</v>
      </c>
      <c r="T136" s="3">
        <f t="shared" si="126"/>
        <v>1</v>
      </c>
      <c r="U136" s="3">
        <f t="shared" si="126"/>
        <v>1</v>
      </c>
      <c r="V136" s="3">
        <f t="shared" si="126"/>
        <v>1</v>
      </c>
      <c r="W136" s="3">
        <f t="shared" si="126"/>
        <v>1</v>
      </c>
    </row>
    <row r="137" customHeight="1" spans="1:23">
      <c r="A137" s="2">
        <v>124</v>
      </c>
      <c r="B137" s="3">
        <f t="shared" ref="B137:W137" si="127">MIN(1,IF($A137&lt;B$4+B$3,0,IF(B$2=0,1,IF(B$5=0,($A137-B$4)/B$2,IF(MOD($A137-B$4,B$5)=0,($A137-B$4)/B$2,QUOTIENT($A137-B$4,B$5)*B$5/B$2)))))</f>
        <v>1</v>
      </c>
      <c r="C137" s="3">
        <f t="shared" si="127"/>
        <v>1</v>
      </c>
      <c r="D137" s="3">
        <f t="shared" si="127"/>
        <v>1</v>
      </c>
      <c r="E137" s="3" t="e">
        <f t="shared" si="127"/>
        <v>#REF!</v>
      </c>
      <c r="F137" s="3">
        <f t="shared" si="127"/>
        <v>1</v>
      </c>
      <c r="G137" s="3">
        <f t="shared" si="127"/>
        <v>1</v>
      </c>
      <c r="H137" s="3">
        <f t="shared" si="127"/>
        <v>1</v>
      </c>
      <c r="I137" s="3">
        <f t="shared" si="127"/>
        <v>1</v>
      </c>
      <c r="J137" s="3">
        <f t="shared" si="127"/>
        <v>1</v>
      </c>
      <c r="K137" s="3">
        <f t="shared" si="127"/>
        <v>1</v>
      </c>
      <c r="L137" s="3">
        <f t="shared" si="127"/>
        <v>1</v>
      </c>
      <c r="M137" s="3" t="e">
        <f t="shared" si="127"/>
        <v>#REF!</v>
      </c>
      <c r="N137" s="3">
        <f t="shared" si="127"/>
        <v>1</v>
      </c>
      <c r="O137" s="3">
        <f t="shared" si="127"/>
        <v>1</v>
      </c>
      <c r="P137" s="3">
        <f t="shared" si="127"/>
        <v>1</v>
      </c>
      <c r="Q137" s="3">
        <f t="shared" si="127"/>
        <v>1</v>
      </c>
      <c r="R137" s="3">
        <f t="shared" si="127"/>
        <v>1</v>
      </c>
      <c r="S137" s="3">
        <f t="shared" si="127"/>
        <v>1</v>
      </c>
      <c r="T137" s="3">
        <f t="shared" si="127"/>
        <v>1</v>
      </c>
      <c r="U137" s="3">
        <f t="shared" si="127"/>
        <v>1</v>
      </c>
      <c r="V137" s="3">
        <f t="shared" si="127"/>
        <v>1</v>
      </c>
      <c r="W137" s="3">
        <f t="shared" si="127"/>
        <v>1</v>
      </c>
    </row>
    <row r="138" customHeight="1" spans="1:23">
      <c r="A138" s="2">
        <v>125</v>
      </c>
      <c r="B138" s="3">
        <f t="shared" ref="B138:W138" si="128">MIN(1,IF($A138&lt;B$4+B$3,0,IF(B$2=0,1,IF(B$5=0,($A138-B$4)/B$2,IF(MOD($A138-B$4,B$5)=0,($A138-B$4)/B$2,QUOTIENT($A138-B$4,B$5)*B$5/B$2)))))</f>
        <v>1</v>
      </c>
      <c r="C138" s="3">
        <f t="shared" si="128"/>
        <v>1</v>
      </c>
      <c r="D138" s="3">
        <f t="shared" si="128"/>
        <v>1</v>
      </c>
      <c r="E138" s="3" t="e">
        <f t="shared" si="128"/>
        <v>#REF!</v>
      </c>
      <c r="F138" s="3">
        <f t="shared" si="128"/>
        <v>1</v>
      </c>
      <c r="G138" s="3">
        <f t="shared" si="128"/>
        <v>1</v>
      </c>
      <c r="H138" s="3">
        <f t="shared" si="128"/>
        <v>1</v>
      </c>
      <c r="I138" s="3">
        <f t="shared" si="128"/>
        <v>1</v>
      </c>
      <c r="J138" s="3">
        <f t="shared" si="128"/>
        <v>1</v>
      </c>
      <c r="K138" s="3">
        <f t="shared" si="128"/>
        <v>1</v>
      </c>
      <c r="L138" s="3">
        <f t="shared" si="128"/>
        <v>1</v>
      </c>
      <c r="M138" s="3" t="e">
        <f t="shared" si="128"/>
        <v>#REF!</v>
      </c>
      <c r="N138" s="3">
        <f t="shared" si="128"/>
        <v>1</v>
      </c>
      <c r="O138" s="3">
        <f t="shared" si="128"/>
        <v>1</v>
      </c>
      <c r="P138" s="3">
        <f t="shared" si="128"/>
        <v>1</v>
      </c>
      <c r="Q138" s="3">
        <f t="shared" si="128"/>
        <v>1</v>
      </c>
      <c r="R138" s="3">
        <f t="shared" si="128"/>
        <v>1</v>
      </c>
      <c r="S138" s="3">
        <f t="shared" si="128"/>
        <v>1</v>
      </c>
      <c r="T138" s="3">
        <f t="shared" si="128"/>
        <v>1</v>
      </c>
      <c r="U138" s="3">
        <f t="shared" si="128"/>
        <v>1</v>
      </c>
      <c r="V138" s="3">
        <f t="shared" si="128"/>
        <v>1</v>
      </c>
      <c r="W138" s="3">
        <f t="shared" si="128"/>
        <v>1</v>
      </c>
    </row>
    <row r="139" customHeight="1" spans="1:23">
      <c r="A139" s="2">
        <v>126</v>
      </c>
      <c r="B139" s="3">
        <f t="shared" ref="B139:W139" si="129">MIN(1,IF($A139&lt;B$4+B$3,0,IF(B$2=0,1,IF(B$5=0,($A139-B$4)/B$2,IF(MOD($A139-B$4,B$5)=0,($A139-B$4)/B$2,QUOTIENT($A139-B$4,B$5)*B$5/B$2)))))</f>
        <v>1</v>
      </c>
      <c r="C139" s="3">
        <f t="shared" si="129"/>
        <v>1</v>
      </c>
      <c r="D139" s="3">
        <f t="shared" si="129"/>
        <v>1</v>
      </c>
      <c r="E139" s="3" t="e">
        <f t="shared" si="129"/>
        <v>#REF!</v>
      </c>
      <c r="F139" s="3">
        <f t="shared" si="129"/>
        <v>1</v>
      </c>
      <c r="G139" s="3">
        <f t="shared" si="129"/>
        <v>1</v>
      </c>
      <c r="H139" s="3">
        <f t="shared" si="129"/>
        <v>1</v>
      </c>
      <c r="I139" s="3">
        <f t="shared" si="129"/>
        <v>1</v>
      </c>
      <c r="J139" s="3">
        <f t="shared" si="129"/>
        <v>1</v>
      </c>
      <c r="K139" s="3">
        <f t="shared" si="129"/>
        <v>1</v>
      </c>
      <c r="L139" s="3">
        <f t="shared" si="129"/>
        <v>1</v>
      </c>
      <c r="M139" s="3" t="e">
        <f t="shared" si="129"/>
        <v>#REF!</v>
      </c>
      <c r="N139" s="3">
        <f t="shared" si="129"/>
        <v>1</v>
      </c>
      <c r="O139" s="3">
        <f t="shared" si="129"/>
        <v>1</v>
      </c>
      <c r="P139" s="3">
        <f t="shared" si="129"/>
        <v>1</v>
      </c>
      <c r="Q139" s="3">
        <f t="shared" si="129"/>
        <v>1</v>
      </c>
      <c r="R139" s="3">
        <f t="shared" si="129"/>
        <v>1</v>
      </c>
      <c r="S139" s="3">
        <f t="shared" si="129"/>
        <v>1</v>
      </c>
      <c r="T139" s="3">
        <f t="shared" si="129"/>
        <v>1</v>
      </c>
      <c r="U139" s="3">
        <f t="shared" si="129"/>
        <v>1</v>
      </c>
      <c r="V139" s="3">
        <f t="shared" si="129"/>
        <v>1</v>
      </c>
      <c r="W139" s="3">
        <f t="shared" si="129"/>
        <v>1</v>
      </c>
    </row>
    <row r="140" customHeight="1" spans="1:23">
      <c r="A140" s="2">
        <v>127</v>
      </c>
      <c r="B140" s="3">
        <f t="shared" ref="B140:W140" si="130">MIN(1,IF($A140&lt;B$4+B$3,0,IF(B$2=0,1,IF(B$5=0,($A140-B$4)/B$2,IF(MOD($A140-B$4,B$5)=0,($A140-B$4)/B$2,QUOTIENT($A140-B$4,B$5)*B$5/B$2)))))</f>
        <v>1</v>
      </c>
      <c r="C140" s="3">
        <f t="shared" si="130"/>
        <v>1</v>
      </c>
      <c r="D140" s="3">
        <f t="shared" si="130"/>
        <v>1</v>
      </c>
      <c r="E140" s="3" t="e">
        <f t="shared" si="130"/>
        <v>#REF!</v>
      </c>
      <c r="F140" s="3">
        <f t="shared" si="130"/>
        <v>1</v>
      </c>
      <c r="G140" s="3">
        <f t="shared" si="130"/>
        <v>1</v>
      </c>
      <c r="H140" s="3">
        <f t="shared" si="130"/>
        <v>1</v>
      </c>
      <c r="I140" s="3">
        <f t="shared" si="130"/>
        <v>1</v>
      </c>
      <c r="J140" s="3">
        <f t="shared" si="130"/>
        <v>1</v>
      </c>
      <c r="K140" s="3">
        <f t="shared" si="130"/>
        <v>1</v>
      </c>
      <c r="L140" s="3">
        <f t="shared" si="130"/>
        <v>1</v>
      </c>
      <c r="M140" s="3" t="e">
        <f t="shared" si="130"/>
        <v>#REF!</v>
      </c>
      <c r="N140" s="3">
        <f t="shared" si="130"/>
        <v>1</v>
      </c>
      <c r="O140" s="3">
        <f t="shared" si="130"/>
        <v>1</v>
      </c>
      <c r="P140" s="3">
        <f t="shared" si="130"/>
        <v>1</v>
      </c>
      <c r="Q140" s="3">
        <f t="shared" si="130"/>
        <v>1</v>
      </c>
      <c r="R140" s="3">
        <f t="shared" si="130"/>
        <v>1</v>
      </c>
      <c r="S140" s="3">
        <f t="shared" si="130"/>
        <v>1</v>
      </c>
      <c r="T140" s="3">
        <f t="shared" si="130"/>
        <v>1</v>
      </c>
      <c r="U140" s="3">
        <f t="shared" si="130"/>
        <v>1</v>
      </c>
      <c r="V140" s="3">
        <f t="shared" si="130"/>
        <v>1</v>
      </c>
      <c r="W140" s="3">
        <f t="shared" si="130"/>
        <v>1</v>
      </c>
    </row>
    <row r="141" customHeight="1" spans="1:23">
      <c r="A141" s="2">
        <v>128</v>
      </c>
      <c r="B141" s="3">
        <f t="shared" ref="B141:W141" si="131">MIN(1,IF($A141&lt;B$4+B$3,0,IF(B$2=0,1,IF(B$5=0,($A141-B$4)/B$2,IF(MOD($A141-B$4,B$5)=0,($A141-B$4)/B$2,QUOTIENT($A141-B$4,B$5)*B$5/B$2)))))</f>
        <v>1</v>
      </c>
      <c r="C141" s="3">
        <f t="shared" si="131"/>
        <v>1</v>
      </c>
      <c r="D141" s="3">
        <f t="shared" si="131"/>
        <v>1</v>
      </c>
      <c r="E141" s="3" t="e">
        <f t="shared" si="131"/>
        <v>#REF!</v>
      </c>
      <c r="F141" s="3">
        <f t="shared" si="131"/>
        <v>1</v>
      </c>
      <c r="G141" s="3">
        <f t="shared" si="131"/>
        <v>1</v>
      </c>
      <c r="H141" s="3">
        <f t="shared" si="131"/>
        <v>1</v>
      </c>
      <c r="I141" s="3">
        <f t="shared" si="131"/>
        <v>1</v>
      </c>
      <c r="J141" s="3">
        <f t="shared" si="131"/>
        <v>1</v>
      </c>
      <c r="K141" s="3">
        <f t="shared" si="131"/>
        <v>1</v>
      </c>
      <c r="L141" s="3">
        <f t="shared" si="131"/>
        <v>1</v>
      </c>
      <c r="M141" s="3" t="e">
        <f t="shared" si="131"/>
        <v>#REF!</v>
      </c>
      <c r="N141" s="3">
        <f t="shared" si="131"/>
        <v>1</v>
      </c>
      <c r="O141" s="3">
        <f t="shared" si="131"/>
        <v>1</v>
      </c>
      <c r="P141" s="3">
        <f t="shared" si="131"/>
        <v>1</v>
      </c>
      <c r="Q141" s="3">
        <f t="shared" si="131"/>
        <v>1</v>
      </c>
      <c r="R141" s="3">
        <f t="shared" si="131"/>
        <v>1</v>
      </c>
      <c r="S141" s="3">
        <f t="shared" si="131"/>
        <v>1</v>
      </c>
      <c r="T141" s="3">
        <f t="shared" si="131"/>
        <v>1</v>
      </c>
      <c r="U141" s="3">
        <f t="shared" si="131"/>
        <v>1</v>
      </c>
      <c r="V141" s="3">
        <f t="shared" si="131"/>
        <v>1</v>
      </c>
      <c r="W141" s="3">
        <f t="shared" si="131"/>
        <v>1</v>
      </c>
    </row>
    <row r="142" customHeight="1" spans="1:23">
      <c r="A142" s="2">
        <v>129</v>
      </c>
      <c r="B142" s="3">
        <f t="shared" ref="B142:W142" si="132">MIN(1,IF($A142&lt;B$4+B$3,0,IF(B$2=0,1,IF(B$5=0,($A142-B$4)/B$2,IF(MOD($A142-B$4,B$5)=0,($A142-B$4)/B$2,QUOTIENT($A142-B$4,B$5)*B$5/B$2)))))</f>
        <v>1</v>
      </c>
      <c r="C142" s="3">
        <f t="shared" si="132"/>
        <v>1</v>
      </c>
      <c r="D142" s="3">
        <f t="shared" si="132"/>
        <v>1</v>
      </c>
      <c r="E142" s="3" t="e">
        <f t="shared" si="132"/>
        <v>#REF!</v>
      </c>
      <c r="F142" s="3">
        <f t="shared" si="132"/>
        <v>1</v>
      </c>
      <c r="G142" s="3">
        <f t="shared" si="132"/>
        <v>1</v>
      </c>
      <c r="H142" s="3">
        <f t="shared" si="132"/>
        <v>1</v>
      </c>
      <c r="I142" s="3">
        <f t="shared" si="132"/>
        <v>1</v>
      </c>
      <c r="J142" s="3">
        <f t="shared" si="132"/>
        <v>1</v>
      </c>
      <c r="K142" s="3">
        <f t="shared" si="132"/>
        <v>1</v>
      </c>
      <c r="L142" s="3">
        <f t="shared" si="132"/>
        <v>1</v>
      </c>
      <c r="M142" s="3" t="e">
        <f t="shared" si="132"/>
        <v>#REF!</v>
      </c>
      <c r="N142" s="3">
        <f t="shared" si="132"/>
        <v>1</v>
      </c>
      <c r="O142" s="3">
        <f t="shared" si="132"/>
        <v>1</v>
      </c>
      <c r="P142" s="3">
        <f t="shared" si="132"/>
        <v>1</v>
      </c>
      <c r="Q142" s="3">
        <f t="shared" si="132"/>
        <v>1</v>
      </c>
      <c r="R142" s="3">
        <f t="shared" si="132"/>
        <v>1</v>
      </c>
      <c r="S142" s="3">
        <f t="shared" si="132"/>
        <v>1</v>
      </c>
      <c r="T142" s="3">
        <f t="shared" si="132"/>
        <v>1</v>
      </c>
      <c r="U142" s="3">
        <f t="shared" si="132"/>
        <v>1</v>
      </c>
      <c r="V142" s="3">
        <f t="shared" si="132"/>
        <v>1</v>
      </c>
      <c r="W142" s="3">
        <f t="shared" si="132"/>
        <v>1</v>
      </c>
    </row>
    <row r="143" customHeight="1" spans="1:23">
      <c r="A143" s="2">
        <v>130</v>
      </c>
      <c r="B143" s="3">
        <f t="shared" ref="B143:W143" si="133">MIN(1,IF($A143&lt;B$4+B$3,0,IF(B$2=0,1,IF(B$5=0,($A143-B$4)/B$2,IF(MOD($A143-B$4,B$5)=0,($A143-B$4)/B$2,QUOTIENT($A143-B$4,B$5)*B$5/B$2)))))</f>
        <v>1</v>
      </c>
      <c r="C143" s="3">
        <f t="shared" si="133"/>
        <v>1</v>
      </c>
      <c r="D143" s="3">
        <f t="shared" si="133"/>
        <v>1</v>
      </c>
      <c r="E143" s="3" t="e">
        <f t="shared" si="133"/>
        <v>#REF!</v>
      </c>
      <c r="F143" s="3">
        <f t="shared" si="133"/>
        <v>1</v>
      </c>
      <c r="G143" s="3">
        <f t="shared" si="133"/>
        <v>1</v>
      </c>
      <c r="H143" s="3">
        <f t="shared" si="133"/>
        <v>1</v>
      </c>
      <c r="I143" s="3">
        <f t="shared" si="133"/>
        <v>1</v>
      </c>
      <c r="J143" s="3">
        <f t="shared" si="133"/>
        <v>1</v>
      </c>
      <c r="K143" s="3">
        <f t="shared" si="133"/>
        <v>1</v>
      </c>
      <c r="L143" s="3">
        <f t="shared" si="133"/>
        <v>1</v>
      </c>
      <c r="M143" s="3" t="e">
        <f t="shared" si="133"/>
        <v>#REF!</v>
      </c>
      <c r="N143" s="3">
        <f t="shared" si="133"/>
        <v>1</v>
      </c>
      <c r="O143" s="3">
        <f t="shared" si="133"/>
        <v>1</v>
      </c>
      <c r="P143" s="3">
        <f t="shared" si="133"/>
        <v>1</v>
      </c>
      <c r="Q143" s="3">
        <f t="shared" si="133"/>
        <v>1</v>
      </c>
      <c r="R143" s="3">
        <f t="shared" si="133"/>
        <v>1</v>
      </c>
      <c r="S143" s="3">
        <f t="shared" si="133"/>
        <v>1</v>
      </c>
      <c r="T143" s="3">
        <f t="shared" si="133"/>
        <v>1</v>
      </c>
      <c r="U143" s="3">
        <f t="shared" si="133"/>
        <v>1</v>
      </c>
      <c r="V143" s="3">
        <f t="shared" si="133"/>
        <v>1</v>
      </c>
      <c r="W143" s="3">
        <f t="shared" si="133"/>
        <v>1</v>
      </c>
    </row>
    <row r="144" customHeight="1" spans="1:23">
      <c r="A144" s="2">
        <v>131</v>
      </c>
      <c r="B144" s="3">
        <f t="shared" ref="B144:W144" si="134">MIN(1,IF($A144&lt;B$4+B$3,0,IF(B$2=0,1,IF(B$5=0,($A144-B$4)/B$2,IF(MOD($A144-B$4,B$5)=0,($A144-B$4)/B$2,QUOTIENT($A144-B$4,B$5)*B$5/B$2)))))</f>
        <v>1</v>
      </c>
      <c r="C144" s="3">
        <f t="shared" si="134"/>
        <v>1</v>
      </c>
      <c r="D144" s="3">
        <f t="shared" si="134"/>
        <v>1</v>
      </c>
      <c r="E144" s="3" t="e">
        <f t="shared" si="134"/>
        <v>#REF!</v>
      </c>
      <c r="F144" s="3">
        <f t="shared" si="134"/>
        <v>1</v>
      </c>
      <c r="G144" s="3">
        <f t="shared" si="134"/>
        <v>1</v>
      </c>
      <c r="H144" s="3">
        <f t="shared" si="134"/>
        <v>1</v>
      </c>
      <c r="I144" s="3">
        <f t="shared" si="134"/>
        <v>1</v>
      </c>
      <c r="J144" s="3">
        <f t="shared" si="134"/>
        <v>1</v>
      </c>
      <c r="K144" s="3">
        <f t="shared" si="134"/>
        <v>1</v>
      </c>
      <c r="L144" s="3">
        <f t="shared" si="134"/>
        <v>1</v>
      </c>
      <c r="M144" s="3" t="e">
        <f t="shared" si="134"/>
        <v>#REF!</v>
      </c>
      <c r="N144" s="3">
        <f t="shared" si="134"/>
        <v>1</v>
      </c>
      <c r="O144" s="3">
        <f t="shared" si="134"/>
        <v>1</v>
      </c>
      <c r="P144" s="3">
        <f t="shared" si="134"/>
        <v>1</v>
      </c>
      <c r="Q144" s="3">
        <f t="shared" si="134"/>
        <v>1</v>
      </c>
      <c r="R144" s="3">
        <f t="shared" si="134"/>
        <v>1</v>
      </c>
      <c r="S144" s="3">
        <f t="shared" si="134"/>
        <v>1</v>
      </c>
      <c r="T144" s="3">
        <f t="shared" si="134"/>
        <v>1</v>
      </c>
      <c r="U144" s="3">
        <f t="shared" si="134"/>
        <v>1</v>
      </c>
      <c r="V144" s="3">
        <f t="shared" si="134"/>
        <v>1</v>
      </c>
      <c r="W144" s="3">
        <f t="shared" si="134"/>
        <v>1</v>
      </c>
    </row>
    <row r="145" customHeight="1" spans="1:23">
      <c r="A145" s="2">
        <v>132</v>
      </c>
      <c r="B145" s="3">
        <f t="shared" ref="B145:W145" si="135">MIN(1,IF($A145&lt;B$4+B$3,0,IF(B$2=0,1,IF(B$5=0,($A145-B$4)/B$2,IF(MOD($A145-B$4,B$5)=0,($A145-B$4)/B$2,QUOTIENT($A145-B$4,B$5)*B$5/B$2)))))</f>
        <v>1</v>
      </c>
      <c r="C145" s="3">
        <f t="shared" si="135"/>
        <v>1</v>
      </c>
      <c r="D145" s="3">
        <f t="shared" si="135"/>
        <v>1</v>
      </c>
      <c r="E145" s="3" t="e">
        <f t="shared" si="135"/>
        <v>#REF!</v>
      </c>
      <c r="F145" s="3">
        <f t="shared" si="135"/>
        <v>1</v>
      </c>
      <c r="G145" s="3">
        <f t="shared" si="135"/>
        <v>1</v>
      </c>
      <c r="H145" s="3">
        <f t="shared" si="135"/>
        <v>1</v>
      </c>
      <c r="I145" s="3">
        <f t="shared" si="135"/>
        <v>1</v>
      </c>
      <c r="J145" s="3">
        <f t="shared" si="135"/>
        <v>1</v>
      </c>
      <c r="K145" s="3">
        <f t="shared" si="135"/>
        <v>1</v>
      </c>
      <c r="L145" s="3">
        <f t="shared" si="135"/>
        <v>1</v>
      </c>
      <c r="M145" s="3" t="e">
        <f t="shared" si="135"/>
        <v>#REF!</v>
      </c>
      <c r="N145" s="3">
        <f t="shared" si="135"/>
        <v>1</v>
      </c>
      <c r="O145" s="3">
        <f t="shared" si="135"/>
        <v>1</v>
      </c>
      <c r="P145" s="3">
        <f t="shared" si="135"/>
        <v>1</v>
      </c>
      <c r="Q145" s="3">
        <f t="shared" si="135"/>
        <v>1</v>
      </c>
      <c r="R145" s="3">
        <f t="shared" si="135"/>
        <v>1</v>
      </c>
      <c r="S145" s="3">
        <f t="shared" si="135"/>
        <v>1</v>
      </c>
      <c r="T145" s="3">
        <f t="shared" si="135"/>
        <v>1</v>
      </c>
      <c r="U145" s="3">
        <f t="shared" si="135"/>
        <v>1</v>
      </c>
      <c r="V145" s="3">
        <f t="shared" si="135"/>
        <v>1</v>
      </c>
      <c r="W145" s="3">
        <f t="shared" si="135"/>
        <v>1</v>
      </c>
    </row>
    <row r="146" customHeight="1" spans="1:23">
      <c r="A146" s="2">
        <v>133</v>
      </c>
      <c r="B146" s="3">
        <f t="shared" ref="B146:W146" si="136">MIN(1,IF($A146&lt;B$4+B$3,0,IF(B$2=0,1,IF(B$5=0,($A146-B$4)/B$2,IF(MOD($A146-B$4,B$5)=0,($A146-B$4)/B$2,QUOTIENT($A146-B$4,B$5)*B$5/B$2)))))</f>
        <v>1</v>
      </c>
      <c r="C146" s="3">
        <f t="shared" si="136"/>
        <v>1</v>
      </c>
      <c r="D146" s="3">
        <f t="shared" si="136"/>
        <v>1</v>
      </c>
      <c r="E146" s="3" t="e">
        <f t="shared" si="136"/>
        <v>#REF!</v>
      </c>
      <c r="F146" s="3">
        <f t="shared" si="136"/>
        <v>1</v>
      </c>
      <c r="G146" s="3">
        <f t="shared" si="136"/>
        <v>1</v>
      </c>
      <c r="H146" s="3">
        <f t="shared" si="136"/>
        <v>1</v>
      </c>
      <c r="I146" s="3">
        <f t="shared" si="136"/>
        <v>1</v>
      </c>
      <c r="J146" s="3">
        <f t="shared" si="136"/>
        <v>1</v>
      </c>
      <c r="K146" s="3">
        <f t="shared" si="136"/>
        <v>1</v>
      </c>
      <c r="L146" s="3">
        <f t="shared" si="136"/>
        <v>1</v>
      </c>
      <c r="M146" s="3" t="e">
        <f t="shared" si="136"/>
        <v>#REF!</v>
      </c>
      <c r="N146" s="3">
        <f t="shared" si="136"/>
        <v>1</v>
      </c>
      <c r="O146" s="3">
        <f t="shared" si="136"/>
        <v>1</v>
      </c>
      <c r="P146" s="3">
        <f t="shared" si="136"/>
        <v>1</v>
      </c>
      <c r="Q146" s="3">
        <f t="shared" si="136"/>
        <v>1</v>
      </c>
      <c r="R146" s="3">
        <f t="shared" si="136"/>
        <v>1</v>
      </c>
      <c r="S146" s="3">
        <f t="shared" si="136"/>
        <v>1</v>
      </c>
      <c r="T146" s="3">
        <f t="shared" si="136"/>
        <v>1</v>
      </c>
      <c r="U146" s="3">
        <f t="shared" si="136"/>
        <v>1</v>
      </c>
      <c r="V146" s="3">
        <f t="shared" si="136"/>
        <v>1</v>
      </c>
      <c r="W146" s="3">
        <f t="shared" si="136"/>
        <v>1</v>
      </c>
    </row>
    <row r="147" customHeight="1" spans="1:23">
      <c r="A147" s="2">
        <v>134</v>
      </c>
      <c r="B147" s="3">
        <f t="shared" ref="B147:W147" si="137">MIN(1,IF($A147&lt;B$4+B$3,0,IF(B$2=0,1,IF(B$5=0,($A147-B$4)/B$2,IF(MOD($A147-B$4,B$5)=0,($A147-B$4)/B$2,QUOTIENT($A147-B$4,B$5)*B$5/B$2)))))</f>
        <v>1</v>
      </c>
      <c r="C147" s="3">
        <f t="shared" si="137"/>
        <v>1</v>
      </c>
      <c r="D147" s="3">
        <f t="shared" si="137"/>
        <v>1</v>
      </c>
      <c r="E147" s="3" t="e">
        <f t="shared" si="137"/>
        <v>#REF!</v>
      </c>
      <c r="F147" s="3">
        <f t="shared" si="137"/>
        <v>1</v>
      </c>
      <c r="G147" s="3">
        <f t="shared" si="137"/>
        <v>1</v>
      </c>
      <c r="H147" s="3">
        <f t="shared" si="137"/>
        <v>1</v>
      </c>
      <c r="I147" s="3">
        <f t="shared" si="137"/>
        <v>1</v>
      </c>
      <c r="J147" s="3">
        <f t="shared" si="137"/>
        <v>1</v>
      </c>
      <c r="K147" s="3">
        <f t="shared" si="137"/>
        <v>1</v>
      </c>
      <c r="L147" s="3">
        <f t="shared" si="137"/>
        <v>1</v>
      </c>
      <c r="M147" s="3" t="e">
        <f t="shared" si="137"/>
        <v>#REF!</v>
      </c>
      <c r="N147" s="3">
        <f t="shared" si="137"/>
        <v>1</v>
      </c>
      <c r="O147" s="3">
        <f t="shared" si="137"/>
        <v>1</v>
      </c>
      <c r="P147" s="3">
        <f t="shared" si="137"/>
        <v>1</v>
      </c>
      <c r="Q147" s="3">
        <f t="shared" si="137"/>
        <v>1</v>
      </c>
      <c r="R147" s="3">
        <f t="shared" si="137"/>
        <v>1</v>
      </c>
      <c r="S147" s="3">
        <f t="shared" si="137"/>
        <v>1</v>
      </c>
      <c r="T147" s="3">
        <f t="shared" si="137"/>
        <v>1</v>
      </c>
      <c r="U147" s="3">
        <f t="shared" si="137"/>
        <v>1</v>
      </c>
      <c r="V147" s="3">
        <f t="shared" si="137"/>
        <v>1</v>
      </c>
      <c r="W147" s="3">
        <f t="shared" si="137"/>
        <v>1</v>
      </c>
    </row>
    <row r="148" customHeight="1" spans="1:23">
      <c r="A148" s="2">
        <v>135</v>
      </c>
      <c r="B148" s="3">
        <f t="shared" ref="B148:W148" si="138">MIN(1,IF($A148&lt;B$4+B$3,0,IF(B$2=0,1,IF(B$5=0,($A148-B$4)/B$2,IF(MOD($A148-B$4,B$5)=0,($A148-B$4)/B$2,QUOTIENT($A148-B$4,B$5)*B$5/B$2)))))</f>
        <v>1</v>
      </c>
      <c r="C148" s="3">
        <f t="shared" si="138"/>
        <v>1</v>
      </c>
      <c r="D148" s="3">
        <f t="shared" si="138"/>
        <v>1</v>
      </c>
      <c r="E148" s="3" t="e">
        <f t="shared" si="138"/>
        <v>#REF!</v>
      </c>
      <c r="F148" s="3">
        <f t="shared" si="138"/>
        <v>1</v>
      </c>
      <c r="G148" s="3">
        <f t="shared" si="138"/>
        <v>1</v>
      </c>
      <c r="H148" s="3">
        <f t="shared" si="138"/>
        <v>1</v>
      </c>
      <c r="I148" s="3">
        <f t="shared" si="138"/>
        <v>1</v>
      </c>
      <c r="J148" s="3">
        <f t="shared" si="138"/>
        <v>1</v>
      </c>
      <c r="K148" s="3">
        <f t="shared" si="138"/>
        <v>1</v>
      </c>
      <c r="L148" s="3">
        <f t="shared" si="138"/>
        <v>1</v>
      </c>
      <c r="M148" s="3" t="e">
        <f t="shared" si="138"/>
        <v>#REF!</v>
      </c>
      <c r="N148" s="3">
        <f t="shared" si="138"/>
        <v>1</v>
      </c>
      <c r="O148" s="3">
        <f t="shared" si="138"/>
        <v>1</v>
      </c>
      <c r="P148" s="3">
        <f t="shared" si="138"/>
        <v>1</v>
      </c>
      <c r="Q148" s="3">
        <f t="shared" si="138"/>
        <v>1</v>
      </c>
      <c r="R148" s="3">
        <f t="shared" si="138"/>
        <v>1</v>
      </c>
      <c r="S148" s="3">
        <f t="shared" si="138"/>
        <v>1</v>
      </c>
      <c r="T148" s="3">
        <f t="shared" si="138"/>
        <v>1</v>
      </c>
      <c r="U148" s="3">
        <f t="shared" si="138"/>
        <v>1</v>
      </c>
      <c r="V148" s="3">
        <f t="shared" si="138"/>
        <v>1</v>
      </c>
      <c r="W148" s="3">
        <f t="shared" si="138"/>
        <v>1</v>
      </c>
    </row>
    <row r="149" customHeight="1" spans="1:23">
      <c r="A149" s="2">
        <v>136</v>
      </c>
      <c r="B149" s="3">
        <f t="shared" ref="B149:W149" si="139">MIN(1,IF($A149&lt;B$4+B$3,0,IF(B$2=0,1,IF(B$5=0,($A149-B$4)/B$2,IF(MOD($A149-B$4,B$5)=0,($A149-B$4)/B$2,QUOTIENT($A149-B$4,B$5)*B$5/B$2)))))</f>
        <v>1</v>
      </c>
      <c r="C149" s="3">
        <f t="shared" si="139"/>
        <v>1</v>
      </c>
      <c r="D149" s="3">
        <f t="shared" si="139"/>
        <v>1</v>
      </c>
      <c r="E149" s="3" t="e">
        <f t="shared" si="139"/>
        <v>#REF!</v>
      </c>
      <c r="F149" s="3">
        <f t="shared" si="139"/>
        <v>1</v>
      </c>
      <c r="G149" s="3">
        <f t="shared" si="139"/>
        <v>1</v>
      </c>
      <c r="H149" s="3">
        <f t="shared" si="139"/>
        <v>1</v>
      </c>
      <c r="I149" s="3">
        <f t="shared" si="139"/>
        <v>1</v>
      </c>
      <c r="J149" s="3">
        <f t="shared" si="139"/>
        <v>1</v>
      </c>
      <c r="K149" s="3">
        <f t="shared" si="139"/>
        <v>1</v>
      </c>
      <c r="L149" s="3">
        <f t="shared" si="139"/>
        <v>1</v>
      </c>
      <c r="M149" s="3" t="e">
        <f t="shared" si="139"/>
        <v>#REF!</v>
      </c>
      <c r="N149" s="3">
        <f t="shared" si="139"/>
        <v>1</v>
      </c>
      <c r="O149" s="3">
        <f t="shared" si="139"/>
        <v>1</v>
      </c>
      <c r="P149" s="3">
        <f t="shared" si="139"/>
        <v>1</v>
      </c>
      <c r="Q149" s="3">
        <f t="shared" si="139"/>
        <v>1</v>
      </c>
      <c r="R149" s="3">
        <f t="shared" si="139"/>
        <v>1</v>
      </c>
      <c r="S149" s="3">
        <f t="shared" si="139"/>
        <v>1</v>
      </c>
      <c r="T149" s="3">
        <f t="shared" si="139"/>
        <v>1</v>
      </c>
      <c r="U149" s="3">
        <f t="shared" si="139"/>
        <v>1</v>
      </c>
      <c r="V149" s="3">
        <f t="shared" si="139"/>
        <v>1</v>
      </c>
      <c r="W149" s="3">
        <f t="shared" si="139"/>
        <v>1</v>
      </c>
    </row>
    <row r="150" customHeight="1" spans="1:23">
      <c r="A150" s="2">
        <v>137</v>
      </c>
      <c r="B150" s="3">
        <f t="shared" ref="B150:W150" si="140">MIN(1,IF($A150&lt;B$4+B$3,0,IF(B$2=0,1,IF(B$5=0,($A150-B$4)/B$2,IF(MOD($A150-B$4,B$5)=0,($A150-B$4)/B$2,QUOTIENT($A150-B$4,B$5)*B$5/B$2)))))</f>
        <v>1</v>
      </c>
      <c r="C150" s="3">
        <f t="shared" si="140"/>
        <v>1</v>
      </c>
      <c r="D150" s="3">
        <f t="shared" si="140"/>
        <v>1</v>
      </c>
      <c r="E150" s="3" t="e">
        <f t="shared" si="140"/>
        <v>#REF!</v>
      </c>
      <c r="F150" s="3">
        <f t="shared" si="140"/>
        <v>1</v>
      </c>
      <c r="G150" s="3">
        <f t="shared" si="140"/>
        <v>1</v>
      </c>
      <c r="H150" s="3">
        <f t="shared" si="140"/>
        <v>1</v>
      </c>
      <c r="I150" s="3">
        <f t="shared" si="140"/>
        <v>1</v>
      </c>
      <c r="J150" s="3">
        <f t="shared" si="140"/>
        <v>1</v>
      </c>
      <c r="K150" s="3">
        <f t="shared" si="140"/>
        <v>1</v>
      </c>
      <c r="L150" s="3">
        <f t="shared" si="140"/>
        <v>1</v>
      </c>
      <c r="M150" s="3" t="e">
        <f t="shared" si="140"/>
        <v>#REF!</v>
      </c>
      <c r="N150" s="3">
        <f t="shared" si="140"/>
        <v>1</v>
      </c>
      <c r="O150" s="3">
        <f t="shared" si="140"/>
        <v>1</v>
      </c>
      <c r="P150" s="3">
        <f t="shared" si="140"/>
        <v>1</v>
      </c>
      <c r="Q150" s="3">
        <f t="shared" si="140"/>
        <v>1</v>
      </c>
      <c r="R150" s="3">
        <f t="shared" si="140"/>
        <v>1</v>
      </c>
      <c r="S150" s="3">
        <f t="shared" si="140"/>
        <v>1</v>
      </c>
      <c r="T150" s="3">
        <f t="shared" si="140"/>
        <v>1</v>
      </c>
      <c r="U150" s="3">
        <f t="shared" si="140"/>
        <v>1</v>
      </c>
      <c r="V150" s="3">
        <f t="shared" si="140"/>
        <v>1</v>
      </c>
      <c r="W150" s="3">
        <f t="shared" si="140"/>
        <v>1</v>
      </c>
    </row>
    <row r="151" customHeight="1" spans="1:23">
      <c r="A151" s="2">
        <v>138</v>
      </c>
      <c r="B151" s="3">
        <f t="shared" ref="B151:W151" si="141">MIN(1,IF($A151&lt;B$4+B$3,0,IF(B$2=0,1,IF(B$5=0,($A151-B$4)/B$2,IF(MOD($A151-B$4,B$5)=0,($A151-B$4)/B$2,QUOTIENT($A151-B$4,B$5)*B$5/B$2)))))</f>
        <v>1</v>
      </c>
      <c r="C151" s="3">
        <f t="shared" si="141"/>
        <v>1</v>
      </c>
      <c r="D151" s="3">
        <f t="shared" si="141"/>
        <v>1</v>
      </c>
      <c r="E151" s="3" t="e">
        <f t="shared" si="141"/>
        <v>#REF!</v>
      </c>
      <c r="F151" s="3">
        <f t="shared" si="141"/>
        <v>1</v>
      </c>
      <c r="G151" s="3">
        <f t="shared" si="141"/>
        <v>1</v>
      </c>
      <c r="H151" s="3">
        <f t="shared" si="141"/>
        <v>1</v>
      </c>
      <c r="I151" s="3">
        <f t="shared" si="141"/>
        <v>1</v>
      </c>
      <c r="J151" s="3">
        <f t="shared" si="141"/>
        <v>1</v>
      </c>
      <c r="K151" s="3">
        <f t="shared" si="141"/>
        <v>1</v>
      </c>
      <c r="L151" s="3">
        <f t="shared" si="141"/>
        <v>1</v>
      </c>
      <c r="M151" s="3" t="e">
        <f t="shared" si="141"/>
        <v>#REF!</v>
      </c>
      <c r="N151" s="3">
        <f t="shared" si="141"/>
        <v>1</v>
      </c>
      <c r="O151" s="3">
        <f t="shared" si="141"/>
        <v>1</v>
      </c>
      <c r="P151" s="3">
        <f t="shared" si="141"/>
        <v>1</v>
      </c>
      <c r="Q151" s="3">
        <f t="shared" si="141"/>
        <v>1</v>
      </c>
      <c r="R151" s="3">
        <f t="shared" si="141"/>
        <v>1</v>
      </c>
      <c r="S151" s="3">
        <f t="shared" si="141"/>
        <v>1</v>
      </c>
      <c r="T151" s="3">
        <f t="shared" si="141"/>
        <v>1</v>
      </c>
      <c r="U151" s="3">
        <f t="shared" si="141"/>
        <v>1</v>
      </c>
      <c r="V151" s="3">
        <f t="shared" si="141"/>
        <v>1</v>
      </c>
      <c r="W151" s="3">
        <f t="shared" si="141"/>
        <v>1</v>
      </c>
    </row>
    <row r="152" customHeight="1" spans="1:23">
      <c r="A152" s="2">
        <v>139</v>
      </c>
      <c r="B152" s="3">
        <f t="shared" ref="B152:W152" si="142">MIN(1,IF($A152&lt;B$4+B$3,0,IF(B$2=0,1,IF(B$5=0,($A152-B$4)/B$2,IF(MOD($A152-B$4,B$5)=0,($A152-B$4)/B$2,QUOTIENT($A152-B$4,B$5)*B$5/B$2)))))</f>
        <v>1</v>
      </c>
      <c r="C152" s="3">
        <f t="shared" si="142"/>
        <v>1</v>
      </c>
      <c r="D152" s="3">
        <f t="shared" si="142"/>
        <v>1</v>
      </c>
      <c r="E152" s="3" t="e">
        <f t="shared" si="142"/>
        <v>#REF!</v>
      </c>
      <c r="F152" s="3">
        <f t="shared" si="142"/>
        <v>1</v>
      </c>
      <c r="G152" s="3">
        <f t="shared" si="142"/>
        <v>1</v>
      </c>
      <c r="H152" s="3">
        <f t="shared" si="142"/>
        <v>1</v>
      </c>
      <c r="I152" s="3">
        <f t="shared" si="142"/>
        <v>1</v>
      </c>
      <c r="J152" s="3">
        <f t="shared" si="142"/>
        <v>1</v>
      </c>
      <c r="K152" s="3">
        <f t="shared" si="142"/>
        <v>1</v>
      </c>
      <c r="L152" s="3">
        <f t="shared" si="142"/>
        <v>1</v>
      </c>
      <c r="M152" s="3" t="e">
        <f t="shared" si="142"/>
        <v>#REF!</v>
      </c>
      <c r="N152" s="3">
        <f t="shared" si="142"/>
        <v>1</v>
      </c>
      <c r="O152" s="3">
        <f t="shared" si="142"/>
        <v>1</v>
      </c>
      <c r="P152" s="3">
        <f t="shared" si="142"/>
        <v>1</v>
      </c>
      <c r="Q152" s="3">
        <f t="shared" si="142"/>
        <v>1</v>
      </c>
      <c r="R152" s="3">
        <f t="shared" si="142"/>
        <v>1</v>
      </c>
      <c r="S152" s="3">
        <f t="shared" si="142"/>
        <v>1</v>
      </c>
      <c r="T152" s="3">
        <f t="shared" si="142"/>
        <v>1</v>
      </c>
      <c r="U152" s="3">
        <f t="shared" si="142"/>
        <v>1</v>
      </c>
      <c r="V152" s="3">
        <f t="shared" si="142"/>
        <v>1</v>
      </c>
      <c r="W152" s="3">
        <f t="shared" si="142"/>
        <v>1</v>
      </c>
    </row>
    <row r="153" customHeight="1" spans="1:23">
      <c r="A153" s="2">
        <v>140</v>
      </c>
      <c r="B153" s="3">
        <f t="shared" ref="B153:W153" si="143">MIN(1,IF($A153&lt;B$4+B$3,0,IF(B$2=0,1,IF(B$5=0,($A153-B$4)/B$2,IF(MOD($A153-B$4,B$5)=0,($A153-B$4)/B$2,QUOTIENT($A153-B$4,B$5)*B$5/B$2)))))</f>
        <v>1</v>
      </c>
      <c r="C153" s="3">
        <f t="shared" si="143"/>
        <v>1</v>
      </c>
      <c r="D153" s="3">
        <f t="shared" si="143"/>
        <v>1</v>
      </c>
      <c r="E153" s="3" t="e">
        <f t="shared" si="143"/>
        <v>#REF!</v>
      </c>
      <c r="F153" s="3">
        <f t="shared" si="143"/>
        <v>1</v>
      </c>
      <c r="G153" s="3">
        <f t="shared" si="143"/>
        <v>1</v>
      </c>
      <c r="H153" s="3">
        <f t="shared" si="143"/>
        <v>1</v>
      </c>
      <c r="I153" s="3">
        <f t="shared" si="143"/>
        <v>1</v>
      </c>
      <c r="J153" s="3">
        <f t="shared" si="143"/>
        <v>1</v>
      </c>
      <c r="K153" s="3">
        <f t="shared" si="143"/>
        <v>1</v>
      </c>
      <c r="L153" s="3">
        <f t="shared" si="143"/>
        <v>1</v>
      </c>
      <c r="M153" s="3" t="e">
        <f t="shared" si="143"/>
        <v>#REF!</v>
      </c>
      <c r="N153" s="3">
        <f t="shared" si="143"/>
        <v>1</v>
      </c>
      <c r="O153" s="3">
        <f t="shared" si="143"/>
        <v>1</v>
      </c>
      <c r="P153" s="3">
        <f t="shared" si="143"/>
        <v>1</v>
      </c>
      <c r="Q153" s="3">
        <f t="shared" si="143"/>
        <v>1</v>
      </c>
      <c r="R153" s="3">
        <f t="shared" si="143"/>
        <v>1</v>
      </c>
      <c r="S153" s="3">
        <f t="shared" si="143"/>
        <v>1</v>
      </c>
      <c r="T153" s="3">
        <f t="shared" si="143"/>
        <v>1</v>
      </c>
      <c r="U153" s="3">
        <f t="shared" si="143"/>
        <v>1</v>
      </c>
      <c r="V153" s="3">
        <f t="shared" si="143"/>
        <v>1</v>
      </c>
      <c r="W153" s="3">
        <f t="shared" si="143"/>
        <v>1</v>
      </c>
    </row>
    <row r="154" customHeight="1" spans="1:23">
      <c r="A154" s="2">
        <v>141</v>
      </c>
      <c r="B154" s="3">
        <f t="shared" ref="B154:W154" si="144">MIN(1,IF($A154&lt;B$4+B$3,0,IF(B$2=0,1,IF(B$5=0,($A154-B$4)/B$2,IF(MOD($A154-B$4,B$5)=0,($A154-B$4)/B$2,QUOTIENT($A154-B$4,B$5)*B$5/B$2)))))</f>
        <v>1</v>
      </c>
      <c r="C154" s="3">
        <f t="shared" si="144"/>
        <v>1</v>
      </c>
      <c r="D154" s="3">
        <f t="shared" si="144"/>
        <v>1</v>
      </c>
      <c r="E154" s="3" t="e">
        <f t="shared" si="144"/>
        <v>#REF!</v>
      </c>
      <c r="F154" s="3">
        <f t="shared" si="144"/>
        <v>1</v>
      </c>
      <c r="G154" s="3">
        <f t="shared" si="144"/>
        <v>1</v>
      </c>
      <c r="H154" s="3">
        <f t="shared" si="144"/>
        <v>1</v>
      </c>
      <c r="I154" s="3">
        <f t="shared" si="144"/>
        <v>1</v>
      </c>
      <c r="J154" s="3">
        <f t="shared" si="144"/>
        <v>1</v>
      </c>
      <c r="K154" s="3">
        <f t="shared" si="144"/>
        <v>1</v>
      </c>
      <c r="L154" s="3">
        <f t="shared" si="144"/>
        <v>1</v>
      </c>
      <c r="M154" s="3" t="e">
        <f t="shared" si="144"/>
        <v>#REF!</v>
      </c>
      <c r="N154" s="3">
        <f t="shared" si="144"/>
        <v>1</v>
      </c>
      <c r="O154" s="3">
        <f t="shared" si="144"/>
        <v>1</v>
      </c>
      <c r="P154" s="3">
        <f t="shared" si="144"/>
        <v>1</v>
      </c>
      <c r="Q154" s="3">
        <f t="shared" si="144"/>
        <v>1</v>
      </c>
      <c r="R154" s="3">
        <f t="shared" si="144"/>
        <v>1</v>
      </c>
      <c r="S154" s="3">
        <f t="shared" si="144"/>
        <v>1</v>
      </c>
      <c r="T154" s="3">
        <f t="shared" si="144"/>
        <v>1</v>
      </c>
      <c r="U154" s="3">
        <f t="shared" si="144"/>
        <v>1</v>
      </c>
      <c r="V154" s="3">
        <f t="shared" si="144"/>
        <v>1</v>
      </c>
      <c r="W154" s="3">
        <f t="shared" si="144"/>
        <v>1</v>
      </c>
    </row>
    <row r="155" customHeight="1" spans="1:23">
      <c r="A155" s="2">
        <v>142</v>
      </c>
      <c r="B155" s="3">
        <f t="shared" ref="B155:W155" si="145">MIN(1,IF($A155&lt;B$4+B$3,0,IF(B$2=0,1,IF(B$5=0,($A155-B$4)/B$2,IF(MOD($A155-B$4,B$5)=0,($A155-B$4)/B$2,QUOTIENT($A155-B$4,B$5)*B$5/B$2)))))</f>
        <v>1</v>
      </c>
      <c r="C155" s="3">
        <f t="shared" si="145"/>
        <v>1</v>
      </c>
      <c r="D155" s="3">
        <f t="shared" si="145"/>
        <v>1</v>
      </c>
      <c r="E155" s="3" t="e">
        <f t="shared" si="145"/>
        <v>#REF!</v>
      </c>
      <c r="F155" s="3">
        <f t="shared" si="145"/>
        <v>1</v>
      </c>
      <c r="G155" s="3">
        <f t="shared" si="145"/>
        <v>1</v>
      </c>
      <c r="H155" s="3">
        <f t="shared" si="145"/>
        <v>1</v>
      </c>
      <c r="I155" s="3">
        <f t="shared" si="145"/>
        <v>1</v>
      </c>
      <c r="J155" s="3">
        <f t="shared" si="145"/>
        <v>1</v>
      </c>
      <c r="K155" s="3">
        <f t="shared" si="145"/>
        <v>1</v>
      </c>
      <c r="L155" s="3">
        <f t="shared" si="145"/>
        <v>1</v>
      </c>
      <c r="M155" s="3" t="e">
        <f t="shared" si="145"/>
        <v>#REF!</v>
      </c>
      <c r="N155" s="3">
        <f t="shared" si="145"/>
        <v>1</v>
      </c>
      <c r="O155" s="3">
        <f t="shared" si="145"/>
        <v>1</v>
      </c>
      <c r="P155" s="3">
        <f t="shared" si="145"/>
        <v>1</v>
      </c>
      <c r="Q155" s="3">
        <f t="shared" si="145"/>
        <v>1</v>
      </c>
      <c r="R155" s="3">
        <f t="shared" si="145"/>
        <v>1</v>
      </c>
      <c r="S155" s="3">
        <f t="shared" si="145"/>
        <v>1</v>
      </c>
      <c r="T155" s="3">
        <f t="shared" si="145"/>
        <v>1</v>
      </c>
      <c r="U155" s="3">
        <f t="shared" si="145"/>
        <v>1</v>
      </c>
      <c r="V155" s="3">
        <f t="shared" si="145"/>
        <v>1</v>
      </c>
      <c r="W155" s="3">
        <f t="shared" si="145"/>
        <v>1</v>
      </c>
    </row>
    <row r="156" customHeight="1" spans="1:23">
      <c r="A156" s="2">
        <v>143</v>
      </c>
      <c r="B156" s="3">
        <f t="shared" ref="B156:W156" si="146">MIN(1,IF($A156&lt;B$4+B$3,0,IF(B$2=0,1,IF(B$5=0,($A156-B$4)/B$2,IF(MOD($A156-B$4,B$5)=0,($A156-B$4)/B$2,QUOTIENT($A156-B$4,B$5)*B$5/B$2)))))</f>
        <v>1</v>
      </c>
      <c r="C156" s="3">
        <f t="shared" si="146"/>
        <v>1</v>
      </c>
      <c r="D156" s="3">
        <f t="shared" si="146"/>
        <v>1</v>
      </c>
      <c r="E156" s="3" t="e">
        <f t="shared" si="146"/>
        <v>#REF!</v>
      </c>
      <c r="F156" s="3">
        <f t="shared" si="146"/>
        <v>1</v>
      </c>
      <c r="G156" s="3">
        <f t="shared" si="146"/>
        <v>1</v>
      </c>
      <c r="H156" s="3">
        <f t="shared" si="146"/>
        <v>1</v>
      </c>
      <c r="I156" s="3">
        <f t="shared" si="146"/>
        <v>1</v>
      </c>
      <c r="J156" s="3">
        <f t="shared" si="146"/>
        <v>1</v>
      </c>
      <c r="K156" s="3">
        <f t="shared" si="146"/>
        <v>1</v>
      </c>
      <c r="L156" s="3">
        <f t="shared" si="146"/>
        <v>1</v>
      </c>
      <c r="M156" s="3" t="e">
        <f t="shared" si="146"/>
        <v>#REF!</v>
      </c>
      <c r="N156" s="3">
        <f t="shared" si="146"/>
        <v>1</v>
      </c>
      <c r="O156" s="3">
        <f t="shared" si="146"/>
        <v>1</v>
      </c>
      <c r="P156" s="3">
        <f t="shared" si="146"/>
        <v>1</v>
      </c>
      <c r="Q156" s="3">
        <f t="shared" si="146"/>
        <v>1</v>
      </c>
      <c r="R156" s="3">
        <f t="shared" si="146"/>
        <v>1</v>
      </c>
      <c r="S156" s="3">
        <f t="shared" si="146"/>
        <v>1</v>
      </c>
      <c r="T156" s="3">
        <f t="shared" si="146"/>
        <v>1</v>
      </c>
      <c r="U156" s="3">
        <f t="shared" si="146"/>
        <v>1</v>
      </c>
      <c r="V156" s="3">
        <f t="shared" si="146"/>
        <v>1</v>
      </c>
      <c r="W156" s="3">
        <f t="shared" si="146"/>
        <v>1</v>
      </c>
    </row>
    <row r="157" customHeight="1" spans="1:23">
      <c r="A157" s="2">
        <v>144</v>
      </c>
      <c r="B157" s="3">
        <f t="shared" ref="B157:W157" si="147">MIN(1,IF($A157&lt;B$4+B$3,0,IF(B$2=0,1,IF(B$5=0,($A157-B$4)/B$2,IF(MOD($A157-B$4,B$5)=0,($A157-B$4)/B$2,QUOTIENT($A157-B$4,B$5)*B$5/B$2)))))</f>
        <v>1</v>
      </c>
      <c r="C157" s="3">
        <f t="shared" si="147"/>
        <v>1</v>
      </c>
      <c r="D157" s="3">
        <f t="shared" si="147"/>
        <v>1</v>
      </c>
      <c r="E157" s="3" t="e">
        <f t="shared" si="147"/>
        <v>#REF!</v>
      </c>
      <c r="F157" s="3">
        <f t="shared" si="147"/>
        <v>1</v>
      </c>
      <c r="G157" s="3">
        <f t="shared" si="147"/>
        <v>1</v>
      </c>
      <c r="H157" s="3">
        <f t="shared" si="147"/>
        <v>1</v>
      </c>
      <c r="I157" s="3">
        <f t="shared" si="147"/>
        <v>1</v>
      </c>
      <c r="J157" s="3">
        <f t="shared" si="147"/>
        <v>1</v>
      </c>
      <c r="K157" s="3">
        <f t="shared" si="147"/>
        <v>1</v>
      </c>
      <c r="L157" s="3">
        <f t="shared" si="147"/>
        <v>1</v>
      </c>
      <c r="M157" s="3" t="e">
        <f t="shared" si="147"/>
        <v>#REF!</v>
      </c>
      <c r="N157" s="3">
        <f t="shared" si="147"/>
        <v>1</v>
      </c>
      <c r="O157" s="3">
        <f t="shared" si="147"/>
        <v>1</v>
      </c>
      <c r="P157" s="3">
        <f t="shared" si="147"/>
        <v>1</v>
      </c>
      <c r="Q157" s="3">
        <f t="shared" si="147"/>
        <v>1</v>
      </c>
      <c r="R157" s="3">
        <f t="shared" si="147"/>
        <v>1</v>
      </c>
      <c r="S157" s="3">
        <f t="shared" si="147"/>
        <v>1</v>
      </c>
      <c r="T157" s="3">
        <f t="shared" si="147"/>
        <v>1</v>
      </c>
      <c r="U157" s="3">
        <f t="shared" si="147"/>
        <v>1</v>
      </c>
      <c r="V157" s="3">
        <f t="shared" si="147"/>
        <v>1</v>
      </c>
      <c r="W157" s="3">
        <f t="shared" si="147"/>
        <v>1</v>
      </c>
    </row>
    <row r="158" customHeight="1" spans="1:23">
      <c r="A158" s="2">
        <v>145</v>
      </c>
      <c r="B158" s="3">
        <f t="shared" ref="B158:W158" si="148">MIN(1,IF($A158&lt;B$4+B$3,0,IF(B$2=0,1,IF(B$5=0,($A158-B$4)/B$2,IF(MOD($A158-B$4,B$5)=0,($A158-B$4)/B$2,QUOTIENT($A158-B$4,B$5)*B$5/B$2)))))</f>
        <v>1</v>
      </c>
      <c r="C158" s="3">
        <f t="shared" si="148"/>
        <v>1</v>
      </c>
      <c r="D158" s="3">
        <f t="shared" si="148"/>
        <v>1</v>
      </c>
      <c r="E158" s="3" t="e">
        <f t="shared" si="148"/>
        <v>#REF!</v>
      </c>
      <c r="F158" s="3">
        <f t="shared" si="148"/>
        <v>1</v>
      </c>
      <c r="G158" s="3">
        <f t="shared" si="148"/>
        <v>1</v>
      </c>
      <c r="H158" s="3">
        <f t="shared" si="148"/>
        <v>1</v>
      </c>
      <c r="I158" s="3">
        <f t="shared" si="148"/>
        <v>1</v>
      </c>
      <c r="J158" s="3">
        <f t="shared" si="148"/>
        <v>1</v>
      </c>
      <c r="K158" s="3">
        <f t="shared" si="148"/>
        <v>1</v>
      </c>
      <c r="L158" s="3">
        <f t="shared" si="148"/>
        <v>1</v>
      </c>
      <c r="M158" s="3" t="e">
        <f t="shared" si="148"/>
        <v>#REF!</v>
      </c>
      <c r="N158" s="3">
        <f t="shared" si="148"/>
        <v>1</v>
      </c>
      <c r="O158" s="3">
        <f t="shared" si="148"/>
        <v>1</v>
      </c>
      <c r="P158" s="3">
        <f t="shared" si="148"/>
        <v>1</v>
      </c>
      <c r="Q158" s="3">
        <f t="shared" si="148"/>
        <v>1</v>
      </c>
      <c r="R158" s="3">
        <f t="shared" si="148"/>
        <v>1</v>
      </c>
      <c r="S158" s="3">
        <f t="shared" si="148"/>
        <v>1</v>
      </c>
      <c r="T158" s="3">
        <f t="shared" si="148"/>
        <v>1</v>
      </c>
      <c r="U158" s="3">
        <f t="shared" si="148"/>
        <v>1</v>
      </c>
      <c r="V158" s="3">
        <f t="shared" si="148"/>
        <v>1</v>
      </c>
      <c r="W158" s="3">
        <f t="shared" si="148"/>
        <v>1</v>
      </c>
    </row>
    <row r="159" customHeight="1" spans="1:23">
      <c r="A159" s="2">
        <v>146</v>
      </c>
      <c r="B159" s="3">
        <f t="shared" ref="B159:W159" si="149">MIN(1,IF($A159&lt;B$4+B$3,0,IF(B$2=0,1,IF(B$5=0,($A159-B$4)/B$2,IF(MOD($A159-B$4,B$5)=0,($A159-B$4)/B$2,QUOTIENT($A159-B$4,B$5)*B$5/B$2)))))</f>
        <v>1</v>
      </c>
      <c r="C159" s="3">
        <f t="shared" si="149"/>
        <v>1</v>
      </c>
      <c r="D159" s="3">
        <f t="shared" si="149"/>
        <v>1</v>
      </c>
      <c r="E159" s="3" t="e">
        <f t="shared" si="149"/>
        <v>#REF!</v>
      </c>
      <c r="F159" s="3">
        <f t="shared" si="149"/>
        <v>1</v>
      </c>
      <c r="G159" s="3">
        <f t="shared" si="149"/>
        <v>1</v>
      </c>
      <c r="H159" s="3">
        <f t="shared" si="149"/>
        <v>1</v>
      </c>
      <c r="I159" s="3">
        <f t="shared" si="149"/>
        <v>1</v>
      </c>
      <c r="J159" s="3">
        <f t="shared" si="149"/>
        <v>1</v>
      </c>
      <c r="K159" s="3">
        <f t="shared" si="149"/>
        <v>1</v>
      </c>
      <c r="L159" s="3">
        <f t="shared" si="149"/>
        <v>1</v>
      </c>
      <c r="M159" s="3" t="e">
        <f t="shared" si="149"/>
        <v>#REF!</v>
      </c>
      <c r="N159" s="3">
        <f t="shared" si="149"/>
        <v>1</v>
      </c>
      <c r="O159" s="3">
        <f t="shared" si="149"/>
        <v>1</v>
      </c>
      <c r="P159" s="3">
        <f t="shared" si="149"/>
        <v>1</v>
      </c>
      <c r="Q159" s="3">
        <f t="shared" si="149"/>
        <v>1</v>
      </c>
      <c r="R159" s="3">
        <f t="shared" si="149"/>
        <v>1</v>
      </c>
      <c r="S159" s="3">
        <f t="shared" si="149"/>
        <v>1</v>
      </c>
      <c r="T159" s="3">
        <f t="shared" si="149"/>
        <v>1</v>
      </c>
      <c r="U159" s="3">
        <f t="shared" si="149"/>
        <v>1</v>
      </c>
      <c r="V159" s="3">
        <f t="shared" si="149"/>
        <v>1</v>
      </c>
      <c r="W159" s="3">
        <f t="shared" si="149"/>
        <v>1</v>
      </c>
    </row>
    <row r="160" customHeight="1" spans="1:23">
      <c r="A160" s="2">
        <v>147</v>
      </c>
      <c r="B160" s="3">
        <f t="shared" ref="B160:W160" si="150">MIN(1,IF($A160&lt;B$4+B$3,0,IF(B$2=0,1,IF(B$5=0,($A160-B$4)/B$2,IF(MOD($A160-B$4,B$5)=0,($A160-B$4)/B$2,QUOTIENT($A160-B$4,B$5)*B$5/B$2)))))</f>
        <v>1</v>
      </c>
      <c r="C160" s="3">
        <f t="shared" si="150"/>
        <v>1</v>
      </c>
      <c r="D160" s="3">
        <f t="shared" si="150"/>
        <v>1</v>
      </c>
      <c r="E160" s="3" t="e">
        <f t="shared" si="150"/>
        <v>#REF!</v>
      </c>
      <c r="F160" s="3">
        <f t="shared" si="150"/>
        <v>1</v>
      </c>
      <c r="G160" s="3">
        <f t="shared" si="150"/>
        <v>1</v>
      </c>
      <c r="H160" s="3">
        <f t="shared" si="150"/>
        <v>1</v>
      </c>
      <c r="I160" s="3">
        <f t="shared" si="150"/>
        <v>1</v>
      </c>
      <c r="J160" s="3">
        <f t="shared" si="150"/>
        <v>1</v>
      </c>
      <c r="K160" s="3">
        <f t="shared" si="150"/>
        <v>1</v>
      </c>
      <c r="L160" s="3">
        <f t="shared" si="150"/>
        <v>1</v>
      </c>
      <c r="M160" s="3" t="e">
        <f t="shared" si="150"/>
        <v>#REF!</v>
      </c>
      <c r="N160" s="3">
        <f t="shared" si="150"/>
        <v>1</v>
      </c>
      <c r="O160" s="3">
        <f t="shared" si="150"/>
        <v>1</v>
      </c>
      <c r="P160" s="3">
        <f t="shared" si="150"/>
        <v>1</v>
      </c>
      <c r="Q160" s="3">
        <f t="shared" si="150"/>
        <v>1</v>
      </c>
      <c r="R160" s="3">
        <f t="shared" si="150"/>
        <v>1</v>
      </c>
      <c r="S160" s="3">
        <f t="shared" si="150"/>
        <v>1</v>
      </c>
      <c r="T160" s="3">
        <f t="shared" si="150"/>
        <v>1</v>
      </c>
      <c r="U160" s="3">
        <f t="shared" si="150"/>
        <v>1</v>
      </c>
      <c r="V160" s="3">
        <f t="shared" si="150"/>
        <v>1</v>
      </c>
      <c r="W160" s="3">
        <f t="shared" si="150"/>
        <v>1</v>
      </c>
    </row>
    <row r="161" customHeight="1" spans="1:23">
      <c r="A161" s="2">
        <v>148</v>
      </c>
      <c r="B161" s="3">
        <f t="shared" ref="B161:W161" si="151">MIN(1,IF($A161&lt;B$4+B$3,0,IF(B$2=0,1,IF(B$5=0,($A161-B$4)/B$2,IF(MOD($A161-B$4,B$5)=0,($A161-B$4)/B$2,QUOTIENT($A161-B$4,B$5)*B$5/B$2)))))</f>
        <v>1</v>
      </c>
      <c r="C161" s="3">
        <f t="shared" si="151"/>
        <v>1</v>
      </c>
      <c r="D161" s="3">
        <f t="shared" si="151"/>
        <v>1</v>
      </c>
      <c r="E161" s="3" t="e">
        <f t="shared" si="151"/>
        <v>#REF!</v>
      </c>
      <c r="F161" s="3">
        <f t="shared" si="151"/>
        <v>1</v>
      </c>
      <c r="G161" s="3">
        <f t="shared" si="151"/>
        <v>1</v>
      </c>
      <c r="H161" s="3">
        <f t="shared" si="151"/>
        <v>1</v>
      </c>
      <c r="I161" s="3">
        <f t="shared" si="151"/>
        <v>1</v>
      </c>
      <c r="J161" s="3">
        <f t="shared" si="151"/>
        <v>1</v>
      </c>
      <c r="K161" s="3">
        <f t="shared" si="151"/>
        <v>1</v>
      </c>
      <c r="L161" s="3">
        <f t="shared" si="151"/>
        <v>1</v>
      </c>
      <c r="M161" s="3" t="e">
        <f t="shared" si="151"/>
        <v>#REF!</v>
      </c>
      <c r="N161" s="3">
        <f t="shared" si="151"/>
        <v>1</v>
      </c>
      <c r="O161" s="3">
        <f t="shared" si="151"/>
        <v>1</v>
      </c>
      <c r="P161" s="3">
        <f t="shared" si="151"/>
        <v>1</v>
      </c>
      <c r="Q161" s="3">
        <f t="shared" si="151"/>
        <v>1</v>
      </c>
      <c r="R161" s="3">
        <f t="shared" si="151"/>
        <v>1</v>
      </c>
      <c r="S161" s="3">
        <f t="shared" si="151"/>
        <v>1</v>
      </c>
      <c r="T161" s="3">
        <f t="shared" si="151"/>
        <v>1</v>
      </c>
      <c r="U161" s="3">
        <f t="shared" si="151"/>
        <v>1</v>
      </c>
      <c r="V161" s="3">
        <f t="shared" si="151"/>
        <v>1</v>
      </c>
      <c r="W161" s="3">
        <f t="shared" si="151"/>
        <v>1</v>
      </c>
    </row>
    <row r="162" customHeight="1" spans="1:23">
      <c r="A162" s="2">
        <v>149</v>
      </c>
      <c r="B162" s="3">
        <f t="shared" ref="B162:W162" si="152">MIN(1,IF($A162&lt;B$4+B$3,0,IF(B$2=0,1,IF(B$5=0,($A162-B$4)/B$2,IF(MOD($A162-B$4,B$5)=0,($A162-B$4)/B$2,QUOTIENT($A162-B$4,B$5)*B$5/B$2)))))</f>
        <v>1</v>
      </c>
      <c r="C162" s="3">
        <f t="shared" si="152"/>
        <v>1</v>
      </c>
      <c r="D162" s="3">
        <f t="shared" si="152"/>
        <v>1</v>
      </c>
      <c r="E162" s="3" t="e">
        <f t="shared" si="152"/>
        <v>#REF!</v>
      </c>
      <c r="F162" s="3">
        <f t="shared" si="152"/>
        <v>1</v>
      </c>
      <c r="G162" s="3">
        <f t="shared" si="152"/>
        <v>1</v>
      </c>
      <c r="H162" s="3">
        <f t="shared" si="152"/>
        <v>1</v>
      </c>
      <c r="I162" s="3">
        <f t="shared" si="152"/>
        <v>1</v>
      </c>
      <c r="J162" s="3">
        <f t="shared" si="152"/>
        <v>1</v>
      </c>
      <c r="K162" s="3">
        <f t="shared" si="152"/>
        <v>1</v>
      </c>
      <c r="L162" s="3">
        <f t="shared" si="152"/>
        <v>1</v>
      </c>
      <c r="M162" s="3" t="e">
        <f t="shared" si="152"/>
        <v>#REF!</v>
      </c>
      <c r="N162" s="3">
        <f t="shared" si="152"/>
        <v>1</v>
      </c>
      <c r="O162" s="3">
        <f t="shared" si="152"/>
        <v>1</v>
      </c>
      <c r="P162" s="3">
        <f t="shared" si="152"/>
        <v>1</v>
      </c>
      <c r="Q162" s="3">
        <f t="shared" si="152"/>
        <v>1</v>
      </c>
      <c r="R162" s="3">
        <f t="shared" si="152"/>
        <v>1</v>
      </c>
      <c r="S162" s="3">
        <f t="shared" si="152"/>
        <v>1</v>
      </c>
      <c r="T162" s="3">
        <f t="shared" si="152"/>
        <v>1</v>
      </c>
      <c r="U162" s="3">
        <f t="shared" si="152"/>
        <v>1</v>
      </c>
      <c r="V162" s="3">
        <f t="shared" si="152"/>
        <v>1</v>
      </c>
      <c r="W162" s="3">
        <f t="shared" si="152"/>
        <v>1</v>
      </c>
    </row>
    <row r="163" customHeight="1" spans="1:23">
      <c r="A163" s="2">
        <v>150</v>
      </c>
      <c r="B163" s="3">
        <f t="shared" ref="B163:W163" si="153">MIN(1,IF($A163&lt;B$4+B$3,0,IF(B$2=0,1,IF(B$5=0,($A163-B$4)/B$2,IF(MOD($A163-B$4,B$5)=0,($A163-B$4)/B$2,QUOTIENT($A163-B$4,B$5)*B$5/B$2)))))</f>
        <v>1</v>
      </c>
      <c r="C163" s="3">
        <f t="shared" si="153"/>
        <v>1</v>
      </c>
      <c r="D163" s="3">
        <f t="shared" si="153"/>
        <v>1</v>
      </c>
      <c r="E163" s="3" t="e">
        <f t="shared" si="153"/>
        <v>#REF!</v>
      </c>
      <c r="F163" s="3">
        <f t="shared" si="153"/>
        <v>1</v>
      </c>
      <c r="G163" s="3">
        <f t="shared" si="153"/>
        <v>1</v>
      </c>
      <c r="H163" s="3">
        <f t="shared" si="153"/>
        <v>1</v>
      </c>
      <c r="I163" s="3">
        <f t="shared" si="153"/>
        <v>1</v>
      </c>
      <c r="J163" s="3">
        <f t="shared" si="153"/>
        <v>1</v>
      </c>
      <c r="K163" s="3">
        <f t="shared" si="153"/>
        <v>1</v>
      </c>
      <c r="L163" s="3">
        <f t="shared" si="153"/>
        <v>1</v>
      </c>
      <c r="M163" s="3" t="e">
        <f t="shared" si="153"/>
        <v>#REF!</v>
      </c>
      <c r="N163" s="3">
        <f t="shared" si="153"/>
        <v>1</v>
      </c>
      <c r="O163" s="3">
        <f t="shared" si="153"/>
        <v>1</v>
      </c>
      <c r="P163" s="3">
        <f t="shared" si="153"/>
        <v>1</v>
      </c>
      <c r="Q163" s="3">
        <f t="shared" si="153"/>
        <v>1</v>
      </c>
      <c r="R163" s="3">
        <f t="shared" si="153"/>
        <v>1</v>
      </c>
      <c r="S163" s="3">
        <f t="shared" si="153"/>
        <v>1</v>
      </c>
      <c r="T163" s="3">
        <f t="shared" si="153"/>
        <v>1</v>
      </c>
      <c r="U163" s="3">
        <f t="shared" si="153"/>
        <v>1</v>
      </c>
      <c r="V163" s="3">
        <f t="shared" si="153"/>
        <v>1</v>
      </c>
      <c r="W163" s="3">
        <f t="shared" si="153"/>
        <v>1</v>
      </c>
    </row>
    <row r="164" customHeight="1" spans="1:23">
      <c r="A164" s="2">
        <v>151</v>
      </c>
      <c r="B164" s="3">
        <f t="shared" ref="B164:W164" si="154">MIN(1,IF($A164&lt;B$4+B$3,0,IF(B$2=0,1,IF(B$5=0,($A164-B$4)/B$2,IF(MOD($A164-B$4,B$5)=0,($A164-B$4)/B$2,QUOTIENT($A164-B$4,B$5)*B$5/B$2)))))</f>
        <v>1</v>
      </c>
      <c r="C164" s="3">
        <f t="shared" si="154"/>
        <v>1</v>
      </c>
      <c r="D164" s="3">
        <f t="shared" si="154"/>
        <v>1</v>
      </c>
      <c r="E164" s="3" t="e">
        <f t="shared" si="154"/>
        <v>#REF!</v>
      </c>
      <c r="F164" s="3">
        <f t="shared" si="154"/>
        <v>1</v>
      </c>
      <c r="G164" s="3">
        <f t="shared" si="154"/>
        <v>1</v>
      </c>
      <c r="H164" s="3">
        <f t="shared" si="154"/>
        <v>1</v>
      </c>
      <c r="I164" s="3">
        <f t="shared" si="154"/>
        <v>1</v>
      </c>
      <c r="J164" s="3">
        <f t="shared" si="154"/>
        <v>1</v>
      </c>
      <c r="K164" s="3">
        <f t="shared" si="154"/>
        <v>1</v>
      </c>
      <c r="L164" s="3">
        <f t="shared" si="154"/>
        <v>1</v>
      </c>
      <c r="M164" s="3" t="e">
        <f t="shared" si="154"/>
        <v>#REF!</v>
      </c>
      <c r="N164" s="3">
        <f t="shared" si="154"/>
        <v>1</v>
      </c>
      <c r="O164" s="3">
        <f t="shared" si="154"/>
        <v>1</v>
      </c>
      <c r="P164" s="3">
        <f t="shared" si="154"/>
        <v>1</v>
      </c>
      <c r="Q164" s="3">
        <f t="shared" si="154"/>
        <v>1</v>
      </c>
      <c r="R164" s="3">
        <f t="shared" si="154"/>
        <v>1</v>
      </c>
      <c r="S164" s="3">
        <f t="shared" si="154"/>
        <v>1</v>
      </c>
      <c r="T164" s="3">
        <f t="shared" si="154"/>
        <v>1</v>
      </c>
      <c r="U164" s="3">
        <f t="shared" si="154"/>
        <v>1</v>
      </c>
      <c r="V164" s="3">
        <f t="shared" si="154"/>
        <v>1</v>
      </c>
      <c r="W164" s="3">
        <f t="shared" si="154"/>
        <v>1</v>
      </c>
    </row>
    <row r="165" customHeight="1" spans="1:23">
      <c r="A165" s="2">
        <v>152</v>
      </c>
      <c r="B165" s="3">
        <f t="shared" ref="B165:W165" si="155">MIN(1,IF($A165&lt;B$4+B$3,0,IF(B$2=0,1,IF(B$5=0,($A165-B$4)/B$2,IF(MOD($A165-B$4,B$5)=0,($A165-B$4)/B$2,QUOTIENT($A165-B$4,B$5)*B$5/B$2)))))</f>
        <v>1</v>
      </c>
      <c r="C165" s="3">
        <f t="shared" si="155"/>
        <v>1</v>
      </c>
      <c r="D165" s="3">
        <f t="shared" si="155"/>
        <v>1</v>
      </c>
      <c r="E165" s="3" t="e">
        <f t="shared" si="155"/>
        <v>#REF!</v>
      </c>
      <c r="F165" s="3">
        <f t="shared" si="155"/>
        <v>1</v>
      </c>
      <c r="G165" s="3">
        <f t="shared" si="155"/>
        <v>1</v>
      </c>
      <c r="H165" s="3">
        <f t="shared" si="155"/>
        <v>1</v>
      </c>
      <c r="I165" s="3">
        <f t="shared" si="155"/>
        <v>1</v>
      </c>
      <c r="J165" s="3">
        <f t="shared" si="155"/>
        <v>1</v>
      </c>
      <c r="K165" s="3">
        <f t="shared" si="155"/>
        <v>1</v>
      </c>
      <c r="L165" s="3">
        <f t="shared" si="155"/>
        <v>1</v>
      </c>
      <c r="M165" s="3" t="e">
        <f t="shared" si="155"/>
        <v>#REF!</v>
      </c>
      <c r="N165" s="3">
        <f t="shared" si="155"/>
        <v>1</v>
      </c>
      <c r="O165" s="3">
        <f t="shared" si="155"/>
        <v>1</v>
      </c>
      <c r="P165" s="3">
        <f t="shared" si="155"/>
        <v>1</v>
      </c>
      <c r="Q165" s="3">
        <f t="shared" si="155"/>
        <v>1</v>
      </c>
      <c r="R165" s="3">
        <f t="shared" si="155"/>
        <v>1</v>
      </c>
      <c r="S165" s="3">
        <f t="shared" si="155"/>
        <v>1</v>
      </c>
      <c r="T165" s="3">
        <f t="shared" si="155"/>
        <v>1</v>
      </c>
      <c r="U165" s="3">
        <f t="shared" si="155"/>
        <v>1</v>
      </c>
      <c r="V165" s="3">
        <f t="shared" si="155"/>
        <v>1</v>
      </c>
      <c r="W165" s="3">
        <f t="shared" si="155"/>
        <v>1</v>
      </c>
    </row>
    <row r="166" customHeight="1" spans="1:23">
      <c r="A166" s="2">
        <v>153</v>
      </c>
      <c r="B166" s="3">
        <f t="shared" ref="B166:W166" si="156">MIN(1,IF($A166&lt;B$4+B$3,0,IF(B$2=0,1,IF(B$5=0,($A166-B$4)/B$2,IF(MOD($A166-B$4,B$5)=0,($A166-B$4)/B$2,QUOTIENT($A166-B$4,B$5)*B$5/B$2)))))</f>
        <v>1</v>
      </c>
      <c r="C166" s="3">
        <f t="shared" si="156"/>
        <v>1</v>
      </c>
      <c r="D166" s="3">
        <f t="shared" si="156"/>
        <v>1</v>
      </c>
      <c r="E166" s="3" t="e">
        <f t="shared" si="156"/>
        <v>#REF!</v>
      </c>
      <c r="F166" s="3">
        <f t="shared" si="156"/>
        <v>1</v>
      </c>
      <c r="G166" s="3">
        <f t="shared" si="156"/>
        <v>1</v>
      </c>
      <c r="H166" s="3">
        <f t="shared" si="156"/>
        <v>1</v>
      </c>
      <c r="I166" s="3">
        <f t="shared" si="156"/>
        <v>1</v>
      </c>
      <c r="J166" s="3">
        <f t="shared" si="156"/>
        <v>1</v>
      </c>
      <c r="K166" s="3">
        <f t="shared" si="156"/>
        <v>1</v>
      </c>
      <c r="L166" s="3">
        <f t="shared" si="156"/>
        <v>1</v>
      </c>
      <c r="M166" s="3" t="e">
        <f t="shared" si="156"/>
        <v>#REF!</v>
      </c>
      <c r="N166" s="3">
        <f t="shared" si="156"/>
        <v>1</v>
      </c>
      <c r="O166" s="3">
        <f t="shared" si="156"/>
        <v>1</v>
      </c>
      <c r="P166" s="3">
        <f t="shared" si="156"/>
        <v>1</v>
      </c>
      <c r="Q166" s="3">
        <f t="shared" si="156"/>
        <v>1</v>
      </c>
      <c r="R166" s="3">
        <f t="shared" si="156"/>
        <v>1</v>
      </c>
      <c r="S166" s="3">
        <f t="shared" si="156"/>
        <v>1</v>
      </c>
      <c r="T166" s="3">
        <f t="shared" si="156"/>
        <v>1</v>
      </c>
      <c r="U166" s="3">
        <f t="shared" si="156"/>
        <v>1</v>
      </c>
      <c r="V166" s="3">
        <f t="shared" si="156"/>
        <v>1</v>
      </c>
      <c r="W166" s="3">
        <f t="shared" si="156"/>
        <v>1</v>
      </c>
    </row>
    <row r="167" customHeight="1" spans="1:23">
      <c r="A167" s="2">
        <v>154</v>
      </c>
      <c r="B167" s="3">
        <f t="shared" ref="B167:W167" si="157">MIN(1,IF($A167&lt;B$4+B$3,0,IF(B$2=0,1,IF(B$5=0,($A167-B$4)/B$2,IF(MOD($A167-B$4,B$5)=0,($A167-B$4)/B$2,QUOTIENT($A167-B$4,B$5)*B$5/B$2)))))</f>
        <v>1</v>
      </c>
      <c r="C167" s="3">
        <f t="shared" si="157"/>
        <v>1</v>
      </c>
      <c r="D167" s="3">
        <f t="shared" si="157"/>
        <v>1</v>
      </c>
      <c r="E167" s="3" t="e">
        <f t="shared" si="157"/>
        <v>#REF!</v>
      </c>
      <c r="F167" s="3">
        <f t="shared" si="157"/>
        <v>1</v>
      </c>
      <c r="G167" s="3">
        <f t="shared" si="157"/>
        <v>1</v>
      </c>
      <c r="H167" s="3">
        <f t="shared" si="157"/>
        <v>1</v>
      </c>
      <c r="I167" s="3">
        <f t="shared" si="157"/>
        <v>1</v>
      </c>
      <c r="J167" s="3">
        <f t="shared" si="157"/>
        <v>1</v>
      </c>
      <c r="K167" s="3">
        <f t="shared" si="157"/>
        <v>1</v>
      </c>
      <c r="L167" s="3">
        <f t="shared" si="157"/>
        <v>1</v>
      </c>
      <c r="M167" s="3" t="e">
        <f t="shared" si="157"/>
        <v>#REF!</v>
      </c>
      <c r="N167" s="3">
        <f t="shared" si="157"/>
        <v>1</v>
      </c>
      <c r="O167" s="3">
        <f t="shared" si="157"/>
        <v>1</v>
      </c>
      <c r="P167" s="3">
        <f t="shared" si="157"/>
        <v>1</v>
      </c>
      <c r="Q167" s="3">
        <f t="shared" si="157"/>
        <v>1</v>
      </c>
      <c r="R167" s="3">
        <f t="shared" si="157"/>
        <v>1</v>
      </c>
      <c r="S167" s="3">
        <f t="shared" si="157"/>
        <v>1</v>
      </c>
      <c r="T167" s="3">
        <f t="shared" si="157"/>
        <v>1</v>
      </c>
      <c r="U167" s="3">
        <f t="shared" si="157"/>
        <v>1</v>
      </c>
      <c r="V167" s="3">
        <f t="shared" si="157"/>
        <v>1</v>
      </c>
      <c r="W167" s="3">
        <f t="shared" si="157"/>
        <v>1</v>
      </c>
    </row>
    <row r="168" customHeight="1" spans="1:23">
      <c r="A168" s="2">
        <v>155</v>
      </c>
      <c r="B168" s="3">
        <f t="shared" ref="B168:W168" si="158">MIN(1,IF($A168&lt;B$4+B$3,0,IF(B$2=0,1,IF(B$5=0,($A168-B$4)/B$2,IF(MOD($A168-B$4,B$5)=0,($A168-B$4)/B$2,QUOTIENT($A168-B$4,B$5)*B$5/B$2)))))</f>
        <v>1</v>
      </c>
      <c r="C168" s="3">
        <f t="shared" si="158"/>
        <v>1</v>
      </c>
      <c r="D168" s="3">
        <f t="shared" si="158"/>
        <v>1</v>
      </c>
      <c r="E168" s="3" t="e">
        <f t="shared" si="158"/>
        <v>#REF!</v>
      </c>
      <c r="F168" s="3">
        <f t="shared" si="158"/>
        <v>1</v>
      </c>
      <c r="G168" s="3">
        <f t="shared" si="158"/>
        <v>1</v>
      </c>
      <c r="H168" s="3">
        <f t="shared" si="158"/>
        <v>1</v>
      </c>
      <c r="I168" s="3">
        <f t="shared" si="158"/>
        <v>1</v>
      </c>
      <c r="J168" s="3">
        <f t="shared" si="158"/>
        <v>1</v>
      </c>
      <c r="K168" s="3">
        <f t="shared" si="158"/>
        <v>1</v>
      </c>
      <c r="L168" s="3">
        <f t="shared" si="158"/>
        <v>1</v>
      </c>
      <c r="M168" s="3" t="e">
        <f t="shared" si="158"/>
        <v>#REF!</v>
      </c>
      <c r="N168" s="3">
        <f t="shared" si="158"/>
        <v>1</v>
      </c>
      <c r="O168" s="3">
        <f t="shared" si="158"/>
        <v>1</v>
      </c>
      <c r="P168" s="3">
        <f t="shared" si="158"/>
        <v>1</v>
      </c>
      <c r="Q168" s="3">
        <f t="shared" si="158"/>
        <v>1</v>
      </c>
      <c r="R168" s="3">
        <f t="shared" si="158"/>
        <v>1</v>
      </c>
      <c r="S168" s="3">
        <f t="shared" si="158"/>
        <v>1</v>
      </c>
      <c r="T168" s="3">
        <f t="shared" si="158"/>
        <v>1</v>
      </c>
      <c r="U168" s="3">
        <f t="shared" si="158"/>
        <v>1</v>
      </c>
      <c r="V168" s="3">
        <f t="shared" si="158"/>
        <v>1</v>
      </c>
      <c r="W168" s="3">
        <f t="shared" si="158"/>
        <v>1</v>
      </c>
    </row>
    <row r="169" customHeight="1" spans="1:23">
      <c r="A169" s="2">
        <v>156</v>
      </c>
      <c r="B169" s="3">
        <f t="shared" ref="B169:W169" si="159">MIN(1,IF($A169&lt;B$4+B$3,0,IF(B$2=0,1,IF(B$5=0,($A169-B$4)/B$2,IF(MOD($A169-B$4,B$5)=0,($A169-B$4)/B$2,QUOTIENT($A169-B$4,B$5)*B$5/B$2)))))</f>
        <v>1</v>
      </c>
      <c r="C169" s="3">
        <f t="shared" si="159"/>
        <v>1</v>
      </c>
      <c r="D169" s="3">
        <f t="shared" si="159"/>
        <v>1</v>
      </c>
      <c r="E169" s="3" t="e">
        <f t="shared" si="159"/>
        <v>#REF!</v>
      </c>
      <c r="F169" s="3">
        <f t="shared" si="159"/>
        <v>1</v>
      </c>
      <c r="G169" s="3">
        <f t="shared" si="159"/>
        <v>1</v>
      </c>
      <c r="H169" s="3">
        <f t="shared" si="159"/>
        <v>1</v>
      </c>
      <c r="I169" s="3">
        <f t="shared" si="159"/>
        <v>1</v>
      </c>
      <c r="J169" s="3">
        <f t="shared" si="159"/>
        <v>1</v>
      </c>
      <c r="K169" s="3">
        <f t="shared" si="159"/>
        <v>1</v>
      </c>
      <c r="L169" s="3">
        <f t="shared" si="159"/>
        <v>1</v>
      </c>
      <c r="M169" s="3" t="e">
        <f t="shared" si="159"/>
        <v>#REF!</v>
      </c>
      <c r="N169" s="3">
        <f t="shared" si="159"/>
        <v>1</v>
      </c>
      <c r="O169" s="3">
        <f t="shared" si="159"/>
        <v>1</v>
      </c>
      <c r="P169" s="3">
        <f t="shared" si="159"/>
        <v>1</v>
      </c>
      <c r="Q169" s="3">
        <f t="shared" si="159"/>
        <v>1</v>
      </c>
      <c r="R169" s="3">
        <f t="shared" si="159"/>
        <v>1</v>
      </c>
      <c r="S169" s="3">
        <f t="shared" si="159"/>
        <v>1</v>
      </c>
      <c r="T169" s="3">
        <f t="shared" si="159"/>
        <v>1</v>
      </c>
      <c r="U169" s="3">
        <f t="shared" si="159"/>
        <v>1</v>
      </c>
      <c r="V169" s="3">
        <f t="shared" si="159"/>
        <v>1</v>
      </c>
      <c r="W169" s="3">
        <f t="shared" si="159"/>
        <v>1</v>
      </c>
    </row>
    <row r="170" customHeight="1" spans="1:23">
      <c r="A170" s="2">
        <v>157</v>
      </c>
      <c r="B170" s="3">
        <f t="shared" ref="B170:W170" si="160">MIN(1,IF($A170&lt;B$4+B$3,0,IF(B$2=0,1,IF(B$5=0,($A170-B$4)/B$2,IF(MOD($A170-B$4,B$5)=0,($A170-B$4)/B$2,QUOTIENT($A170-B$4,B$5)*B$5/B$2)))))</f>
        <v>1</v>
      </c>
      <c r="C170" s="3">
        <f t="shared" si="160"/>
        <v>1</v>
      </c>
      <c r="D170" s="3">
        <f t="shared" si="160"/>
        <v>1</v>
      </c>
      <c r="E170" s="3" t="e">
        <f t="shared" si="160"/>
        <v>#REF!</v>
      </c>
      <c r="F170" s="3">
        <f t="shared" si="160"/>
        <v>1</v>
      </c>
      <c r="G170" s="3">
        <f t="shared" si="160"/>
        <v>1</v>
      </c>
      <c r="H170" s="3">
        <f t="shared" si="160"/>
        <v>1</v>
      </c>
      <c r="I170" s="3">
        <f t="shared" si="160"/>
        <v>1</v>
      </c>
      <c r="J170" s="3">
        <f t="shared" si="160"/>
        <v>1</v>
      </c>
      <c r="K170" s="3">
        <f t="shared" si="160"/>
        <v>1</v>
      </c>
      <c r="L170" s="3">
        <f t="shared" si="160"/>
        <v>1</v>
      </c>
      <c r="M170" s="3" t="e">
        <f t="shared" si="160"/>
        <v>#REF!</v>
      </c>
      <c r="N170" s="3">
        <f t="shared" si="160"/>
        <v>1</v>
      </c>
      <c r="O170" s="3">
        <f t="shared" si="160"/>
        <v>1</v>
      </c>
      <c r="P170" s="3">
        <f t="shared" si="160"/>
        <v>1</v>
      </c>
      <c r="Q170" s="3">
        <f t="shared" si="160"/>
        <v>1</v>
      </c>
      <c r="R170" s="3">
        <f t="shared" si="160"/>
        <v>1</v>
      </c>
      <c r="S170" s="3">
        <f t="shared" si="160"/>
        <v>1</v>
      </c>
      <c r="T170" s="3">
        <f t="shared" si="160"/>
        <v>1</v>
      </c>
      <c r="U170" s="3">
        <f t="shared" si="160"/>
        <v>1</v>
      </c>
      <c r="V170" s="3">
        <f t="shared" si="160"/>
        <v>1</v>
      </c>
      <c r="W170" s="3">
        <f t="shared" si="160"/>
        <v>1</v>
      </c>
    </row>
    <row r="171" customHeight="1" spans="1:23">
      <c r="A171" s="2">
        <v>158</v>
      </c>
      <c r="B171" s="3">
        <f t="shared" ref="B171:W171" si="161">MIN(1,IF($A171&lt;B$4+B$3,0,IF(B$2=0,1,IF(B$5=0,($A171-B$4)/B$2,IF(MOD($A171-B$4,B$5)=0,($A171-B$4)/B$2,QUOTIENT($A171-B$4,B$5)*B$5/B$2)))))</f>
        <v>1</v>
      </c>
      <c r="C171" s="3">
        <f t="shared" si="161"/>
        <v>1</v>
      </c>
      <c r="D171" s="3">
        <f t="shared" si="161"/>
        <v>1</v>
      </c>
      <c r="E171" s="3" t="e">
        <f t="shared" si="161"/>
        <v>#REF!</v>
      </c>
      <c r="F171" s="3">
        <f t="shared" si="161"/>
        <v>1</v>
      </c>
      <c r="G171" s="3">
        <f t="shared" si="161"/>
        <v>1</v>
      </c>
      <c r="H171" s="3">
        <f t="shared" si="161"/>
        <v>1</v>
      </c>
      <c r="I171" s="3">
        <f t="shared" si="161"/>
        <v>1</v>
      </c>
      <c r="J171" s="3">
        <f t="shared" si="161"/>
        <v>1</v>
      </c>
      <c r="K171" s="3">
        <f t="shared" si="161"/>
        <v>1</v>
      </c>
      <c r="L171" s="3">
        <f t="shared" si="161"/>
        <v>1</v>
      </c>
      <c r="M171" s="3" t="e">
        <f t="shared" si="161"/>
        <v>#REF!</v>
      </c>
      <c r="N171" s="3">
        <f t="shared" si="161"/>
        <v>1</v>
      </c>
      <c r="O171" s="3">
        <f t="shared" si="161"/>
        <v>1</v>
      </c>
      <c r="P171" s="3">
        <f t="shared" si="161"/>
        <v>1</v>
      </c>
      <c r="Q171" s="3">
        <f t="shared" si="161"/>
        <v>1</v>
      </c>
      <c r="R171" s="3">
        <f t="shared" si="161"/>
        <v>1</v>
      </c>
      <c r="S171" s="3">
        <f t="shared" si="161"/>
        <v>1</v>
      </c>
      <c r="T171" s="3">
        <f t="shared" si="161"/>
        <v>1</v>
      </c>
      <c r="U171" s="3">
        <f t="shared" si="161"/>
        <v>1</v>
      </c>
      <c r="V171" s="3">
        <f t="shared" si="161"/>
        <v>1</v>
      </c>
      <c r="W171" s="3">
        <f t="shared" si="161"/>
        <v>1</v>
      </c>
    </row>
    <row r="172" customHeight="1" spans="1:23">
      <c r="A172" s="2">
        <v>159</v>
      </c>
      <c r="B172" s="3">
        <f t="shared" ref="B172:W172" si="162">MIN(1,IF($A172&lt;B$4+B$3,0,IF(B$2=0,1,IF(B$5=0,($A172-B$4)/B$2,IF(MOD($A172-B$4,B$5)=0,($A172-B$4)/B$2,QUOTIENT($A172-B$4,B$5)*B$5/B$2)))))</f>
        <v>1</v>
      </c>
      <c r="C172" s="3">
        <f t="shared" si="162"/>
        <v>1</v>
      </c>
      <c r="D172" s="3">
        <f t="shared" si="162"/>
        <v>1</v>
      </c>
      <c r="E172" s="3" t="e">
        <f t="shared" si="162"/>
        <v>#REF!</v>
      </c>
      <c r="F172" s="3">
        <f t="shared" si="162"/>
        <v>1</v>
      </c>
      <c r="G172" s="3">
        <f t="shared" si="162"/>
        <v>1</v>
      </c>
      <c r="H172" s="3">
        <f t="shared" si="162"/>
        <v>1</v>
      </c>
      <c r="I172" s="3">
        <f t="shared" si="162"/>
        <v>1</v>
      </c>
      <c r="J172" s="3">
        <f t="shared" si="162"/>
        <v>1</v>
      </c>
      <c r="K172" s="3">
        <f t="shared" si="162"/>
        <v>1</v>
      </c>
      <c r="L172" s="3">
        <f t="shared" si="162"/>
        <v>1</v>
      </c>
      <c r="M172" s="3" t="e">
        <f t="shared" si="162"/>
        <v>#REF!</v>
      </c>
      <c r="N172" s="3">
        <f t="shared" si="162"/>
        <v>1</v>
      </c>
      <c r="O172" s="3">
        <f t="shared" si="162"/>
        <v>1</v>
      </c>
      <c r="P172" s="3">
        <f t="shared" si="162"/>
        <v>1</v>
      </c>
      <c r="Q172" s="3">
        <f t="shared" si="162"/>
        <v>1</v>
      </c>
      <c r="R172" s="3">
        <f t="shared" si="162"/>
        <v>1</v>
      </c>
      <c r="S172" s="3">
        <f t="shared" si="162"/>
        <v>1</v>
      </c>
      <c r="T172" s="3">
        <f t="shared" si="162"/>
        <v>1</v>
      </c>
      <c r="U172" s="3">
        <f t="shared" si="162"/>
        <v>1</v>
      </c>
      <c r="V172" s="3">
        <f t="shared" si="162"/>
        <v>1</v>
      </c>
      <c r="W172" s="3">
        <f t="shared" si="162"/>
        <v>1</v>
      </c>
    </row>
    <row r="173" customHeight="1" spans="1:23">
      <c r="A173" s="2">
        <v>160</v>
      </c>
      <c r="B173" s="3">
        <f t="shared" ref="B173:W173" si="163">MIN(1,IF($A173&lt;B$4+B$3,0,IF(B$2=0,1,IF(B$5=0,($A173-B$4)/B$2,IF(MOD($A173-B$4,B$5)=0,($A173-B$4)/B$2,QUOTIENT($A173-B$4,B$5)*B$5/B$2)))))</f>
        <v>1</v>
      </c>
      <c r="C173" s="3">
        <f t="shared" si="163"/>
        <v>1</v>
      </c>
      <c r="D173" s="3">
        <f t="shared" si="163"/>
        <v>1</v>
      </c>
      <c r="E173" s="3" t="e">
        <f t="shared" si="163"/>
        <v>#REF!</v>
      </c>
      <c r="F173" s="3">
        <f t="shared" si="163"/>
        <v>1</v>
      </c>
      <c r="G173" s="3">
        <f t="shared" si="163"/>
        <v>1</v>
      </c>
      <c r="H173" s="3">
        <f t="shared" si="163"/>
        <v>1</v>
      </c>
      <c r="I173" s="3">
        <f t="shared" si="163"/>
        <v>1</v>
      </c>
      <c r="J173" s="3">
        <f t="shared" si="163"/>
        <v>1</v>
      </c>
      <c r="K173" s="3">
        <f t="shared" si="163"/>
        <v>1</v>
      </c>
      <c r="L173" s="3">
        <f t="shared" si="163"/>
        <v>1</v>
      </c>
      <c r="M173" s="3" t="e">
        <f t="shared" si="163"/>
        <v>#REF!</v>
      </c>
      <c r="N173" s="3">
        <f t="shared" si="163"/>
        <v>1</v>
      </c>
      <c r="O173" s="3">
        <f t="shared" si="163"/>
        <v>1</v>
      </c>
      <c r="P173" s="3">
        <f t="shared" si="163"/>
        <v>1</v>
      </c>
      <c r="Q173" s="3">
        <f t="shared" si="163"/>
        <v>1</v>
      </c>
      <c r="R173" s="3">
        <f t="shared" si="163"/>
        <v>1</v>
      </c>
      <c r="S173" s="3">
        <f t="shared" si="163"/>
        <v>1</v>
      </c>
      <c r="T173" s="3">
        <f t="shared" si="163"/>
        <v>1</v>
      </c>
      <c r="U173" s="3">
        <f t="shared" si="163"/>
        <v>1</v>
      </c>
      <c r="V173" s="3">
        <f t="shared" si="163"/>
        <v>1</v>
      </c>
      <c r="W173" s="3">
        <f t="shared" si="163"/>
        <v>1</v>
      </c>
    </row>
    <row r="174" customHeight="1" spans="1:23">
      <c r="A174" s="2">
        <v>161</v>
      </c>
      <c r="B174" s="3">
        <f t="shared" ref="B174:W174" si="164">MIN(1,IF($A174&lt;B$4+B$3,0,IF(B$2=0,1,IF(B$5=0,($A174-B$4)/B$2,IF(MOD($A174-B$4,B$5)=0,($A174-B$4)/B$2,QUOTIENT($A174-B$4,B$5)*B$5/B$2)))))</f>
        <v>1</v>
      </c>
      <c r="C174" s="3">
        <f t="shared" si="164"/>
        <v>1</v>
      </c>
      <c r="D174" s="3">
        <f t="shared" si="164"/>
        <v>1</v>
      </c>
      <c r="E174" s="3" t="e">
        <f t="shared" si="164"/>
        <v>#REF!</v>
      </c>
      <c r="F174" s="3">
        <f t="shared" si="164"/>
        <v>1</v>
      </c>
      <c r="G174" s="3">
        <f t="shared" si="164"/>
        <v>1</v>
      </c>
      <c r="H174" s="3">
        <f t="shared" si="164"/>
        <v>1</v>
      </c>
      <c r="I174" s="3">
        <f t="shared" si="164"/>
        <v>1</v>
      </c>
      <c r="J174" s="3">
        <f t="shared" si="164"/>
        <v>1</v>
      </c>
      <c r="K174" s="3">
        <f t="shared" si="164"/>
        <v>1</v>
      </c>
      <c r="L174" s="3">
        <f t="shared" si="164"/>
        <v>1</v>
      </c>
      <c r="M174" s="3" t="e">
        <f t="shared" si="164"/>
        <v>#REF!</v>
      </c>
      <c r="N174" s="3">
        <f t="shared" si="164"/>
        <v>1</v>
      </c>
      <c r="O174" s="3">
        <f t="shared" si="164"/>
        <v>1</v>
      </c>
      <c r="P174" s="3">
        <f t="shared" si="164"/>
        <v>1</v>
      </c>
      <c r="Q174" s="3">
        <f t="shared" si="164"/>
        <v>1</v>
      </c>
      <c r="R174" s="3">
        <f t="shared" si="164"/>
        <v>1</v>
      </c>
      <c r="S174" s="3">
        <f t="shared" si="164"/>
        <v>1</v>
      </c>
      <c r="T174" s="3">
        <f t="shared" si="164"/>
        <v>1</v>
      </c>
      <c r="U174" s="3">
        <f t="shared" si="164"/>
        <v>1</v>
      </c>
      <c r="V174" s="3">
        <f t="shared" si="164"/>
        <v>1</v>
      </c>
      <c r="W174" s="3">
        <f t="shared" si="164"/>
        <v>1</v>
      </c>
    </row>
    <row r="175" customHeight="1" spans="1:23">
      <c r="A175" s="2">
        <v>162</v>
      </c>
      <c r="B175" s="3">
        <f t="shared" ref="B175:W175" si="165">MIN(1,IF($A175&lt;B$4+B$3,0,IF(B$2=0,1,IF(B$5=0,($A175-B$4)/B$2,IF(MOD($A175-B$4,B$5)=0,($A175-B$4)/B$2,QUOTIENT($A175-B$4,B$5)*B$5/B$2)))))</f>
        <v>1</v>
      </c>
      <c r="C175" s="3">
        <f t="shared" si="165"/>
        <v>1</v>
      </c>
      <c r="D175" s="3">
        <f t="shared" si="165"/>
        <v>1</v>
      </c>
      <c r="E175" s="3" t="e">
        <f t="shared" si="165"/>
        <v>#REF!</v>
      </c>
      <c r="F175" s="3">
        <f t="shared" si="165"/>
        <v>1</v>
      </c>
      <c r="G175" s="3">
        <f t="shared" si="165"/>
        <v>1</v>
      </c>
      <c r="H175" s="3">
        <f t="shared" si="165"/>
        <v>1</v>
      </c>
      <c r="I175" s="3">
        <f t="shared" si="165"/>
        <v>1</v>
      </c>
      <c r="J175" s="3">
        <f t="shared" si="165"/>
        <v>1</v>
      </c>
      <c r="K175" s="3">
        <f t="shared" si="165"/>
        <v>1</v>
      </c>
      <c r="L175" s="3">
        <f t="shared" si="165"/>
        <v>1</v>
      </c>
      <c r="M175" s="3" t="e">
        <f t="shared" si="165"/>
        <v>#REF!</v>
      </c>
      <c r="N175" s="3">
        <f t="shared" si="165"/>
        <v>1</v>
      </c>
      <c r="O175" s="3">
        <f t="shared" si="165"/>
        <v>1</v>
      </c>
      <c r="P175" s="3">
        <f t="shared" si="165"/>
        <v>1</v>
      </c>
      <c r="Q175" s="3">
        <f t="shared" si="165"/>
        <v>1</v>
      </c>
      <c r="R175" s="3">
        <f t="shared" si="165"/>
        <v>1</v>
      </c>
      <c r="S175" s="3">
        <f t="shared" si="165"/>
        <v>1</v>
      </c>
      <c r="T175" s="3">
        <f t="shared" si="165"/>
        <v>1</v>
      </c>
      <c r="U175" s="3">
        <f t="shared" si="165"/>
        <v>1</v>
      </c>
      <c r="V175" s="3">
        <f t="shared" si="165"/>
        <v>1</v>
      </c>
      <c r="W175" s="3">
        <f t="shared" si="165"/>
        <v>1</v>
      </c>
    </row>
    <row r="176" customHeight="1" spans="1:23">
      <c r="A176" s="2">
        <v>163</v>
      </c>
      <c r="B176" s="3">
        <f t="shared" ref="B176:W176" si="166">MIN(1,IF($A176&lt;B$4+B$3,0,IF(B$2=0,1,IF(B$5=0,($A176-B$4)/B$2,IF(MOD($A176-B$4,B$5)=0,($A176-B$4)/B$2,QUOTIENT($A176-B$4,B$5)*B$5/B$2)))))</f>
        <v>1</v>
      </c>
      <c r="C176" s="3">
        <f t="shared" si="166"/>
        <v>1</v>
      </c>
      <c r="D176" s="3">
        <f t="shared" si="166"/>
        <v>1</v>
      </c>
      <c r="E176" s="3" t="e">
        <f t="shared" si="166"/>
        <v>#REF!</v>
      </c>
      <c r="F176" s="3">
        <f t="shared" si="166"/>
        <v>1</v>
      </c>
      <c r="G176" s="3">
        <f t="shared" si="166"/>
        <v>1</v>
      </c>
      <c r="H176" s="3">
        <f t="shared" si="166"/>
        <v>1</v>
      </c>
      <c r="I176" s="3">
        <f t="shared" si="166"/>
        <v>1</v>
      </c>
      <c r="J176" s="3">
        <f t="shared" si="166"/>
        <v>1</v>
      </c>
      <c r="K176" s="3">
        <f t="shared" si="166"/>
        <v>1</v>
      </c>
      <c r="L176" s="3">
        <f t="shared" si="166"/>
        <v>1</v>
      </c>
      <c r="M176" s="3" t="e">
        <f t="shared" si="166"/>
        <v>#REF!</v>
      </c>
      <c r="N176" s="3">
        <f t="shared" si="166"/>
        <v>1</v>
      </c>
      <c r="O176" s="3">
        <f t="shared" si="166"/>
        <v>1</v>
      </c>
      <c r="P176" s="3">
        <f t="shared" si="166"/>
        <v>1</v>
      </c>
      <c r="Q176" s="3">
        <f t="shared" si="166"/>
        <v>1</v>
      </c>
      <c r="R176" s="3">
        <f t="shared" si="166"/>
        <v>1</v>
      </c>
      <c r="S176" s="3">
        <f t="shared" si="166"/>
        <v>1</v>
      </c>
      <c r="T176" s="3">
        <f t="shared" si="166"/>
        <v>1</v>
      </c>
      <c r="U176" s="3">
        <f t="shared" si="166"/>
        <v>1</v>
      </c>
      <c r="V176" s="3">
        <f t="shared" si="166"/>
        <v>1</v>
      </c>
      <c r="W176" s="3">
        <f t="shared" si="166"/>
        <v>1</v>
      </c>
    </row>
    <row r="177" customHeight="1" spans="1:23">
      <c r="A177" s="2">
        <v>164</v>
      </c>
      <c r="B177" s="3">
        <f t="shared" ref="B177:W177" si="167">MIN(1,IF($A177&lt;B$4+B$3,0,IF(B$2=0,1,IF(B$5=0,($A177-B$4)/B$2,IF(MOD($A177-B$4,B$5)=0,($A177-B$4)/B$2,QUOTIENT($A177-B$4,B$5)*B$5/B$2)))))</f>
        <v>1</v>
      </c>
      <c r="C177" s="3">
        <f t="shared" si="167"/>
        <v>1</v>
      </c>
      <c r="D177" s="3">
        <f t="shared" si="167"/>
        <v>1</v>
      </c>
      <c r="E177" s="3" t="e">
        <f t="shared" si="167"/>
        <v>#REF!</v>
      </c>
      <c r="F177" s="3">
        <f t="shared" si="167"/>
        <v>1</v>
      </c>
      <c r="G177" s="3">
        <f t="shared" si="167"/>
        <v>1</v>
      </c>
      <c r="H177" s="3">
        <f t="shared" si="167"/>
        <v>1</v>
      </c>
      <c r="I177" s="3">
        <f t="shared" si="167"/>
        <v>1</v>
      </c>
      <c r="J177" s="3">
        <f t="shared" si="167"/>
        <v>1</v>
      </c>
      <c r="K177" s="3">
        <f t="shared" si="167"/>
        <v>1</v>
      </c>
      <c r="L177" s="3">
        <f t="shared" si="167"/>
        <v>1</v>
      </c>
      <c r="M177" s="3" t="e">
        <f t="shared" si="167"/>
        <v>#REF!</v>
      </c>
      <c r="N177" s="3">
        <f t="shared" si="167"/>
        <v>1</v>
      </c>
      <c r="O177" s="3">
        <f t="shared" si="167"/>
        <v>1</v>
      </c>
      <c r="P177" s="3">
        <f t="shared" si="167"/>
        <v>1</v>
      </c>
      <c r="Q177" s="3">
        <f t="shared" si="167"/>
        <v>1</v>
      </c>
      <c r="R177" s="3">
        <f t="shared" si="167"/>
        <v>1</v>
      </c>
      <c r="S177" s="3">
        <f t="shared" si="167"/>
        <v>1</v>
      </c>
      <c r="T177" s="3">
        <f t="shared" si="167"/>
        <v>1</v>
      </c>
      <c r="U177" s="3">
        <f t="shared" si="167"/>
        <v>1</v>
      </c>
      <c r="V177" s="3">
        <f t="shared" si="167"/>
        <v>1</v>
      </c>
      <c r="W177" s="3">
        <f t="shared" si="167"/>
        <v>1</v>
      </c>
    </row>
    <row r="178" customHeight="1" spans="1:23">
      <c r="A178" s="2">
        <v>165</v>
      </c>
      <c r="B178" s="3">
        <f t="shared" ref="B178:W178" si="168">MIN(1,IF($A178&lt;B$4+B$3,0,IF(B$2=0,1,IF(B$5=0,($A178-B$4)/B$2,IF(MOD($A178-B$4,B$5)=0,($A178-B$4)/B$2,QUOTIENT($A178-B$4,B$5)*B$5/B$2)))))</f>
        <v>1</v>
      </c>
      <c r="C178" s="3">
        <f t="shared" si="168"/>
        <v>1</v>
      </c>
      <c r="D178" s="3">
        <f t="shared" si="168"/>
        <v>1</v>
      </c>
      <c r="E178" s="3" t="e">
        <f t="shared" si="168"/>
        <v>#REF!</v>
      </c>
      <c r="F178" s="3">
        <f t="shared" si="168"/>
        <v>1</v>
      </c>
      <c r="G178" s="3">
        <f t="shared" si="168"/>
        <v>1</v>
      </c>
      <c r="H178" s="3">
        <f t="shared" si="168"/>
        <v>1</v>
      </c>
      <c r="I178" s="3">
        <f t="shared" si="168"/>
        <v>1</v>
      </c>
      <c r="J178" s="3">
        <f t="shared" si="168"/>
        <v>1</v>
      </c>
      <c r="K178" s="3">
        <f t="shared" si="168"/>
        <v>1</v>
      </c>
      <c r="L178" s="3">
        <f t="shared" si="168"/>
        <v>1</v>
      </c>
      <c r="M178" s="3" t="e">
        <f t="shared" si="168"/>
        <v>#REF!</v>
      </c>
      <c r="N178" s="3">
        <f t="shared" si="168"/>
        <v>1</v>
      </c>
      <c r="O178" s="3">
        <f t="shared" si="168"/>
        <v>1</v>
      </c>
      <c r="P178" s="3">
        <f t="shared" si="168"/>
        <v>1</v>
      </c>
      <c r="Q178" s="3">
        <f t="shared" si="168"/>
        <v>1</v>
      </c>
      <c r="R178" s="3">
        <f t="shared" si="168"/>
        <v>1</v>
      </c>
      <c r="S178" s="3">
        <f t="shared" si="168"/>
        <v>1</v>
      </c>
      <c r="T178" s="3">
        <f t="shared" si="168"/>
        <v>1</v>
      </c>
      <c r="U178" s="3">
        <f t="shared" si="168"/>
        <v>1</v>
      </c>
      <c r="V178" s="3">
        <f t="shared" si="168"/>
        <v>1</v>
      </c>
      <c r="W178" s="3">
        <f t="shared" si="168"/>
        <v>1</v>
      </c>
    </row>
    <row r="179" customHeight="1" spans="1:23">
      <c r="A179" s="2">
        <v>166</v>
      </c>
      <c r="B179" s="3">
        <f t="shared" ref="B179:W179" si="169">MIN(1,IF($A179&lt;B$4+B$3,0,IF(B$2=0,1,IF(B$5=0,($A179-B$4)/B$2,IF(MOD($A179-B$4,B$5)=0,($A179-B$4)/B$2,QUOTIENT($A179-B$4,B$5)*B$5/B$2)))))</f>
        <v>1</v>
      </c>
      <c r="C179" s="3">
        <f t="shared" si="169"/>
        <v>1</v>
      </c>
      <c r="D179" s="3">
        <f t="shared" si="169"/>
        <v>1</v>
      </c>
      <c r="E179" s="3" t="e">
        <f t="shared" si="169"/>
        <v>#REF!</v>
      </c>
      <c r="F179" s="3">
        <f t="shared" si="169"/>
        <v>1</v>
      </c>
      <c r="G179" s="3">
        <f t="shared" si="169"/>
        <v>1</v>
      </c>
      <c r="H179" s="3">
        <f t="shared" si="169"/>
        <v>1</v>
      </c>
      <c r="I179" s="3">
        <f t="shared" si="169"/>
        <v>1</v>
      </c>
      <c r="J179" s="3">
        <f t="shared" si="169"/>
        <v>1</v>
      </c>
      <c r="K179" s="3">
        <f t="shared" si="169"/>
        <v>1</v>
      </c>
      <c r="L179" s="3">
        <f t="shared" si="169"/>
        <v>1</v>
      </c>
      <c r="M179" s="3" t="e">
        <f t="shared" si="169"/>
        <v>#REF!</v>
      </c>
      <c r="N179" s="3">
        <f t="shared" si="169"/>
        <v>1</v>
      </c>
      <c r="O179" s="3">
        <f t="shared" si="169"/>
        <v>1</v>
      </c>
      <c r="P179" s="3">
        <f t="shared" si="169"/>
        <v>1</v>
      </c>
      <c r="Q179" s="3">
        <f t="shared" si="169"/>
        <v>1</v>
      </c>
      <c r="R179" s="3">
        <f t="shared" si="169"/>
        <v>1</v>
      </c>
      <c r="S179" s="3">
        <f t="shared" si="169"/>
        <v>1</v>
      </c>
      <c r="T179" s="3">
        <f t="shared" si="169"/>
        <v>1</v>
      </c>
      <c r="U179" s="3">
        <f t="shared" si="169"/>
        <v>1</v>
      </c>
      <c r="V179" s="3">
        <f t="shared" si="169"/>
        <v>1</v>
      </c>
      <c r="W179" s="3">
        <f t="shared" si="169"/>
        <v>1</v>
      </c>
    </row>
    <row r="180" customHeight="1" spans="1:23">
      <c r="A180" s="2">
        <v>167</v>
      </c>
      <c r="B180" s="3">
        <f t="shared" ref="B180:W180" si="170">MIN(1,IF($A180&lt;B$4+B$3,0,IF(B$2=0,1,IF(B$5=0,($A180-B$4)/B$2,IF(MOD($A180-B$4,B$5)=0,($A180-B$4)/B$2,QUOTIENT($A180-B$4,B$5)*B$5/B$2)))))</f>
        <v>1</v>
      </c>
      <c r="C180" s="3">
        <f t="shared" si="170"/>
        <v>1</v>
      </c>
      <c r="D180" s="3">
        <f t="shared" si="170"/>
        <v>1</v>
      </c>
      <c r="E180" s="3" t="e">
        <f t="shared" si="170"/>
        <v>#REF!</v>
      </c>
      <c r="F180" s="3">
        <f t="shared" si="170"/>
        <v>1</v>
      </c>
      <c r="G180" s="3">
        <f t="shared" si="170"/>
        <v>1</v>
      </c>
      <c r="H180" s="3">
        <f t="shared" si="170"/>
        <v>1</v>
      </c>
      <c r="I180" s="3">
        <f t="shared" si="170"/>
        <v>1</v>
      </c>
      <c r="J180" s="3">
        <f t="shared" si="170"/>
        <v>1</v>
      </c>
      <c r="K180" s="3">
        <f t="shared" si="170"/>
        <v>1</v>
      </c>
      <c r="L180" s="3">
        <f t="shared" si="170"/>
        <v>1</v>
      </c>
      <c r="M180" s="3" t="e">
        <f t="shared" si="170"/>
        <v>#REF!</v>
      </c>
      <c r="N180" s="3">
        <f t="shared" si="170"/>
        <v>1</v>
      </c>
      <c r="O180" s="3">
        <f t="shared" si="170"/>
        <v>1</v>
      </c>
      <c r="P180" s="3">
        <f t="shared" si="170"/>
        <v>1</v>
      </c>
      <c r="Q180" s="3">
        <f t="shared" si="170"/>
        <v>1</v>
      </c>
      <c r="R180" s="3">
        <f t="shared" si="170"/>
        <v>1</v>
      </c>
      <c r="S180" s="3">
        <f t="shared" si="170"/>
        <v>1</v>
      </c>
      <c r="T180" s="3">
        <f t="shared" si="170"/>
        <v>1</v>
      </c>
      <c r="U180" s="3">
        <f t="shared" si="170"/>
        <v>1</v>
      </c>
      <c r="V180" s="3">
        <f t="shared" si="170"/>
        <v>1</v>
      </c>
      <c r="W180" s="3">
        <f t="shared" si="170"/>
        <v>1</v>
      </c>
    </row>
    <row r="181" customHeight="1" spans="1:23">
      <c r="A181" s="2">
        <v>168</v>
      </c>
      <c r="B181" s="3">
        <f t="shared" ref="B181:W181" si="171">MIN(1,IF($A181&lt;B$4+B$3,0,IF(B$2=0,1,IF(B$5=0,($A181-B$4)/B$2,IF(MOD($A181-B$4,B$5)=0,($A181-B$4)/B$2,QUOTIENT($A181-B$4,B$5)*B$5/B$2)))))</f>
        <v>1</v>
      </c>
      <c r="C181" s="3">
        <f t="shared" si="171"/>
        <v>1</v>
      </c>
      <c r="D181" s="3">
        <f t="shared" si="171"/>
        <v>1</v>
      </c>
      <c r="E181" s="3" t="e">
        <f t="shared" si="171"/>
        <v>#REF!</v>
      </c>
      <c r="F181" s="3">
        <f t="shared" si="171"/>
        <v>1</v>
      </c>
      <c r="G181" s="3">
        <f t="shared" si="171"/>
        <v>1</v>
      </c>
      <c r="H181" s="3">
        <f t="shared" si="171"/>
        <v>1</v>
      </c>
      <c r="I181" s="3">
        <f t="shared" si="171"/>
        <v>1</v>
      </c>
      <c r="J181" s="3">
        <f t="shared" si="171"/>
        <v>1</v>
      </c>
      <c r="K181" s="3">
        <f t="shared" si="171"/>
        <v>1</v>
      </c>
      <c r="L181" s="3">
        <f t="shared" si="171"/>
        <v>1</v>
      </c>
      <c r="M181" s="3" t="e">
        <f t="shared" si="171"/>
        <v>#REF!</v>
      </c>
      <c r="N181" s="3">
        <f t="shared" si="171"/>
        <v>1</v>
      </c>
      <c r="O181" s="3">
        <f t="shared" si="171"/>
        <v>1</v>
      </c>
      <c r="P181" s="3">
        <f t="shared" si="171"/>
        <v>1</v>
      </c>
      <c r="Q181" s="3">
        <f t="shared" si="171"/>
        <v>1</v>
      </c>
      <c r="R181" s="3">
        <f t="shared" si="171"/>
        <v>1</v>
      </c>
      <c r="S181" s="3">
        <f t="shared" si="171"/>
        <v>1</v>
      </c>
      <c r="T181" s="3">
        <f t="shared" si="171"/>
        <v>1</v>
      </c>
      <c r="U181" s="3">
        <f t="shared" si="171"/>
        <v>1</v>
      </c>
      <c r="V181" s="3">
        <f t="shared" si="171"/>
        <v>1</v>
      </c>
      <c r="W181" s="3">
        <f t="shared" si="171"/>
        <v>1</v>
      </c>
    </row>
    <row r="182" customHeight="1" spans="1:23">
      <c r="A182" s="2">
        <v>169</v>
      </c>
      <c r="B182" s="3">
        <f t="shared" ref="B182:W182" si="172">MIN(1,IF($A182&lt;B$4+B$3,0,IF(B$2=0,1,IF(B$5=0,($A182-B$4)/B$2,IF(MOD($A182-B$4,B$5)=0,($A182-B$4)/B$2,QUOTIENT($A182-B$4,B$5)*B$5/B$2)))))</f>
        <v>1</v>
      </c>
      <c r="C182" s="3">
        <f t="shared" si="172"/>
        <v>1</v>
      </c>
      <c r="D182" s="3">
        <f t="shared" si="172"/>
        <v>1</v>
      </c>
      <c r="E182" s="3" t="e">
        <f t="shared" si="172"/>
        <v>#REF!</v>
      </c>
      <c r="F182" s="3">
        <f t="shared" si="172"/>
        <v>1</v>
      </c>
      <c r="G182" s="3">
        <f t="shared" si="172"/>
        <v>1</v>
      </c>
      <c r="H182" s="3">
        <f t="shared" si="172"/>
        <v>1</v>
      </c>
      <c r="I182" s="3">
        <f t="shared" si="172"/>
        <v>1</v>
      </c>
      <c r="J182" s="3">
        <f t="shared" si="172"/>
        <v>1</v>
      </c>
      <c r="K182" s="3">
        <f t="shared" si="172"/>
        <v>1</v>
      </c>
      <c r="L182" s="3">
        <f t="shared" si="172"/>
        <v>1</v>
      </c>
      <c r="M182" s="3" t="e">
        <f t="shared" si="172"/>
        <v>#REF!</v>
      </c>
      <c r="N182" s="3">
        <f t="shared" si="172"/>
        <v>1</v>
      </c>
      <c r="O182" s="3">
        <f t="shared" si="172"/>
        <v>1</v>
      </c>
      <c r="P182" s="3">
        <f t="shared" si="172"/>
        <v>1</v>
      </c>
      <c r="Q182" s="3">
        <f t="shared" si="172"/>
        <v>1</v>
      </c>
      <c r="R182" s="3">
        <f t="shared" si="172"/>
        <v>1</v>
      </c>
      <c r="S182" s="3">
        <f t="shared" si="172"/>
        <v>1</v>
      </c>
      <c r="T182" s="3">
        <f t="shared" si="172"/>
        <v>1</v>
      </c>
      <c r="U182" s="3">
        <f t="shared" si="172"/>
        <v>1</v>
      </c>
      <c r="V182" s="3">
        <f t="shared" si="172"/>
        <v>1</v>
      </c>
      <c r="W182" s="3">
        <f t="shared" si="172"/>
        <v>1</v>
      </c>
    </row>
    <row r="183" customHeight="1" spans="1:23">
      <c r="A183" s="2">
        <v>170</v>
      </c>
      <c r="B183" s="3">
        <f t="shared" ref="B183:W183" si="173">MIN(1,IF($A183&lt;B$4+B$3,0,IF(B$2=0,1,IF(B$5=0,($A183-B$4)/B$2,IF(MOD($A183-B$4,B$5)=0,($A183-B$4)/B$2,QUOTIENT($A183-B$4,B$5)*B$5/B$2)))))</f>
        <v>1</v>
      </c>
      <c r="C183" s="3">
        <f t="shared" si="173"/>
        <v>1</v>
      </c>
      <c r="D183" s="3">
        <f t="shared" si="173"/>
        <v>1</v>
      </c>
      <c r="E183" s="3" t="e">
        <f t="shared" si="173"/>
        <v>#REF!</v>
      </c>
      <c r="F183" s="3">
        <f t="shared" si="173"/>
        <v>1</v>
      </c>
      <c r="G183" s="3">
        <f t="shared" si="173"/>
        <v>1</v>
      </c>
      <c r="H183" s="3">
        <f t="shared" si="173"/>
        <v>1</v>
      </c>
      <c r="I183" s="3">
        <f t="shared" si="173"/>
        <v>1</v>
      </c>
      <c r="J183" s="3">
        <f t="shared" si="173"/>
        <v>1</v>
      </c>
      <c r="K183" s="3">
        <f t="shared" si="173"/>
        <v>1</v>
      </c>
      <c r="L183" s="3">
        <f t="shared" si="173"/>
        <v>1</v>
      </c>
      <c r="M183" s="3" t="e">
        <f t="shared" si="173"/>
        <v>#REF!</v>
      </c>
      <c r="N183" s="3">
        <f t="shared" si="173"/>
        <v>1</v>
      </c>
      <c r="O183" s="3">
        <f t="shared" si="173"/>
        <v>1</v>
      </c>
      <c r="P183" s="3">
        <f t="shared" si="173"/>
        <v>1</v>
      </c>
      <c r="Q183" s="3">
        <f t="shared" si="173"/>
        <v>1</v>
      </c>
      <c r="R183" s="3">
        <f t="shared" si="173"/>
        <v>1</v>
      </c>
      <c r="S183" s="3">
        <f t="shared" si="173"/>
        <v>1</v>
      </c>
      <c r="T183" s="3">
        <f t="shared" si="173"/>
        <v>1</v>
      </c>
      <c r="U183" s="3">
        <f t="shared" si="173"/>
        <v>1</v>
      </c>
      <c r="V183" s="3">
        <f t="shared" si="173"/>
        <v>1</v>
      </c>
      <c r="W183" s="3">
        <f t="shared" si="173"/>
        <v>1</v>
      </c>
    </row>
    <row r="184" customHeight="1" spans="1:23">
      <c r="A184" s="2">
        <v>171</v>
      </c>
      <c r="B184" s="3">
        <f t="shared" ref="B184:W184" si="174">MIN(1,IF($A184&lt;B$4+B$3,0,IF(B$2=0,1,IF(B$5=0,($A184-B$4)/B$2,IF(MOD($A184-B$4,B$5)=0,($A184-B$4)/B$2,QUOTIENT($A184-B$4,B$5)*B$5/B$2)))))</f>
        <v>1</v>
      </c>
      <c r="C184" s="3">
        <f t="shared" si="174"/>
        <v>1</v>
      </c>
      <c r="D184" s="3">
        <f t="shared" si="174"/>
        <v>1</v>
      </c>
      <c r="E184" s="3" t="e">
        <f t="shared" si="174"/>
        <v>#REF!</v>
      </c>
      <c r="F184" s="3">
        <f t="shared" si="174"/>
        <v>1</v>
      </c>
      <c r="G184" s="3">
        <f t="shared" si="174"/>
        <v>1</v>
      </c>
      <c r="H184" s="3">
        <f t="shared" si="174"/>
        <v>1</v>
      </c>
      <c r="I184" s="3">
        <f t="shared" si="174"/>
        <v>1</v>
      </c>
      <c r="J184" s="3">
        <f t="shared" si="174"/>
        <v>1</v>
      </c>
      <c r="K184" s="3">
        <f t="shared" si="174"/>
        <v>1</v>
      </c>
      <c r="L184" s="3">
        <f t="shared" si="174"/>
        <v>1</v>
      </c>
      <c r="M184" s="3" t="e">
        <f t="shared" si="174"/>
        <v>#REF!</v>
      </c>
      <c r="N184" s="3">
        <f t="shared" si="174"/>
        <v>1</v>
      </c>
      <c r="O184" s="3">
        <f t="shared" si="174"/>
        <v>1</v>
      </c>
      <c r="P184" s="3">
        <f t="shared" si="174"/>
        <v>1</v>
      </c>
      <c r="Q184" s="3">
        <f t="shared" si="174"/>
        <v>1</v>
      </c>
      <c r="R184" s="3">
        <f t="shared" si="174"/>
        <v>1</v>
      </c>
      <c r="S184" s="3">
        <f t="shared" si="174"/>
        <v>1</v>
      </c>
      <c r="T184" s="3">
        <f t="shared" si="174"/>
        <v>1</v>
      </c>
      <c r="U184" s="3">
        <f t="shared" si="174"/>
        <v>1</v>
      </c>
      <c r="V184" s="3">
        <f t="shared" si="174"/>
        <v>1</v>
      </c>
      <c r="W184" s="3">
        <f t="shared" si="174"/>
        <v>1</v>
      </c>
    </row>
    <row r="185" customHeight="1" spans="1:23">
      <c r="A185" s="2">
        <v>172</v>
      </c>
      <c r="B185" s="3">
        <f t="shared" ref="B185:W185" si="175">MIN(1,IF($A185&lt;B$4+B$3,0,IF(B$2=0,1,IF(B$5=0,($A185-B$4)/B$2,IF(MOD($A185-B$4,B$5)=0,($A185-B$4)/B$2,QUOTIENT($A185-B$4,B$5)*B$5/B$2)))))</f>
        <v>1</v>
      </c>
      <c r="C185" s="3">
        <f t="shared" si="175"/>
        <v>1</v>
      </c>
      <c r="D185" s="3">
        <f t="shared" si="175"/>
        <v>1</v>
      </c>
      <c r="E185" s="3" t="e">
        <f t="shared" si="175"/>
        <v>#REF!</v>
      </c>
      <c r="F185" s="3">
        <f t="shared" si="175"/>
        <v>1</v>
      </c>
      <c r="G185" s="3">
        <f t="shared" si="175"/>
        <v>1</v>
      </c>
      <c r="H185" s="3">
        <f t="shared" si="175"/>
        <v>1</v>
      </c>
      <c r="I185" s="3">
        <f t="shared" si="175"/>
        <v>1</v>
      </c>
      <c r="J185" s="3">
        <f t="shared" si="175"/>
        <v>1</v>
      </c>
      <c r="K185" s="3">
        <f t="shared" si="175"/>
        <v>1</v>
      </c>
      <c r="L185" s="3">
        <f t="shared" si="175"/>
        <v>1</v>
      </c>
      <c r="M185" s="3" t="e">
        <f t="shared" si="175"/>
        <v>#REF!</v>
      </c>
      <c r="N185" s="3">
        <f t="shared" si="175"/>
        <v>1</v>
      </c>
      <c r="O185" s="3">
        <f t="shared" si="175"/>
        <v>1</v>
      </c>
      <c r="P185" s="3">
        <f t="shared" si="175"/>
        <v>1</v>
      </c>
      <c r="Q185" s="3">
        <f t="shared" si="175"/>
        <v>1</v>
      </c>
      <c r="R185" s="3">
        <f t="shared" si="175"/>
        <v>1</v>
      </c>
      <c r="S185" s="3">
        <f t="shared" si="175"/>
        <v>1</v>
      </c>
      <c r="T185" s="3">
        <f t="shared" si="175"/>
        <v>1</v>
      </c>
      <c r="U185" s="3">
        <f t="shared" si="175"/>
        <v>1</v>
      </c>
      <c r="V185" s="3">
        <f t="shared" si="175"/>
        <v>1</v>
      </c>
      <c r="W185" s="3">
        <f t="shared" si="175"/>
        <v>1</v>
      </c>
    </row>
    <row r="186" customHeight="1" spans="1:23">
      <c r="A186" s="2">
        <v>173</v>
      </c>
      <c r="B186" s="3">
        <f t="shared" ref="B186:W186" si="176">MIN(1,IF($A186&lt;B$4+B$3,0,IF(B$2=0,1,IF(B$5=0,($A186-B$4)/B$2,IF(MOD($A186-B$4,B$5)=0,($A186-B$4)/B$2,QUOTIENT($A186-B$4,B$5)*B$5/B$2)))))</f>
        <v>1</v>
      </c>
      <c r="C186" s="3">
        <f t="shared" si="176"/>
        <v>1</v>
      </c>
      <c r="D186" s="3">
        <f t="shared" si="176"/>
        <v>1</v>
      </c>
      <c r="E186" s="3" t="e">
        <f t="shared" si="176"/>
        <v>#REF!</v>
      </c>
      <c r="F186" s="3">
        <f t="shared" si="176"/>
        <v>1</v>
      </c>
      <c r="G186" s="3">
        <f t="shared" si="176"/>
        <v>1</v>
      </c>
      <c r="H186" s="3">
        <f t="shared" si="176"/>
        <v>1</v>
      </c>
      <c r="I186" s="3">
        <f t="shared" si="176"/>
        <v>1</v>
      </c>
      <c r="J186" s="3">
        <f t="shared" si="176"/>
        <v>1</v>
      </c>
      <c r="K186" s="3">
        <f t="shared" si="176"/>
        <v>1</v>
      </c>
      <c r="L186" s="3">
        <f t="shared" si="176"/>
        <v>1</v>
      </c>
      <c r="M186" s="3" t="e">
        <f t="shared" si="176"/>
        <v>#REF!</v>
      </c>
      <c r="N186" s="3">
        <f t="shared" si="176"/>
        <v>1</v>
      </c>
      <c r="O186" s="3">
        <f t="shared" si="176"/>
        <v>1</v>
      </c>
      <c r="P186" s="3">
        <f t="shared" si="176"/>
        <v>1</v>
      </c>
      <c r="Q186" s="3">
        <f t="shared" si="176"/>
        <v>1</v>
      </c>
      <c r="R186" s="3">
        <f t="shared" si="176"/>
        <v>1</v>
      </c>
      <c r="S186" s="3">
        <f t="shared" si="176"/>
        <v>1</v>
      </c>
      <c r="T186" s="3">
        <f t="shared" si="176"/>
        <v>1</v>
      </c>
      <c r="U186" s="3">
        <f t="shared" si="176"/>
        <v>1</v>
      </c>
      <c r="V186" s="3">
        <f t="shared" si="176"/>
        <v>1</v>
      </c>
      <c r="W186" s="3">
        <f t="shared" si="176"/>
        <v>1</v>
      </c>
    </row>
    <row r="187" customHeight="1" spans="1:23">
      <c r="A187" s="2">
        <v>174</v>
      </c>
      <c r="B187" s="3">
        <f t="shared" ref="B187:W187" si="177">MIN(1,IF($A187&lt;B$4+B$3,0,IF(B$2=0,1,IF(B$5=0,($A187-B$4)/B$2,IF(MOD($A187-B$4,B$5)=0,($A187-B$4)/B$2,QUOTIENT($A187-B$4,B$5)*B$5/B$2)))))</f>
        <v>1</v>
      </c>
      <c r="C187" s="3">
        <f t="shared" si="177"/>
        <v>1</v>
      </c>
      <c r="D187" s="3">
        <f t="shared" si="177"/>
        <v>1</v>
      </c>
      <c r="E187" s="3" t="e">
        <f t="shared" si="177"/>
        <v>#REF!</v>
      </c>
      <c r="F187" s="3">
        <f t="shared" si="177"/>
        <v>1</v>
      </c>
      <c r="G187" s="3">
        <f t="shared" si="177"/>
        <v>1</v>
      </c>
      <c r="H187" s="3">
        <f t="shared" si="177"/>
        <v>1</v>
      </c>
      <c r="I187" s="3">
        <f t="shared" si="177"/>
        <v>1</v>
      </c>
      <c r="J187" s="3">
        <f t="shared" si="177"/>
        <v>1</v>
      </c>
      <c r="K187" s="3">
        <f t="shared" si="177"/>
        <v>1</v>
      </c>
      <c r="L187" s="3">
        <f t="shared" si="177"/>
        <v>1</v>
      </c>
      <c r="M187" s="3" t="e">
        <f t="shared" si="177"/>
        <v>#REF!</v>
      </c>
      <c r="N187" s="3">
        <f t="shared" si="177"/>
        <v>1</v>
      </c>
      <c r="O187" s="3">
        <f t="shared" si="177"/>
        <v>1</v>
      </c>
      <c r="P187" s="3">
        <f t="shared" si="177"/>
        <v>1</v>
      </c>
      <c r="Q187" s="3">
        <f t="shared" si="177"/>
        <v>1</v>
      </c>
      <c r="R187" s="3">
        <f t="shared" si="177"/>
        <v>1</v>
      </c>
      <c r="S187" s="3">
        <f t="shared" si="177"/>
        <v>1</v>
      </c>
      <c r="T187" s="3">
        <f t="shared" si="177"/>
        <v>1</v>
      </c>
      <c r="U187" s="3">
        <f t="shared" si="177"/>
        <v>1</v>
      </c>
      <c r="V187" s="3">
        <f t="shared" si="177"/>
        <v>1</v>
      </c>
      <c r="W187" s="3">
        <f t="shared" si="177"/>
        <v>1</v>
      </c>
    </row>
    <row r="188" customHeight="1" spans="1:23">
      <c r="A188" s="2">
        <v>175</v>
      </c>
      <c r="B188" s="3">
        <f t="shared" ref="B188:W188" si="178">MIN(1,IF($A188&lt;B$4+B$3,0,IF(B$2=0,1,IF(B$5=0,($A188-B$4)/B$2,IF(MOD($A188-B$4,B$5)=0,($A188-B$4)/B$2,QUOTIENT($A188-B$4,B$5)*B$5/B$2)))))</f>
        <v>1</v>
      </c>
      <c r="C188" s="3">
        <f t="shared" si="178"/>
        <v>1</v>
      </c>
      <c r="D188" s="3">
        <f t="shared" si="178"/>
        <v>1</v>
      </c>
      <c r="E188" s="3" t="e">
        <f t="shared" si="178"/>
        <v>#REF!</v>
      </c>
      <c r="F188" s="3">
        <f t="shared" si="178"/>
        <v>1</v>
      </c>
      <c r="G188" s="3">
        <f t="shared" si="178"/>
        <v>1</v>
      </c>
      <c r="H188" s="3">
        <f t="shared" si="178"/>
        <v>1</v>
      </c>
      <c r="I188" s="3">
        <f t="shared" si="178"/>
        <v>1</v>
      </c>
      <c r="J188" s="3">
        <f t="shared" si="178"/>
        <v>1</v>
      </c>
      <c r="K188" s="3">
        <f t="shared" si="178"/>
        <v>1</v>
      </c>
      <c r="L188" s="3">
        <f t="shared" si="178"/>
        <v>1</v>
      </c>
      <c r="M188" s="3" t="e">
        <f t="shared" si="178"/>
        <v>#REF!</v>
      </c>
      <c r="N188" s="3">
        <f t="shared" si="178"/>
        <v>1</v>
      </c>
      <c r="O188" s="3">
        <f t="shared" si="178"/>
        <v>1</v>
      </c>
      <c r="P188" s="3">
        <f t="shared" si="178"/>
        <v>1</v>
      </c>
      <c r="Q188" s="3">
        <f t="shared" si="178"/>
        <v>1</v>
      </c>
      <c r="R188" s="3">
        <f t="shared" si="178"/>
        <v>1</v>
      </c>
      <c r="S188" s="3">
        <f t="shared" si="178"/>
        <v>1</v>
      </c>
      <c r="T188" s="3">
        <f t="shared" si="178"/>
        <v>1</v>
      </c>
      <c r="U188" s="3">
        <f t="shared" si="178"/>
        <v>1</v>
      </c>
      <c r="V188" s="3">
        <f t="shared" si="178"/>
        <v>1</v>
      </c>
      <c r="W188" s="3">
        <f t="shared" si="178"/>
        <v>1</v>
      </c>
    </row>
    <row r="189" customHeight="1" spans="1:23">
      <c r="A189" s="2">
        <v>176</v>
      </c>
      <c r="B189" s="3">
        <f t="shared" ref="B189:W189" si="179">MIN(1,IF($A189&lt;B$4+B$3,0,IF(B$2=0,1,IF(B$5=0,($A189-B$4)/B$2,IF(MOD($A189-B$4,B$5)=0,($A189-B$4)/B$2,QUOTIENT($A189-B$4,B$5)*B$5/B$2)))))</f>
        <v>1</v>
      </c>
      <c r="C189" s="3">
        <f t="shared" si="179"/>
        <v>1</v>
      </c>
      <c r="D189" s="3">
        <f t="shared" si="179"/>
        <v>1</v>
      </c>
      <c r="E189" s="3" t="e">
        <f t="shared" si="179"/>
        <v>#REF!</v>
      </c>
      <c r="F189" s="3">
        <f t="shared" si="179"/>
        <v>1</v>
      </c>
      <c r="G189" s="3">
        <f t="shared" si="179"/>
        <v>1</v>
      </c>
      <c r="H189" s="3">
        <f t="shared" si="179"/>
        <v>1</v>
      </c>
      <c r="I189" s="3">
        <f t="shared" si="179"/>
        <v>1</v>
      </c>
      <c r="J189" s="3">
        <f t="shared" si="179"/>
        <v>1</v>
      </c>
      <c r="K189" s="3">
        <f t="shared" si="179"/>
        <v>1</v>
      </c>
      <c r="L189" s="3">
        <f t="shared" si="179"/>
        <v>1</v>
      </c>
      <c r="M189" s="3" t="e">
        <f t="shared" si="179"/>
        <v>#REF!</v>
      </c>
      <c r="N189" s="3">
        <f t="shared" si="179"/>
        <v>1</v>
      </c>
      <c r="O189" s="3">
        <f t="shared" si="179"/>
        <v>1</v>
      </c>
      <c r="P189" s="3">
        <f t="shared" si="179"/>
        <v>1</v>
      </c>
      <c r="Q189" s="3">
        <f t="shared" si="179"/>
        <v>1</v>
      </c>
      <c r="R189" s="3">
        <f t="shared" si="179"/>
        <v>1</v>
      </c>
      <c r="S189" s="3">
        <f t="shared" si="179"/>
        <v>1</v>
      </c>
      <c r="T189" s="3">
        <f t="shared" si="179"/>
        <v>1</v>
      </c>
      <c r="U189" s="3">
        <f t="shared" si="179"/>
        <v>1</v>
      </c>
      <c r="V189" s="3">
        <f t="shared" si="179"/>
        <v>1</v>
      </c>
      <c r="W189" s="3">
        <f t="shared" si="179"/>
        <v>1</v>
      </c>
    </row>
    <row r="190" customHeight="1" spans="1:23">
      <c r="A190" s="2">
        <v>177</v>
      </c>
      <c r="B190" s="3">
        <f t="shared" ref="B190:W190" si="180">MIN(1,IF($A190&lt;B$4+B$3,0,IF(B$2=0,1,IF(B$5=0,($A190-B$4)/B$2,IF(MOD($A190-B$4,B$5)=0,($A190-B$4)/B$2,QUOTIENT($A190-B$4,B$5)*B$5/B$2)))))</f>
        <v>1</v>
      </c>
      <c r="C190" s="3">
        <f t="shared" si="180"/>
        <v>1</v>
      </c>
      <c r="D190" s="3">
        <f t="shared" si="180"/>
        <v>1</v>
      </c>
      <c r="E190" s="3" t="e">
        <f t="shared" si="180"/>
        <v>#REF!</v>
      </c>
      <c r="F190" s="3">
        <f t="shared" si="180"/>
        <v>1</v>
      </c>
      <c r="G190" s="3">
        <f t="shared" si="180"/>
        <v>1</v>
      </c>
      <c r="H190" s="3">
        <f t="shared" si="180"/>
        <v>1</v>
      </c>
      <c r="I190" s="3">
        <f t="shared" si="180"/>
        <v>1</v>
      </c>
      <c r="J190" s="3">
        <f t="shared" si="180"/>
        <v>1</v>
      </c>
      <c r="K190" s="3">
        <f t="shared" si="180"/>
        <v>1</v>
      </c>
      <c r="L190" s="3">
        <f t="shared" si="180"/>
        <v>1</v>
      </c>
      <c r="M190" s="3" t="e">
        <f t="shared" si="180"/>
        <v>#REF!</v>
      </c>
      <c r="N190" s="3">
        <f t="shared" si="180"/>
        <v>1</v>
      </c>
      <c r="O190" s="3">
        <f t="shared" si="180"/>
        <v>1</v>
      </c>
      <c r="P190" s="3">
        <f t="shared" si="180"/>
        <v>1</v>
      </c>
      <c r="Q190" s="3">
        <f t="shared" si="180"/>
        <v>1</v>
      </c>
      <c r="R190" s="3">
        <f t="shared" si="180"/>
        <v>1</v>
      </c>
      <c r="S190" s="3">
        <f t="shared" si="180"/>
        <v>1</v>
      </c>
      <c r="T190" s="3">
        <f t="shared" si="180"/>
        <v>1</v>
      </c>
      <c r="U190" s="3">
        <f t="shared" si="180"/>
        <v>1</v>
      </c>
      <c r="V190" s="3">
        <f t="shared" si="180"/>
        <v>1</v>
      </c>
      <c r="W190" s="3">
        <f t="shared" si="180"/>
        <v>1</v>
      </c>
    </row>
    <row r="191" customHeight="1" spans="1:23">
      <c r="A191" s="2">
        <v>178</v>
      </c>
      <c r="B191" s="3">
        <f t="shared" ref="B191:W191" si="181">MIN(1,IF($A191&lt;B$4+B$3,0,IF(B$2=0,1,IF(B$5=0,($A191-B$4)/B$2,IF(MOD($A191-B$4,B$5)=0,($A191-B$4)/B$2,QUOTIENT($A191-B$4,B$5)*B$5/B$2)))))</f>
        <v>1</v>
      </c>
      <c r="C191" s="3">
        <f t="shared" si="181"/>
        <v>1</v>
      </c>
      <c r="D191" s="3">
        <f t="shared" si="181"/>
        <v>1</v>
      </c>
      <c r="E191" s="3" t="e">
        <f t="shared" si="181"/>
        <v>#REF!</v>
      </c>
      <c r="F191" s="3">
        <f t="shared" si="181"/>
        <v>1</v>
      </c>
      <c r="G191" s="3">
        <f t="shared" si="181"/>
        <v>1</v>
      </c>
      <c r="H191" s="3">
        <f t="shared" si="181"/>
        <v>1</v>
      </c>
      <c r="I191" s="3">
        <f t="shared" si="181"/>
        <v>1</v>
      </c>
      <c r="J191" s="3">
        <f t="shared" si="181"/>
        <v>1</v>
      </c>
      <c r="K191" s="3">
        <f t="shared" si="181"/>
        <v>1</v>
      </c>
      <c r="L191" s="3">
        <f t="shared" si="181"/>
        <v>1</v>
      </c>
      <c r="M191" s="3" t="e">
        <f t="shared" si="181"/>
        <v>#REF!</v>
      </c>
      <c r="N191" s="3">
        <f t="shared" si="181"/>
        <v>1</v>
      </c>
      <c r="O191" s="3">
        <f t="shared" si="181"/>
        <v>1</v>
      </c>
      <c r="P191" s="3">
        <f t="shared" si="181"/>
        <v>1</v>
      </c>
      <c r="Q191" s="3">
        <f t="shared" si="181"/>
        <v>1</v>
      </c>
      <c r="R191" s="3">
        <f t="shared" si="181"/>
        <v>1</v>
      </c>
      <c r="S191" s="3">
        <f t="shared" si="181"/>
        <v>1</v>
      </c>
      <c r="T191" s="3">
        <f t="shared" si="181"/>
        <v>1</v>
      </c>
      <c r="U191" s="3">
        <f t="shared" si="181"/>
        <v>1</v>
      </c>
      <c r="V191" s="3">
        <f t="shared" si="181"/>
        <v>1</v>
      </c>
      <c r="W191" s="3">
        <f t="shared" si="181"/>
        <v>1</v>
      </c>
    </row>
    <row r="192" customHeight="1" spans="1:23">
      <c r="A192" s="2">
        <v>179</v>
      </c>
      <c r="B192" s="3">
        <f t="shared" ref="B192:W192" si="182">MIN(1,IF($A192&lt;B$4+B$3,0,IF(B$2=0,1,IF(B$5=0,($A192-B$4)/B$2,IF(MOD($A192-B$4,B$5)=0,($A192-B$4)/B$2,QUOTIENT($A192-B$4,B$5)*B$5/B$2)))))</f>
        <v>1</v>
      </c>
      <c r="C192" s="3">
        <f t="shared" si="182"/>
        <v>1</v>
      </c>
      <c r="D192" s="3">
        <f t="shared" si="182"/>
        <v>1</v>
      </c>
      <c r="E192" s="3" t="e">
        <f t="shared" si="182"/>
        <v>#REF!</v>
      </c>
      <c r="F192" s="3">
        <f t="shared" si="182"/>
        <v>1</v>
      </c>
      <c r="G192" s="3">
        <f t="shared" si="182"/>
        <v>1</v>
      </c>
      <c r="H192" s="3">
        <f t="shared" si="182"/>
        <v>1</v>
      </c>
      <c r="I192" s="3">
        <f t="shared" si="182"/>
        <v>1</v>
      </c>
      <c r="J192" s="3">
        <f t="shared" si="182"/>
        <v>1</v>
      </c>
      <c r="K192" s="3">
        <f t="shared" si="182"/>
        <v>1</v>
      </c>
      <c r="L192" s="3">
        <f t="shared" si="182"/>
        <v>1</v>
      </c>
      <c r="M192" s="3" t="e">
        <f t="shared" si="182"/>
        <v>#REF!</v>
      </c>
      <c r="N192" s="3">
        <f t="shared" si="182"/>
        <v>1</v>
      </c>
      <c r="O192" s="3">
        <f t="shared" si="182"/>
        <v>1</v>
      </c>
      <c r="P192" s="3">
        <f t="shared" si="182"/>
        <v>1</v>
      </c>
      <c r="Q192" s="3">
        <f t="shared" si="182"/>
        <v>1</v>
      </c>
      <c r="R192" s="3">
        <f t="shared" si="182"/>
        <v>1</v>
      </c>
      <c r="S192" s="3">
        <f t="shared" si="182"/>
        <v>1</v>
      </c>
      <c r="T192" s="3">
        <f t="shared" si="182"/>
        <v>1</v>
      </c>
      <c r="U192" s="3">
        <f t="shared" si="182"/>
        <v>1</v>
      </c>
      <c r="V192" s="3">
        <f t="shared" si="182"/>
        <v>1</v>
      </c>
      <c r="W192" s="3">
        <f t="shared" si="182"/>
        <v>1</v>
      </c>
    </row>
    <row r="193" customHeight="1" spans="1:23">
      <c r="A193" s="2">
        <v>180</v>
      </c>
      <c r="B193" s="3">
        <f t="shared" ref="B193:W193" si="183">MIN(1,IF($A193&lt;B$4+B$3,0,IF(B$2=0,1,IF(B$5=0,($A193-B$4)/B$2,IF(MOD($A193-B$4,B$5)=0,($A193-B$4)/B$2,QUOTIENT($A193-B$4,B$5)*B$5/B$2)))))</f>
        <v>1</v>
      </c>
      <c r="C193" s="3">
        <f t="shared" si="183"/>
        <v>1</v>
      </c>
      <c r="D193" s="3">
        <f t="shared" si="183"/>
        <v>1</v>
      </c>
      <c r="E193" s="3" t="e">
        <f t="shared" si="183"/>
        <v>#REF!</v>
      </c>
      <c r="F193" s="3">
        <f t="shared" si="183"/>
        <v>1</v>
      </c>
      <c r="G193" s="3">
        <f t="shared" si="183"/>
        <v>1</v>
      </c>
      <c r="H193" s="3">
        <f t="shared" si="183"/>
        <v>1</v>
      </c>
      <c r="I193" s="3">
        <f t="shared" si="183"/>
        <v>1</v>
      </c>
      <c r="J193" s="3">
        <f t="shared" si="183"/>
        <v>1</v>
      </c>
      <c r="K193" s="3">
        <f t="shared" si="183"/>
        <v>1</v>
      </c>
      <c r="L193" s="3">
        <f t="shared" si="183"/>
        <v>1</v>
      </c>
      <c r="M193" s="3" t="e">
        <f t="shared" si="183"/>
        <v>#REF!</v>
      </c>
      <c r="N193" s="3">
        <f t="shared" si="183"/>
        <v>1</v>
      </c>
      <c r="O193" s="3">
        <f t="shared" si="183"/>
        <v>1</v>
      </c>
      <c r="P193" s="3">
        <f t="shared" si="183"/>
        <v>1</v>
      </c>
      <c r="Q193" s="3">
        <f t="shared" si="183"/>
        <v>1</v>
      </c>
      <c r="R193" s="3">
        <f t="shared" si="183"/>
        <v>1</v>
      </c>
      <c r="S193" s="3">
        <f t="shared" si="183"/>
        <v>1</v>
      </c>
      <c r="T193" s="3">
        <f t="shared" si="183"/>
        <v>1</v>
      </c>
      <c r="U193" s="3">
        <f t="shared" si="183"/>
        <v>1</v>
      </c>
      <c r="V193" s="3">
        <f t="shared" si="183"/>
        <v>1</v>
      </c>
      <c r="W193" s="3">
        <f t="shared" si="183"/>
        <v>1</v>
      </c>
    </row>
    <row r="194" customHeight="1" spans="1:23">
      <c r="A194" s="2">
        <v>181</v>
      </c>
      <c r="B194" s="3">
        <f t="shared" ref="B194:W194" si="184">MIN(1,IF($A194&lt;B$4+B$3,0,IF(B$2=0,1,IF(B$5=0,($A194-B$4)/B$2,IF(MOD($A194-B$4,B$5)=0,($A194-B$4)/B$2,QUOTIENT($A194-B$4,B$5)*B$5/B$2)))))</f>
        <v>1</v>
      </c>
      <c r="C194" s="3">
        <f t="shared" si="184"/>
        <v>1</v>
      </c>
      <c r="D194" s="3">
        <f t="shared" si="184"/>
        <v>1</v>
      </c>
      <c r="E194" s="3" t="e">
        <f t="shared" si="184"/>
        <v>#REF!</v>
      </c>
      <c r="F194" s="3">
        <f t="shared" si="184"/>
        <v>1</v>
      </c>
      <c r="G194" s="3">
        <f t="shared" si="184"/>
        <v>1</v>
      </c>
      <c r="H194" s="3">
        <f t="shared" si="184"/>
        <v>1</v>
      </c>
      <c r="I194" s="3">
        <f t="shared" si="184"/>
        <v>1</v>
      </c>
      <c r="J194" s="3">
        <f t="shared" si="184"/>
        <v>1</v>
      </c>
      <c r="K194" s="3">
        <f t="shared" si="184"/>
        <v>1</v>
      </c>
      <c r="L194" s="3">
        <f t="shared" si="184"/>
        <v>1</v>
      </c>
      <c r="M194" s="3" t="e">
        <f t="shared" si="184"/>
        <v>#REF!</v>
      </c>
      <c r="N194" s="3">
        <f t="shared" si="184"/>
        <v>1</v>
      </c>
      <c r="O194" s="3">
        <f t="shared" si="184"/>
        <v>1</v>
      </c>
      <c r="P194" s="3">
        <f t="shared" si="184"/>
        <v>1</v>
      </c>
      <c r="Q194" s="3">
        <f t="shared" si="184"/>
        <v>1</v>
      </c>
      <c r="R194" s="3">
        <f t="shared" si="184"/>
        <v>1</v>
      </c>
      <c r="S194" s="3">
        <f t="shared" si="184"/>
        <v>1</v>
      </c>
      <c r="T194" s="3">
        <f t="shared" si="184"/>
        <v>1</v>
      </c>
      <c r="U194" s="3">
        <f t="shared" si="184"/>
        <v>1</v>
      </c>
      <c r="V194" s="3">
        <f t="shared" si="184"/>
        <v>1</v>
      </c>
      <c r="W194" s="3">
        <f t="shared" si="184"/>
        <v>1</v>
      </c>
    </row>
    <row r="195" customHeight="1" spans="1:23">
      <c r="A195" s="2">
        <v>182</v>
      </c>
      <c r="B195" s="3">
        <f t="shared" ref="B195:W195" si="185">MIN(1,IF($A195&lt;B$4+B$3,0,IF(B$2=0,1,IF(B$5=0,($A195-B$4)/B$2,IF(MOD($A195-B$4,B$5)=0,($A195-B$4)/B$2,QUOTIENT($A195-B$4,B$5)*B$5/B$2)))))</f>
        <v>1</v>
      </c>
      <c r="C195" s="3">
        <f t="shared" si="185"/>
        <v>1</v>
      </c>
      <c r="D195" s="3">
        <f t="shared" si="185"/>
        <v>1</v>
      </c>
      <c r="E195" s="3" t="e">
        <f t="shared" si="185"/>
        <v>#REF!</v>
      </c>
      <c r="F195" s="3">
        <f t="shared" si="185"/>
        <v>1</v>
      </c>
      <c r="G195" s="3">
        <f t="shared" si="185"/>
        <v>1</v>
      </c>
      <c r="H195" s="3">
        <f t="shared" si="185"/>
        <v>1</v>
      </c>
      <c r="I195" s="3">
        <f t="shared" si="185"/>
        <v>1</v>
      </c>
      <c r="J195" s="3">
        <f t="shared" si="185"/>
        <v>1</v>
      </c>
      <c r="K195" s="3">
        <f t="shared" si="185"/>
        <v>1</v>
      </c>
      <c r="L195" s="3">
        <f t="shared" si="185"/>
        <v>1</v>
      </c>
      <c r="M195" s="3" t="e">
        <f t="shared" si="185"/>
        <v>#REF!</v>
      </c>
      <c r="N195" s="3">
        <f t="shared" si="185"/>
        <v>1</v>
      </c>
      <c r="O195" s="3">
        <f t="shared" si="185"/>
        <v>1</v>
      </c>
      <c r="P195" s="3">
        <f t="shared" si="185"/>
        <v>1</v>
      </c>
      <c r="Q195" s="3">
        <f t="shared" si="185"/>
        <v>1</v>
      </c>
      <c r="R195" s="3">
        <f t="shared" si="185"/>
        <v>1</v>
      </c>
      <c r="S195" s="3">
        <f t="shared" si="185"/>
        <v>1</v>
      </c>
      <c r="T195" s="3">
        <f t="shared" si="185"/>
        <v>1</v>
      </c>
      <c r="U195" s="3">
        <f t="shared" si="185"/>
        <v>1</v>
      </c>
      <c r="V195" s="3">
        <f t="shared" si="185"/>
        <v>1</v>
      </c>
      <c r="W195" s="3">
        <f t="shared" si="185"/>
        <v>1</v>
      </c>
    </row>
    <row r="196" customHeight="1" spans="1:23">
      <c r="A196" s="2">
        <v>183</v>
      </c>
      <c r="B196" s="3">
        <f t="shared" ref="B196:W196" si="186">MIN(1,IF($A196&lt;B$4+B$3,0,IF(B$2=0,1,IF(B$5=0,($A196-B$4)/B$2,IF(MOD($A196-B$4,B$5)=0,($A196-B$4)/B$2,QUOTIENT($A196-B$4,B$5)*B$5/B$2)))))</f>
        <v>1</v>
      </c>
      <c r="C196" s="3">
        <f t="shared" si="186"/>
        <v>1</v>
      </c>
      <c r="D196" s="3">
        <f t="shared" si="186"/>
        <v>1</v>
      </c>
      <c r="E196" s="3" t="e">
        <f t="shared" si="186"/>
        <v>#REF!</v>
      </c>
      <c r="F196" s="3">
        <f t="shared" si="186"/>
        <v>1</v>
      </c>
      <c r="G196" s="3">
        <f t="shared" si="186"/>
        <v>1</v>
      </c>
      <c r="H196" s="3">
        <f t="shared" si="186"/>
        <v>1</v>
      </c>
      <c r="I196" s="3">
        <f t="shared" si="186"/>
        <v>1</v>
      </c>
      <c r="J196" s="3">
        <f t="shared" si="186"/>
        <v>1</v>
      </c>
      <c r="K196" s="3">
        <f t="shared" si="186"/>
        <v>1</v>
      </c>
      <c r="L196" s="3">
        <f t="shared" si="186"/>
        <v>1</v>
      </c>
      <c r="M196" s="3" t="e">
        <f t="shared" si="186"/>
        <v>#REF!</v>
      </c>
      <c r="N196" s="3">
        <f t="shared" si="186"/>
        <v>1</v>
      </c>
      <c r="O196" s="3">
        <f t="shared" si="186"/>
        <v>1</v>
      </c>
      <c r="P196" s="3">
        <f t="shared" si="186"/>
        <v>1</v>
      </c>
      <c r="Q196" s="3">
        <f t="shared" si="186"/>
        <v>1</v>
      </c>
      <c r="R196" s="3">
        <f t="shared" si="186"/>
        <v>1</v>
      </c>
      <c r="S196" s="3">
        <f t="shared" si="186"/>
        <v>1</v>
      </c>
      <c r="T196" s="3">
        <f t="shared" si="186"/>
        <v>1</v>
      </c>
      <c r="U196" s="3">
        <f t="shared" si="186"/>
        <v>1</v>
      </c>
      <c r="V196" s="3">
        <f t="shared" si="186"/>
        <v>1</v>
      </c>
      <c r="W196" s="3">
        <f t="shared" si="186"/>
        <v>1</v>
      </c>
    </row>
    <row r="197" customHeight="1" spans="1:23">
      <c r="A197" s="2">
        <v>184</v>
      </c>
      <c r="B197" s="3">
        <f t="shared" ref="B197:W197" si="187">MIN(1,IF($A197&lt;B$4+B$3,0,IF(B$2=0,1,IF(B$5=0,($A197-B$4)/B$2,IF(MOD($A197-B$4,B$5)=0,($A197-B$4)/B$2,QUOTIENT($A197-B$4,B$5)*B$5/B$2)))))</f>
        <v>1</v>
      </c>
      <c r="C197" s="3">
        <f t="shared" si="187"/>
        <v>1</v>
      </c>
      <c r="D197" s="3">
        <f t="shared" si="187"/>
        <v>1</v>
      </c>
      <c r="E197" s="3" t="e">
        <f t="shared" si="187"/>
        <v>#REF!</v>
      </c>
      <c r="F197" s="3">
        <f t="shared" si="187"/>
        <v>1</v>
      </c>
      <c r="G197" s="3">
        <f t="shared" si="187"/>
        <v>1</v>
      </c>
      <c r="H197" s="3">
        <f t="shared" si="187"/>
        <v>1</v>
      </c>
      <c r="I197" s="3">
        <f t="shared" si="187"/>
        <v>1</v>
      </c>
      <c r="J197" s="3">
        <f t="shared" si="187"/>
        <v>1</v>
      </c>
      <c r="K197" s="3">
        <f t="shared" si="187"/>
        <v>1</v>
      </c>
      <c r="L197" s="3">
        <f t="shared" si="187"/>
        <v>1</v>
      </c>
      <c r="M197" s="3" t="e">
        <f t="shared" si="187"/>
        <v>#REF!</v>
      </c>
      <c r="N197" s="3">
        <f t="shared" si="187"/>
        <v>1</v>
      </c>
      <c r="O197" s="3">
        <f t="shared" si="187"/>
        <v>1</v>
      </c>
      <c r="P197" s="3">
        <f t="shared" si="187"/>
        <v>1</v>
      </c>
      <c r="Q197" s="3">
        <f t="shared" si="187"/>
        <v>1</v>
      </c>
      <c r="R197" s="3">
        <f t="shared" si="187"/>
        <v>1</v>
      </c>
      <c r="S197" s="3">
        <f t="shared" si="187"/>
        <v>1</v>
      </c>
      <c r="T197" s="3">
        <f t="shared" si="187"/>
        <v>1</v>
      </c>
      <c r="U197" s="3">
        <f t="shared" si="187"/>
        <v>1</v>
      </c>
      <c r="V197" s="3">
        <f t="shared" si="187"/>
        <v>1</v>
      </c>
      <c r="W197" s="3">
        <f t="shared" si="187"/>
        <v>1</v>
      </c>
    </row>
    <row r="198" customHeight="1" spans="1:23">
      <c r="A198" s="2">
        <v>185</v>
      </c>
      <c r="B198" s="3">
        <f t="shared" ref="B198:W198" si="188">MIN(1,IF($A198&lt;B$4+B$3,0,IF(B$2=0,1,IF(B$5=0,($A198-B$4)/B$2,IF(MOD($A198-B$4,B$5)=0,($A198-B$4)/B$2,QUOTIENT($A198-B$4,B$5)*B$5/B$2)))))</f>
        <v>1</v>
      </c>
      <c r="C198" s="3">
        <f t="shared" si="188"/>
        <v>1</v>
      </c>
      <c r="D198" s="3">
        <f t="shared" si="188"/>
        <v>1</v>
      </c>
      <c r="E198" s="3" t="e">
        <f t="shared" si="188"/>
        <v>#REF!</v>
      </c>
      <c r="F198" s="3">
        <f t="shared" si="188"/>
        <v>1</v>
      </c>
      <c r="G198" s="3">
        <f t="shared" si="188"/>
        <v>1</v>
      </c>
      <c r="H198" s="3">
        <f t="shared" si="188"/>
        <v>1</v>
      </c>
      <c r="I198" s="3">
        <f t="shared" si="188"/>
        <v>1</v>
      </c>
      <c r="J198" s="3">
        <f t="shared" si="188"/>
        <v>1</v>
      </c>
      <c r="K198" s="3">
        <f t="shared" si="188"/>
        <v>1</v>
      </c>
      <c r="L198" s="3">
        <f t="shared" si="188"/>
        <v>1</v>
      </c>
      <c r="M198" s="3" t="e">
        <f t="shared" si="188"/>
        <v>#REF!</v>
      </c>
      <c r="N198" s="3">
        <f t="shared" si="188"/>
        <v>1</v>
      </c>
      <c r="O198" s="3">
        <f t="shared" si="188"/>
        <v>1</v>
      </c>
      <c r="P198" s="3">
        <f t="shared" si="188"/>
        <v>1</v>
      </c>
      <c r="Q198" s="3">
        <f t="shared" si="188"/>
        <v>1</v>
      </c>
      <c r="R198" s="3">
        <f t="shared" si="188"/>
        <v>1</v>
      </c>
      <c r="S198" s="3">
        <f t="shared" si="188"/>
        <v>1</v>
      </c>
      <c r="T198" s="3">
        <f t="shared" si="188"/>
        <v>1</v>
      </c>
      <c r="U198" s="3">
        <f t="shared" si="188"/>
        <v>1</v>
      </c>
      <c r="V198" s="3">
        <f t="shared" si="188"/>
        <v>1</v>
      </c>
      <c r="W198" s="3">
        <f t="shared" si="188"/>
        <v>1</v>
      </c>
    </row>
    <row r="199" customHeight="1" spans="1:23">
      <c r="A199" s="2">
        <v>186</v>
      </c>
      <c r="B199" s="3">
        <f t="shared" ref="B199:W199" si="189">MIN(1,IF($A199&lt;B$4+B$3,0,IF(B$2=0,1,IF(B$5=0,($A199-B$4)/B$2,IF(MOD($A199-B$4,B$5)=0,($A199-B$4)/B$2,QUOTIENT($A199-B$4,B$5)*B$5/B$2)))))</f>
        <v>1</v>
      </c>
      <c r="C199" s="3">
        <f t="shared" si="189"/>
        <v>1</v>
      </c>
      <c r="D199" s="3">
        <f t="shared" si="189"/>
        <v>1</v>
      </c>
      <c r="E199" s="3" t="e">
        <f t="shared" si="189"/>
        <v>#REF!</v>
      </c>
      <c r="F199" s="3">
        <f t="shared" si="189"/>
        <v>1</v>
      </c>
      <c r="G199" s="3">
        <f t="shared" si="189"/>
        <v>1</v>
      </c>
      <c r="H199" s="3">
        <f t="shared" si="189"/>
        <v>1</v>
      </c>
      <c r="I199" s="3">
        <f t="shared" si="189"/>
        <v>1</v>
      </c>
      <c r="J199" s="3">
        <f t="shared" si="189"/>
        <v>1</v>
      </c>
      <c r="K199" s="3">
        <f t="shared" si="189"/>
        <v>1</v>
      </c>
      <c r="L199" s="3">
        <f t="shared" si="189"/>
        <v>1</v>
      </c>
      <c r="M199" s="3" t="e">
        <f t="shared" si="189"/>
        <v>#REF!</v>
      </c>
      <c r="N199" s="3">
        <f t="shared" si="189"/>
        <v>1</v>
      </c>
      <c r="O199" s="3">
        <f t="shared" si="189"/>
        <v>1</v>
      </c>
      <c r="P199" s="3">
        <f t="shared" si="189"/>
        <v>1</v>
      </c>
      <c r="Q199" s="3">
        <f t="shared" si="189"/>
        <v>1</v>
      </c>
      <c r="R199" s="3">
        <f t="shared" si="189"/>
        <v>1</v>
      </c>
      <c r="S199" s="3">
        <f t="shared" si="189"/>
        <v>1</v>
      </c>
      <c r="T199" s="3">
        <f t="shared" si="189"/>
        <v>1</v>
      </c>
      <c r="U199" s="3">
        <f t="shared" si="189"/>
        <v>1</v>
      </c>
      <c r="V199" s="3">
        <f t="shared" si="189"/>
        <v>1</v>
      </c>
      <c r="W199" s="3">
        <f t="shared" si="189"/>
        <v>1</v>
      </c>
    </row>
    <row r="200" customHeight="1" spans="1:23">
      <c r="A200" s="2">
        <v>187</v>
      </c>
      <c r="B200" s="3">
        <f t="shared" ref="B200:W200" si="190">MIN(1,IF($A200&lt;B$4+B$3,0,IF(B$2=0,1,IF(B$5=0,($A200-B$4)/B$2,IF(MOD($A200-B$4,B$5)=0,($A200-B$4)/B$2,QUOTIENT($A200-B$4,B$5)*B$5/B$2)))))</f>
        <v>1</v>
      </c>
      <c r="C200" s="3">
        <f t="shared" si="190"/>
        <v>1</v>
      </c>
      <c r="D200" s="3">
        <f t="shared" si="190"/>
        <v>1</v>
      </c>
      <c r="E200" s="3" t="e">
        <f t="shared" si="190"/>
        <v>#REF!</v>
      </c>
      <c r="F200" s="3">
        <f t="shared" si="190"/>
        <v>1</v>
      </c>
      <c r="G200" s="3">
        <f t="shared" si="190"/>
        <v>1</v>
      </c>
      <c r="H200" s="3">
        <f t="shared" si="190"/>
        <v>1</v>
      </c>
      <c r="I200" s="3">
        <f t="shared" si="190"/>
        <v>1</v>
      </c>
      <c r="J200" s="3">
        <f t="shared" si="190"/>
        <v>1</v>
      </c>
      <c r="K200" s="3">
        <f t="shared" si="190"/>
        <v>1</v>
      </c>
      <c r="L200" s="3">
        <f t="shared" si="190"/>
        <v>1</v>
      </c>
      <c r="M200" s="3" t="e">
        <f t="shared" si="190"/>
        <v>#REF!</v>
      </c>
      <c r="N200" s="3">
        <f t="shared" si="190"/>
        <v>1</v>
      </c>
      <c r="O200" s="3">
        <f t="shared" si="190"/>
        <v>1</v>
      </c>
      <c r="P200" s="3">
        <f t="shared" si="190"/>
        <v>1</v>
      </c>
      <c r="Q200" s="3">
        <f t="shared" si="190"/>
        <v>1</v>
      </c>
      <c r="R200" s="3">
        <f t="shared" si="190"/>
        <v>1</v>
      </c>
      <c r="S200" s="3">
        <f t="shared" si="190"/>
        <v>1</v>
      </c>
      <c r="T200" s="3">
        <f t="shared" si="190"/>
        <v>1</v>
      </c>
      <c r="U200" s="3">
        <f t="shared" si="190"/>
        <v>1</v>
      </c>
      <c r="V200" s="3">
        <f t="shared" si="190"/>
        <v>1</v>
      </c>
      <c r="W200" s="3">
        <f t="shared" si="190"/>
        <v>1</v>
      </c>
    </row>
    <row r="201" customHeight="1" spans="1:23">
      <c r="A201" s="2">
        <v>188</v>
      </c>
      <c r="B201" s="3">
        <f t="shared" ref="B201:W201" si="191">MIN(1,IF($A201&lt;B$4+B$3,0,IF(B$2=0,1,IF(B$5=0,($A201-B$4)/B$2,IF(MOD($A201-B$4,B$5)=0,($A201-B$4)/B$2,QUOTIENT($A201-B$4,B$5)*B$5/B$2)))))</f>
        <v>1</v>
      </c>
      <c r="C201" s="3">
        <f t="shared" si="191"/>
        <v>1</v>
      </c>
      <c r="D201" s="3">
        <f t="shared" si="191"/>
        <v>1</v>
      </c>
      <c r="E201" s="3" t="e">
        <f t="shared" si="191"/>
        <v>#REF!</v>
      </c>
      <c r="F201" s="3">
        <f t="shared" si="191"/>
        <v>1</v>
      </c>
      <c r="G201" s="3">
        <f t="shared" si="191"/>
        <v>1</v>
      </c>
      <c r="H201" s="3">
        <f t="shared" si="191"/>
        <v>1</v>
      </c>
      <c r="I201" s="3">
        <f t="shared" si="191"/>
        <v>1</v>
      </c>
      <c r="J201" s="3">
        <f t="shared" si="191"/>
        <v>1</v>
      </c>
      <c r="K201" s="3">
        <f t="shared" si="191"/>
        <v>1</v>
      </c>
      <c r="L201" s="3">
        <f t="shared" si="191"/>
        <v>1</v>
      </c>
      <c r="M201" s="3" t="e">
        <f t="shared" si="191"/>
        <v>#REF!</v>
      </c>
      <c r="N201" s="3">
        <f t="shared" si="191"/>
        <v>1</v>
      </c>
      <c r="O201" s="3">
        <f t="shared" si="191"/>
        <v>1</v>
      </c>
      <c r="P201" s="3">
        <f t="shared" si="191"/>
        <v>1</v>
      </c>
      <c r="Q201" s="3">
        <f t="shared" si="191"/>
        <v>1</v>
      </c>
      <c r="R201" s="3">
        <f t="shared" si="191"/>
        <v>1</v>
      </c>
      <c r="S201" s="3">
        <f t="shared" si="191"/>
        <v>1</v>
      </c>
      <c r="T201" s="3">
        <f t="shared" si="191"/>
        <v>1</v>
      </c>
      <c r="U201" s="3">
        <f t="shared" si="191"/>
        <v>1</v>
      </c>
      <c r="V201" s="3">
        <f t="shared" si="191"/>
        <v>1</v>
      </c>
      <c r="W201" s="3">
        <f t="shared" si="191"/>
        <v>1</v>
      </c>
    </row>
    <row r="202" customHeight="1" spans="1:23">
      <c r="A202" s="2">
        <v>189</v>
      </c>
      <c r="B202" s="3">
        <f t="shared" ref="B202:W202" si="192">MIN(1,IF($A202&lt;B$4+B$3,0,IF(B$2=0,1,IF(B$5=0,($A202-B$4)/B$2,IF(MOD($A202-B$4,B$5)=0,($A202-B$4)/B$2,QUOTIENT($A202-B$4,B$5)*B$5/B$2)))))</f>
        <v>1</v>
      </c>
      <c r="C202" s="3">
        <f t="shared" si="192"/>
        <v>1</v>
      </c>
      <c r="D202" s="3">
        <f t="shared" si="192"/>
        <v>1</v>
      </c>
      <c r="E202" s="3" t="e">
        <f t="shared" si="192"/>
        <v>#REF!</v>
      </c>
      <c r="F202" s="3">
        <f t="shared" si="192"/>
        <v>1</v>
      </c>
      <c r="G202" s="3">
        <f t="shared" si="192"/>
        <v>1</v>
      </c>
      <c r="H202" s="3">
        <f t="shared" si="192"/>
        <v>1</v>
      </c>
      <c r="I202" s="3">
        <f t="shared" si="192"/>
        <v>1</v>
      </c>
      <c r="J202" s="3">
        <f t="shared" si="192"/>
        <v>1</v>
      </c>
      <c r="K202" s="3">
        <f t="shared" si="192"/>
        <v>1</v>
      </c>
      <c r="L202" s="3">
        <f t="shared" si="192"/>
        <v>1</v>
      </c>
      <c r="M202" s="3" t="e">
        <f t="shared" si="192"/>
        <v>#REF!</v>
      </c>
      <c r="N202" s="3">
        <f t="shared" si="192"/>
        <v>1</v>
      </c>
      <c r="O202" s="3">
        <f t="shared" si="192"/>
        <v>1</v>
      </c>
      <c r="P202" s="3">
        <f t="shared" si="192"/>
        <v>1</v>
      </c>
      <c r="Q202" s="3">
        <f t="shared" si="192"/>
        <v>1</v>
      </c>
      <c r="R202" s="3">
        <f t="shared" si="192"/>
        <v>1</v>
      </c>
      <c r="S202" s="3">
        <f t="shared" si="192"/>
        <v>1</v>
      </c>
      <c r="T202" s="3">
        <f t="shared" si="192"/>
        <v>1</v>
      </c>
      <c r="U202" s="3">
        <f t="shared" si="192"/>
        <v>1</v>
      </c>
      <c r="V202" s="3">
        <f t="shared" si="192"/>
        <v>1</v>
      </c>
      <c r="W202" s="3">
        <f t="shared" si="192"/>
        <v>1</v>
      </c>
    </row>
    <row r="203" customHeight="1" spans="1:23">
      <c r="A203" s="2">
        <v>190</v>
      </c>
      <c r="B203" s="3">
        <f t="shared" ref="B203:W203" si="193">MIN(1,IF($A203&lt;B$4+B$3,0,IF(B$2=0,1,IF(B$5=0,($A203-B$4)/B$2,IF(MOD($A203-B$4,B$5)=0,($A203-B$4)/B$2,QUOTIENT($A203-B$4,B$5)*B$5/B$2)))))</f>
        <v>1</v>
      </c>
      <c r="C203" s="3">
        <f t="shared" si="193"/>
        <v>1</v>
      </c>
      <c r="D203" s="3">
        <f t="shared" si="193"/>
        <v>1</v>
      </c>
      <c r="E203" s="3" t="e">
        <f t="shared" si="193"/>
        <v>#REF!</v>
      </c>
      <c r="F203" s="3">
        <f t="shared" si="193"/>
        <v>1</v>
      </c>
      <c r="G203" s="3">
        <f t="shared" si="193"/>
        <v>1</v>
      </c>
      <c r="H203" s="3">
        <f t="shared" si="193"/>
        <v>1</v>
      </c>
      <c r="I203" s="3">
        <f t="shared" si="193"/>
        <v>1</v>
      </c>
      <c r="J203" s="3">
        <f t="shared" si="193"/>
        <v>1</v>
      </c>
      <c r="K203" s="3">
        <f t="shared" si="193"/>
        <v>1</v>
      </c>
      <c r="L203" s="3">
        <f t="shared" si="193"/>
        <v>1</v>
      </c>
      <c r="M203" s="3" t="e">
        <f t="shared" si="193"/>
        <v>#REF!</v>
      </c>
      <c r="N203" s="3">
        <f t="shared" si="193"/>
        <v>1</v>
      </c>
      <c r="O203" s="3">
        <f t="shared" si="193"/>
        <v>1</v>
      </c>
      <c r="P203" s="3">
        <f t="shared" si="193"/>
        <v>1</v>
      </c>
      <c r="Q203" s="3">
        <f t="shared" si="193"/>
        <v>1</v>
      </c>
      <c r="R203" s="3">
        <f t="shared" si="193"/>
        <v>1</v>
      </c>
      <c r="S203" s="3">
        <f t="shared" si="193"/>
        <v>1</v>
      </c>
      <c r="T203" s="3">
        <f t="shared" si="193"/>
        <v>1</v>
      </c>
      <c r="U203" s="3">
        <f t="shared" si="193"/>
        <v>1</v>
      </c>
      <c r="V203" s="3">
        <f t="shared" si="193"/>
        <v>1</v>
      </c>
      <c r="W203" s="3">
        <f t="shared" si="193"/>
        <v>1</v>
      </c>
    </row>
    <row r="204" customHeight="1" spans="1:23">
      <c r="A204" s="2">
        <v>191</v>
      </c>
      <c r="B204" s="3">
        <f t="shared" ref="B204:W204" si="194">MIN(1,IF($A204&lt;B$4+B$3,0,IF(B$2=0,1,IF(B$5=0,($A204-B$4)/B$2,IF(MOD($A204-B$4,B$5)=0,($A204-B$4)/B$2,QUOTIENT($A204-B$4,B$5)*B$5/B$2)))))</f>
        <v>1</v>
      </c>
      <c r="C204" s="3">
        <f t="shared" si="194"/>
        <v>1</v>
      </c>
      <c r="D204" s="3">
        <f t="shared" si="194"/>
        <v>1</v>
      </c>
      <c r="E204" s="3" t="e">
        <f t="shared" si="194"/>
        <v>#REF!</v>
      </c>
      <c r="F204" s="3">
        <f t="shared" si="194"/>
        <v>1</v>
      </c>
      <c r="G204" s="3">
        <f t="shared" si="194"/>
        <v>1</v>
      </c>
      <c r="H204" s="3">
        <f t="shared" si="194"/>
        <v>1</v>
      </c>
      <c r="I204" s="3">
        <f t="shared" si="194"/>
        <v>1</v>
      </c>
      <c r="J204" s="3">
        <f t="shared" si="194"/>
        <v>1</v>
      </c>
      <c r="K204" s="3">
        <f t="shared" si="194"/>
        <v>1</v>
      </c>
      <c r="L204" s="3">
        <f t="shared" si="194"/>
        <v>1</v>
      </c>
      <c r="M204" s="3" t="e">
        <f t="shared" si="194"/>
        <v>#REF!</v>
      </c>
      <c r="N204" s="3">
        <f t="shared" si="194"/>
        <v>1</v>
      </c>
      <c r="O204" s="3">
        <f t="shared" si="194"/>
        <v>1</v>
      </c>
      <c r="P204" s="3">
        <f t="shared" si="194"/>
        <v>1</v>
      </c>
      <c r="Q204" s="3">
        <f t="shared" si="194"/>
        <v>1</v>
      </c>
      <c r="R204" s="3">
        <f t="shared" si="194"/>
        <v>1</v>
      </c>
      <c r="S204" s="3">
        <f t="shared" si="194"/>
        <v>1</v>
      </c>
      <c r="T204" s="3">
        <f t="shared" si="194"/>
        <v>1</v>
      </c>
      <c r="U204" s="3">
        <f t="shared" si="194"/>
        <v>1</v>
      </c>
      <c r="V204" s="3">
        <f t="shared" si="194"/>
        <v>1</v>
      </c>
      <c r="W204" s="3">
        <f t="shared" si="194"/>
        <v>1</v>
      </c>
    </row>
    <row r="205" customHeight="1" spans="1:23">
      <c r="A205" s="2">
        <v>192</v>
      </c>
      <c r="B205" s="3">
        <f t="shared" ref="B205:W205" si="195">MIN(1,IF($A205&lt;B$4+B$3,0,IF(B$2=0,1,IF(B$5=0,($A205-B$4)/B$2,IF(MOD($A205-B$4,B$5)=0,($A205-B$4)/B$2,QUOTIENT($A205-B$4,B$5)*B$5/B$2)))))</f>
        <v>1</v>
      </c>
      <c r="C205" s="3">
        <f t="shared" si="195"/>
        <v>1</v>
      </c>
      <c r="D205" s="3">
        <f t="shared" si="195"/>
        <v>1</v>
      </c>
      <c r="E205" s="3" t="e">
        <f t="shared" si="195"/>
        <v>#REF!</v>
      </c>
      <c r="F205" s="3">
        <f t="shared" si="195"/>
        <v>1</v>
      </c>
      <c r="G205" s="3">
        <f t="shared" si="195"/>
        <v>1</v>
      </c>
      <c r="H205" s="3">
        <f t="shared" si="195"/>
        <v>1</v>
      </c>
      <c r="I205" s="3">
        <f t="shared" si="195"/>
        <v>1</v>
      </c>
      <c r="J205" s="3">
        <f t="shared" si="195"/>
        <v>1</v>
      </c>
      <c r="K205" s="3">
        <f t="shared" si="195"/>
        <v>1</v>
      </c>
      <c r="L205" s="3">
        <f t="shared" si="195"/>
        <v>1</v>
      </c>
      <c r="M205" s="3" t="e">
        <f t="shared" si="195"/>
        <v>#REF!</v>
      </c>
      <c r="N205" s="3">
        <f t="shared" si="195"/>
        <v>1</v>
      </c>
      <c r="O205" s="3">
        <f t="shared" si="195"/>
        <v>1</v>
      </c>
      <c r="P205" s="3">
        <f t="shared" si="195"/>
        <v>1</v>
      </c>
      <c r="Q205" s="3">
        <f t="shared" si="195"/>
        <v>1</v>
      </c>
      <c r="R205" s="3">
        <f t="shared" si="195"/>
        <v>1</v>
      </c>
      <c r="S205" s="3">
        <f t="shared" si="195"/>
        <v>1</v>
      </c>
      <c r="T205" s="3">
        <f t="shared" si="195"/>
        <v>1</v>
      </c>
      <c r="U205" s="3">
        <f t="shared" si="195"/>
        <v>1</v>
      </c>
      <c r="V205" s="3">
        <f t="shared" si="195"/>
        <v>1</v>
      </c>
      <c r="W205" s="3">
        <f t="shared" si="195"/>
        <v>1</v>
      </c>
    </row>
    <row r="206" customHeight="1" spans="1:23">
      <c r="A206" s="2">
        <v>193</v>
      </c>
      <c r="B206" s="3">
        <f t="shared" ref="B206:W206" si="196">MIN(1,IF($A206&lt;B$4+B$3,0,IF(B$2=0,1,IF(B$5=0,($A206-B$4)/B$2,IF(MOD($A206-B$4,B$5)=0,($A206-B$4)/B$2,QUOTIENT($A206-B$4,B$5)*B$5/B$2)))))</f>
        <v>1</v>
      </c>
      <c r="C206" s="3">
        <f t="shared" si="196"/>
        <v>1</v>
      </c>
      <c r="D206" s="3">
        <f t="shared" si="196"/>
        <v>1</v>
      </c>
      <c r="E206" s="3" t="e">
        <f t="shared" si="196"/>
        <v>#REF!</v>
      </c>
      <c r="F206" s="3">
        <f t="shared" si="196"/>
        <v>1</v>
      </c>
      <c r="G206" s="3">
        <f t="shared" si="196"/>
        <v>1</v>
      </c>
      <c r="H206" s="3">
        <f t="shared" si="196"/>
        <v>1</v>
      </c>
      <c r="I206" s="3">
        <f t="shared" si="196"/>
        <v>1</v>
      </c>
      <c r="J206" s="3">
        <f t="shared" si="196"/>
        <v>1</v>
      </c>
      <c r="K206" s="3">
        <f t="shared" si="196"/>
        <v>1</v>
      </c>
      <c r="L206" s="3">
        <f t="shared" si="196"/>
        <v>1</v>
      </c>
      <c r="M206" s="3" t="e">
        <f t="shared" si="196"/>
        <v>#REF!</v>
      </c>
      <c r="N206" s="3">
        <f t="shared" si="196"/>
        <v>1</v>
      </c>
      <c r="O206" s="3">
        <f t="shared" si="196"/>
        <v>1</v>
      </c>
      <c r="P206" s="3">
        <f t="shared" si="196"/>
        <v>1</v>
      </c>
      <c r="Q206" s="3">
        <f t="shared" si="196"/>
        <v>1</v>
      </c>
      <c r="R206" s="3">
        <f t="shared" si="196"/>
        <v>1</v>
      </c>
      <c r="S206" s="3">
        <f t="shared" si="196"/>
        <v>1</v>
      </c>
      <c r="T206" s="3">
        <f t="shared" si="196"/>
        <v>1</v>
      </c>
      <c r="U206" s="3">
        <f t="shared" si="196"/>
        <v>1</v>
      </c>
      <c r="V206" s="3">
        <f t="shared" si="196"/>
        <v>1</v>
      </c>
      <c r="W206" s="3">
        <f t="shared" si="196"/>
        <v>1</v>
      </c>
    </row>
    <row r="207" customHeight="1" spans="1:23">
      <c r="A207" s="2">
        <v>194</v>
      </c>
      <c r="B207" s="3">
        <f t="shared" ref="B207:W207" si="197">MIN(1,IF($A207&lt;B$4+B$3,0,IF(B$2=0,1,IF(B$5=0,($A207-B$4)/B$2,IF(MOD($A207-B$4,B$5)=0,($A207-B$4)/B$2,QUOTIENT($A207-B$4,B$5)*B$5/B$2)))))</f>
        <v>1</v>
      </c>
      <c r="C207" s="3">
        <f t="shared" si="197"/>
        <v>1</v>
      </c>
      <c r="D207" s="3">
        <f t="shared" si="197"/>
        <v>1</v>
      </c>
      <c r="E207" s="3" t="e">
        <f t="shared" si="197"/>
        <v>#REF!</v>
      </c>
      <c r="F207" s="3">
        <f t="shared" si="197"/>
        <v>1</v>
      </c>
      <c r="G207" s="3">
        <f t="shared" si="197"/>
        <v>1</v>
      </c>
      <c r="H207" s="3">
        <f t="shared" si="197"/>
        <v>1</v>
      </c>
      <c r="I207" s="3">
        <f t="shared" si="197"/>
        <v>1</v>
      </c>
      <c r="J207" s="3">
        <f t="shared" si="197"/>
        <v>1</v>
      </c>
      <c r="K207" s="3">
        <f t="shared" si="197"/>
        <v>1</v>
      </c>
      <c r="L207" s="3">
        <f t="shared" si="197"/>
        <v>1</v>
      </c>
      <c r="M207" s="3" t="e">
        <f t="shared" si="197"/>
        <v>#REF!</v>
      </c>
      <c r="N207" s="3">
        <f t="shared" si="197"/>
        <v>1</v>
      </c>
      <c r="O207" s="3">
        <f t="shared" si="197"/>
        <v>1</v>
      </c>
      <c r="P207" s="3">
        <f t="shared" si="197"/>
        <v>1</v>
      </c>
      <c r="Q207" s="3">
        <f t="shared" si="197"/>
        <v>1</v>
      </c>
      <c r="R207" s="3">
        <f t="shared" si="197"/>
        <v>1</v>
      </c>
      <c r="S207" s="3">
        <f t="shared" si="197"/>
        <v>1</v>
      </c>
      <c r="T207" s="3">
        <f t="shared" si="197"/>
        <v>1</v>
      </c>
      <c r="U207" s="3">
        <f t="shared" si="197"/>
        <v>1</v>
      </c>
      <c r="V207" s="3">
        <f t="shared" si="197"/>
        <v>1</v>
      </c>
      <c r="W207" s="3">
        <f t="shared" si="197"/>
        <v>1</v>
      </c>
    </row>
    <row r="208" customHeight="1" spans="1:23">
      <c r="A208" s="2">
        <v>195</v>
      </c>
      <c r="B208" s="3">
        <f t="shared" ref="B208:W208" si="198">MIN(1,IF($A208&lt;B$4+B$3,0,IF(B$2=0,1,IF(B$5=0,($A208-B$4)/B$2,IF(MOD($A208-B$4,B$5)=0,($A208-B$4)/B$2,QUOTIENT($A208-B$4,B$5)*B$5/B$2)))))</f>
        <v>1</v>
      </c>
      <c r="C208" s="3">
        <f t="shared" si="198"/>
        <v>1</v>
      </c>
      <c r="D208" s="3">
        <f t="shared" si="198"/>
        <v>1</v>
      </c>
      <c r="E208" s="3" t="e">
        <f t="shared" si="198"/>
        <v>#REF!</v>
      </c>
      <c r="F208" s="3">
        <f t="shared" si="198"/>
        <v>1</v>
      </c>
      <c r="G208" s="3">
        <f t="shared" si="198"/>
        <v>1</v>
      </c>
      <c r="H208" s="3">
        <f t="shared" si="198"/>
        <v>1</v>
      </c>
      <c r="I208" s="3">
        <f t="shared" si="198"/>
        <v>1</v>
      </c>
      <c r="J208" s="3">
        <f t="shared" si="198"/>
        <v>1</v>
      </c>
      <c r="K208" s="3">
        <f t="shared" si="198"/>
        <v>1</v>
      </c>
      <c r="L208" s="3">
        <f t="shared" si="198"/>
        <v>1</v>
      </c>
      <c r="M208" s="3" t="e">
        <f t="shared" si="198"/>
        <v>#REF!</v>
      </c>
      <c r="N208" s="3">
        <f t="shared" si="198"/>
        <v>1</v>
      </c>
      <c r="O208" s="3">
        <f t="shared" si="198"/>
        <v>1</v>
      </c>
      <c r="P208" s="3">
        <f t="shared" si="198"/>
        <v>1</v>
      </c>
      <c r="Q208" s="3">
        <f t="shared" si="198"/>
        <v>1</v>
      </c>
      <c r="R208" s="3">
        <f t="shared" si="198"/>
        <v>1</v>
      </c>
      <c r="S208" s="3">
        <f t="shared" si="198"/>
        <v>1</v>
      </c>
      <c r="T208" s="3">
        <f t="shared" si="198"/>
        <v>1</v>
      </c>
      <c r="U208" s="3">
        <f t="shared" si="198"/>
        <v>1</v>
      </c>
      <c r="V208" s="3">
        <f t="shared" si="198"/>
        <v>1</v>
      </c>
      <c r="W208" s="3">
        <f t="shared" si="198"/>
        <v>1</v>
      </c>
    </row>
    <row r="209" customHeight="1" spans="1:23">
      <c r="A209" s="2">
        <v>196</v>
      </c>
      <c r="B209" s="3">
        <f t="shared" ref="B209:W209" si="199">MIN(1,IF($A209&lt;B$4+B$3,0,IF(B$2=0,1,IF(B$5=0,($A209-B$4)/B$2,IF(MOD($A209-B$4,B$5)=0,($A209-B$4)/B$2,QUOTIENT($A209-B$4,B$5)*B$5/B$2)))))</f>
        <v>1</v>
      </c>
      <c r="C209" s="3">
        <f t="shared" si="199"/>
        <v>1</v>
      </c>
      <c r="D209" s="3">
        <f t="shared" si="199"/>
        <v>1</v>
      </c>
      <c r="E209" s="3" t="e">
        <f t="shared" si="199"/>
        <v>#REF!</v>
      </c>
      <c r="F209" s="3">
        <f t="shared" si="199"/>
        <v>1</v>
      </c>
      <c r="G209" s="3">
        <f t="shared" si="199"/>
        <v>1</v>
      </c>
      <c r="H209" s="3">
        <f t="shared" si="199"/>
        <v>1</v>
      </c>
      <c r="I209" s="3">
        <f t="shared" si="199"/>
        <v>1</v>
      </c>
      <c r="J209" s="3">
        <f t="shared" si="199"/>
        <v>1</v>
      </c>
      <c r="K209" s="3">
        <f t="shared" si="199"/>
        <v>1</v>
      </c>
      <c r="L209" s="3">
        <f t="shared" si="199"/>
        <v>1</v>
      </c>
      <c r="M209" s="3" t="e">
        <f t="shared" si="199"/>
        <v>#REF!</v>
      </c>
      <c r="N209" s="3">
        <f t="shared" si="199"/>
        <v>1</v>
      </c>
      <c r="O209" s="3">
        <f t="shared" si="199"/>
        <v>1</v>
      </c>
      <c r="P209" s="3">
        <f t="shared" si="199"/>
        <v>1</v>
      </c>
      <c r="Q209" s="3">
        <f t="shared" si="199"/>
        <v>1</v>
      </c>
      <c r="R209" s="3">
        <f t="shared" si="199"/>
        <v>1</v>
      </c>
      <c r="S209" s="3">
        <f t="shared" si="199"/>
        <v>1</v>
      </c>
      <c r="T209" s="3">
        <f t="shared" si="199"/>
        <v>1</v>
      </c>
      <c r="U209" s="3">
        <f t="shared" si="199"/>
        <v>1</v>
      </c>
      <c r="V209" s="3">
        <f t="shared" si="199"/>
        <v>1</v>
      </c>
      <c r="W209" s="3">
        <f t="shared" si="199"/>
        <v>1</v>
      </c>
    </row>
    <row r="210" customHeight="1" spans="1:23">
      <c r="A210" s="2">
        <v>197</v>
      </c>
      <c r="B210" s="3">
        <f t="shared" ref="B210:W210" si="200">MIN(1,IF($A210&lt;B$4+B$3,0,IF(B$2=0,1,IF(B$5=0,($A210-B$4)/B$2,IF(MOD($A210-B$4,B$5)=0,($A210-B$4)/B$2,QUOTIENT($A210-B$4,B$5)*B$5/B$2)))))</f>
        <v>1</v>
      </c>
      <c r="C210" s="3">
        <f t="shared" si="200"/>
        <v>1</v>
      </c>
      <c r="D210" s="3">
        <f t="shared" si="200"/>
        <v>1</v>
      </c>
      <c r="E210" s="3" t="e">
        <f t="shared" si="200"/>
        <v>#REF!</v>
      </c>
      <c r="F210" s="3">
        <f t="shared" si="200"/>
        <v>1</v>
      </c>
      <c r="G210" s="3">
        <f t="shared" si="200"/>
        <v>1</v>
      </c>
      <c r="H210" s="3">
        <f t="shared" si="200"/>
        <v>1</v>
      </c>
      <c r="I210" s="3">
        <f t="shared" si="200"/>
        <v>1</v>
      </c>
      <c r="J210" s="3">
        <f t="shared" si="200"/>
        <v>1</v>
      </c>
      <c r="K210" s="3">
        <f t="shared" si="200"/>
        <v>1</v>
      </c>
      <c r="L210" s="3">
        <f t="shared" si="200"/>
        <v>1</v>
      </c>
      <c r="M210" s="3" t="e">
        <f t="shared" si="200"/>
        <v>#REF!</v>
      </c>
      <c r="N210" s="3">
        <f t="shared" si="200"/>
        <v>1</v>
      </c>
      <c r="O210" s="3">
        <f t="shared" si="200"/>
        <v>1</v>
      </c>
      <c r="P210" s="3">
        <f t="shared" si="200"/>
        <v>1</v>
      </c>
      <c r="Q210" s="3">
        <f t="shared" si="200"/>
        <v>1</v>
      </c>
      <c r="R210" s="3">
        <f t="shared" si="200"/>
        <v>1</v>
      </c>
      <c r="S210" s="3">
        <f t="shared" si="200"/>
        <v>1</v>
      </c>
      <c r="T210" s="3">
        <f t="shared" si="200"/>
        <v>1</v>
      </c>
      <c r="U210" s="3">
        <f t="shared" si="200"/>
        <v>1</v>
      </c>
      <c r="V210" s="3">
        <f t="shared" si="200"/>
        <v>1</v>
      </c>
      <c r="W210" s="3">
        <f t="shared" si="200"/>
        <v>1</v>
      </c>
    </row>
    <row r="211" customHeight="1" spans="1:23">
      <c r="A211" s="2">
        <v>198</v>
      </c>
      <c r="B211" s="3">
        <f t="shared" ref="B211:W211" si="201">MIN(1,IF($A211&lt;B$4+B$3,0,IF(B$2=0,1,IF(B$5=0,($A211-B$4)/B$2,IF(MOD($A211-B$4,B$5)=0,($A211-B$4)/B$2,QUOTIENT($A211-B$4,B$5)*B$5/B$2)))))</f>
        <v>1</v>
      </c>
      <c r="C211" s="3">
        <f t="shared" si="201"/>
        <v>1</v>
      </c>
      <c r="D211" s="3">
        <f t="shared" si="201"/>
        <v>1</v>
      </c>
      <c r="E211" s="3" t="e">
        <f t="shared" si="201"/>
        <v>#REF!</v>
      </c>
      <c r="F211" s="3">
        <f t="shared" si="201"/>
        <v>1</v>
      </c>
      <c r="G211" s="3">
        <f t="shared" si="201"/>
        <v>1</v>
      </c>
      <c r="H211" s="3">
        <f t="shared" si="201"/>
        <v>1</v>
      </c>
      <c r="I211" s="3">
        <f t="shared" si="201"/>
        <v>1</v>
      </c>
      <c r="J211" s="3">
        <f t="shared" si="201"/>
        <v>1</v>
      </c>
      <c r="K211" s="3">
        <f t="shared" si="201"/>
        <v>1</v>
      </c>
      <c r="L211" s="3">
        <f t="shared" si="201"/>
        <v>1</v>
      </c>
      <c r="M211" s="3" t="e">
        <f t="shared" si="201"/>
        <v>#REF!</v>
      </c>
      <c r="N211" s="3">
        <f t="shared" si="201"/>
        <v>1</v>
      </c>
      <c r="O211" s="3">
        <f t="shared" si="201"/>
        <v>1</v>
      </c>
      <c r="P211" s="3">
        <f t="shared" si="201"/>
        <v>1</v>
      </c>
      <c r="Q211" s="3">
        <f t="shared" si="201"/>
        <v>1</v>
      </c>
      <c r="R211" s="3">
        <f t="shared" si="201"/>
        <v>1</v>
      </c>
      <c r="S211" s="3">
        <f t="shared" si="201"/>
        <v>1</v>
      </c>
      <c r="T211" s="3">
        <f t="shared" si="201"/>
        <v>1</v>
      </c>
      <c r="U211" s="3">
        <f t="shared" si="201"/>
        <v>1</v>
      </c>
      <c r="V211" s="3">
        <f t="shared" si="201"/>
        <v>1</v>
      </c>
      <c r="W211" s="3">
        <f t="shared" si="201"/>
        <v>1</v>
      </c>
    </row>
    <row r="212" customHeight="1" spans="1:23">
      <c r="A212" s="2">
        <v>199</v>
      </c>
      <c r="B212" s="3">
        <f t="shared" ref="B212:W212" si="202">MIN(1,IF($A212&lt;B$4+B$3,0,IF(B$2=0,1,IF(B$5=0,($A212-B$4)/B$2,IF(MOD($A212-B$4,B$5)=0,($A212-B$4)/B$2,QUOTIENT($A212-B$4,B$5)*B$5/B$2)))))</f>
        <v>1</v>
      </c>
      <c r="C212" s="3">
        <f t="shared" si="202"/>
        <v>1</v>
      </c>
      <c r="D212" s="3">
        <f t="shared" si="202"/>
        <v>1</v>
      </c>
      <c r="E212" s="3" t="e">
        <f t="shared" si="202"/>
        <v>#REF!</v>
      </c>
      <c r="F212" s="3">
        <f t="shared" si="202"/>
        <v>1</v>
      </c>
      <c r="G212" s="3">
        <f t="shared" si="202"/>
        <v>1</v>
      </c>
      <c r="H212" s="3">
        <f t="shared" si="202"/>
        <v>1</v>
      </c>
      <c r="I212" s="3">
        <f t="shared" si="202"/>
        <v>1</v>
      </c>
      <c r="J212" s="3">
        <f t="shared" si="202"/>
        <v>1</v>
      </c>
      <c r="K212" s="3">
        <f t="shared" si="202"/>
        <v>1</v>
      </c>
      <c r="L212" s="3">
        <f t="shared" si="202"/>
        <v>1</v>
      </c>
      <c r="M212" s="3" t="e">
        <f t="shared" si="202"/>
        <v>#REF!</v>
      </c>
      <c r="N212" s="3">
        <f t="shared" si="202"/>
        <v>1</v>
      </c>
      <c r="O212" s="3">
        <f t="shared" si="202"/>
        <v>1</v>
      </c>
      <c r="P212" s="3">
        <f t="shared" si="202"/>
        <v>1</v>
      </c>
      <c r="Q212" s="3">
        <f t="shared" si="202"/>
        <v>1</v>
      </c>
      <c r="R212" s="3">
        <f t="shared" si="202"/>
        <v>1</v>
      </c>
      <c r="S212" s="3">
        <f t="shared" si="202"/>
        <v>1</v>
      </c>
      <c r="T212" s="3">
        <f t="shared" si="202"/>
        <v>1</v>
      </c>
      <c r="U212" s="3">
        <f t="shared" si="202"/>
        <v>1</v>
      </c>
      <c r="V212" s="3">
        <f t="shared" si="202"/>
        <v>1</v>
      </c>
      <c r="W212" s="3">
        <f t="shared" si="202"/>
        <v>1</v>
      </c>
    </row>
    <row r="213" customHeight="1" spans="1:23">
      <c r="A213" s="2">
        <v>200</v>
      </c>
      <c r="B213" s="3">
        <f t="shared" ref="B213:W213" si="203">MIN(1,IF($A213&lt;B$4+B$3,0,IF(B$2=0,1,IF(B$5=0,($A213-B$4)/B$2,IF(MOD($A213-B$4,B$5)=0,($A213-B$4)/B$2,QUOTIENT($A213-B$4,B$5)*B$5/B$2)))))</f>
        <v>1</v>
      </c>
      <c r="C213" s="3">
        <f t="shared" si="203"/>
        <v>1</v>
      </c>
      <c r="D213" s="3">
        <f t="shared" si="203"/>
        <v>1</v>
      </c>
      <c r="E213" s="3" t="e">
        <f t="shared" si="203"/>
        <v>#REF!</v>
      </c>
      <c r="F213" s="3">
        <f t="shared" si="203"/>
        <v>1</v>
      </c>
      <c r="G213" s="3">
        <f t="shared" si="203"/>
        <v>1</v>
      </c>
      <c r="H213" s="3">
        <f t="shared" si="203"/>
        <v>1</v>
      </c>
      <c r="I213" s="3">
        <f t="shared" si="203"/>
        <v>1</v>
      </c>
      <c r="J213" s="3">
        <f t="shared" si="203"/>
        <v>1</v>
      </c>
      <c r="K213" s="3">
        <f t="shared" si="203"/>
        <v>1</v>
      </c>
      <c r="L213" s="3">
        <f t="shared" si="203"/>
        <v>1</v>
      </c>
      <c r="M213" s="3" t="e">
        <f t="shared" si="203"/>
        <v>#REF!</v>
      </c>
      <c r="N213" s="3">
        <f t="shared" si="203"/>
        <v>1</v>
      </c>
      <c r="O213" s="3">
        <f t="shared" si="203"/>
        <v>1</v>
      </c>
      <c r="P213" s="3">
        <f t="shared" si="203"/>
        <v>1</v>
      </c>
      <c r="Q213" s="3">
        <f t="shared" si="203"/>
        <v>1</v>
      </c>
      <c r="R213" s="3">
        <f t="shared" si="203"/>
        <v>1</v>
      </c>
      <c r="S213" s="3">
        <f t="shared" si="203"/>
        <v>1</v>
      </c>
      <c r="T213" s="3">
        <f t="shared" si="203"/>
        <v>1</v>
      </c>
      <c r="U213" s="3">
        <f t="shared" si="203"/>
        <v>1</v>
      </c>
      <c r="V213" s="3">
        <f t="shared" si="203"/>
        <v>1</v>
      </c>
      <c r="W213" s="3">
        <f t="shared" si="203"/>
        <v>1</v>
      </c>
    </row>
    <row r="214" customHeight="1" spans="1:23">
      <c r="A214" s="2">
        <v>201</v>
      </c>
      <c r="B214" s="3">
        <f t="shared" ref="B214:W214" si="204">MIN(1,IF($A214&lt;B$4+B$3,0,IF(B$2=0,1,IF(B$5=0,($A214-B$4)/B$2,IF(MOD($A214-B$4,B$5)=0,($A214-B$4)/B$2,QUOTIENT($A214-B$4,B$5)*B$5/B$2)))))</f>
        <v>1</v>
      </c>
      <c r="C214" s="3">
        <f t="shared" si="204"/>
        <v>1</v>
      </c>
      <c r="D214" s="3">
        <f t="shared" si="204"/>
        <v>1</v>
      </c>
      <c r="E214" s="3" t="e">
        <f t="shared" si="204"/>
        <v>#REF!</v>
      </c>
      <c r="F214" s="3">
        <f t="shared" si="204"/>
        <v>1</v>
      </c>
      <c r="G214" s="3">
        <f t="shared" si="204"/>
        <v>1</v>
      </c>
      <c r="H214" s="3">
        <f t="shared" si="204"/>
        <v>1</v>
      </c>
      <c r="I214" s="3">
        <f t="shared" si="204"/>
        <v>1</v>
      </c>
      <c r="J214" s="3">
        <f t="shared" si="204"/>
        <v>1</v>
      </c>
      <c r="K214" s="3">
        <f t="shared" si="204"/>
        <v>1</v>
      </c>
      <c r="L214" s="3">
        <f t="shared" si="204"/>
        <v>1</v>
      </c>
      <c r="M214" s="3" t="e">
        <f t="shared" si="204"/>
        <v>#REF!</v>
      </c>
      <c r="N214" s="3">
        <f t="shared" si="204"/>
        <v>1</v>
      </c>
      <c r="O214" s="3">
        <f t="shared" si="204"/>
        <v>1</v>
      </c>
      <c r="P214" s="3">
        <f t="shared" si="204"/>
        <v>1</v>
      </c>
      <c r="Q214" s="3">
        <f t="shared" si="204"/>
        <v>1</v>
      </c>
      <c r="R214" s="3">
        <f t="shared" si="204"/>
        <v>1</v>
      </c>
      <c r="S214" s="3">
        <f t="shared" si="204"/>
        <v>1</v>
      </c>
      <c r="T214" s="3">
        <f t="shared" si="204"/>
        <v>1</v>
      </c>
      <c r="U214" s="3">
        <f t="shared" si="204"/>
        <v>1</v>
      </c>
      <c r="V214" s="3">
        <f t="shared" si="204"/>
        <v>1</v>
      </c>
      <c r="W214" s="3">
        <f t="shared" si="204"/>
        <v>1</v>
      </c>
    </row>
    <row r="215" customHeight="1" spans="1:23">
      <c r="A215" s="2">
        <v>202</v>
      </c>
      <c r="B215" s="3">
        <f t="shared" ref="B215:W215" si="205">MIN(1,IF($A215&lt;B$4+B$3,0,IF(B$2=0,1,IF(B$5=0,($A215-B$4)/B$2,IF(MOD($A215-B$4,B$5)=0,($A215-B$4)/B$2,QUOTIENT($A215-B$4,B$5)*B$5/B$2)))))</f>
        <v>1</v>
      </c>
      <c r="C215" s="3">
        <f t="shared" si="205"/>
        <v>1</v>
      </c>
      <c r="D215" s="3">
        <f t="shared" si="205"/>
        <v>1</v>
      </c>
      <c r="E215" s="3" t="e">
        <f t="shared" si="205"/>
        <v>#REF!</v>
      </c>
      <c r="F215" s="3">
        <f t="shared" si="205"/>
        <v>1</v>
      </c>
      <c r="G215" s="3">
        <f t="shared" si="205"/>
        <v>1</v>
      </c>
      <c r="H215" s="3">
        <f t="shared" si="205"/>
        <v>1</v>
      </c>
      <c r="I215" s="3">
        <f t="shared" si="205"/>
        <v>1</v>
      </c>
      <c r="J215" s="3">
        <f t="shared" si="205"/>
        <v>1</v>
      </c>
      <c r="K215" s="3">
        <f t="shared" si="205"/>
        <v>1</v>
      </c>
      <c r="L215" s="3">
        <f t="shared" si="205"/>
        <v>1</v>
      </c>
      <c r="M215" s="3" t="e">
        <f t="shared" si="205"/>
        <v>#REF!</v>
      </c>
      <c r="N215" s="3">
        <f t="shared" si="205"/>
        <v>1</v>
      </c>
      <c r="O215" s="3">
        <f t="shared" si="205"/>
        <v>1</v>
      </c>
      <c r="P215" s="3">
        <f t="shared" si="205"/>
        <v>1</v>
      </c>
      <c r="Q215" s="3">
        <f t="shared" si="205"/>
        <v>1</v>
      </c>
      <c r="R215" s="3">
        <f t="shared" si="205"/>
        <v>1</v>
      </c>
      <c r="S215" s="3">
        <f t="shared" si="205"/>
        <v>1</v>
      </c>
      <c r="T215" s="3">
        <f t="shared" si="205"/>
        <v>1</v>
      </c>
      <c r="U215" s="3">
        <f t="shared" si="205"/>
        <v>1</v>
      </c>
      <c r="V215" s="3">
        <f t="shared" si="205"/>
        <v>1</v>
      </c>
      <c r="W215" s="3">
        <f t="shared" si="205"/>
        <v>1</v>
      </c>
    </row>
    <row r="216" customHeight="1" spans="1:23">
      <c r="A216" s="2">
        <v>203</v>
      </c>
      <c r="B216" s="3">
        <f t="shared" ref="B216:W216" si="206">MIN(1,IF($A216&lt;B$4+B$3,0,IF(B$2=0,1,IF(B$5=0,($A216-B$4)/B$2,IF(MOD($A216-B$4,B$5)=0,($A216-B$4)/B$2,QUOTIENT($A216-B$4,B$5)*B$5/B$2)))))</f>
        <v>1</v>
      </c>
      <c r="C216" s="3">
        <f t="shared" si="206"/>
        <v>1</v>
      </c>
      <c r="D216" s="3">
        <f t="shared" si="206"/>
        <v>1</v>
      </c>
      <c r="E216" s="3" t="e">
        <f t="shared" si="206"/>
        <v>#REF!</v>
      </c>
      <c r="F216" s="3">
        <f t="shared" si="206"/>
        <v>1</v>
      </c>
      <c r="G216" s="3">
        <f t="shared" si="206"/>
        <v>1</v>
      </c>
      <c r="H216" s="3">
        <f t="shared" si="206"/>
        <v>1</v>
      </c>
      <c r="I216" s="3">
        <f t="shared" si="206"/>
        <v>1</v>
      </c>
      <c r="J216" s="3">
        <f t="shared" si="206"/>
        <v>1</v>
      </c>
      <c r="K216" s="3">
        <f t="shared" si="206"/>
        <v>1</v>
      </c>
      <c r="L216" s="3">
        <f t="shared" si="206"/>
        <v>1</v>
      </c>
      <c r="M216" s="3" t="e">
        <f t="shared" si="206"/>
        <v>#REF!</v>
      </c>
      <c r="N216" s="3">
        <f t="shared" si="206"/>
        <v>1</v>
      </c>
      <c r="O216" s="3">
        <f t="shared" si="206"/>
        <v>1</v>
      </c>
      <c r="P216" s="3">
        <f t="shared" si="206"/>
        <v>1</v>
      </c>
      <c r="Q216" s="3">
        <f t="shared" si="206"/>
        <v>1</v>
      </c>
      <c r="R216" s="3">
        <f t="shared" si="206"/>
        <v>1</v>
      </c>
      <c r="S216" s="3">
        <f t="shared" si="206"/>
        <v>1</v>
      </c>
      <c r="T216" s="3">
        <f t="shared" si="206"/>
        <v>1</v>
      </c>
      <c r="U216" s="3">
        <f t="shared" si="206"/>
        <v>1</v>
      </c>
      <c r="V216" s="3">
        <f t="shared" si="206"/>
        <v>1</v>
      </c>
      <c r="W216" s="3">
        <f t="shared" si="206"/>
        <v>1</v>
      </c>
    </row>
    <row r="217" customHeight="1" spans="1:23">
      <c r="A217" s="2">
        <v>204</v>
      </c>
      <c r="B217" s="3">
        <f t="shared" ref="B217:W217" si="207">MIN(1,IF($A217&lt;B$4+B$3,0,IF(B$2=0,1,IF(B$5=0,($A217-B$4)/B$2,IF(MOD($A217-B$4,B$5)=0,($A217-B$4)/B$2,QUOTIENT($A217-B$4,B$5)*B$5/B$2)))))</f>
        <v>1</v>
      </c>
      <c r="C217" s="3">
        <f t="shared" si="207"/>
        <v>1</v>
      </c>
      <c r="D217" s="3">
        <f t="shared" si="207"/>
        <v>1</v>
      </c>
      <c r="E217" s="3" t="e">
        <f t="shared" si="207"/>
        <v>#REF!</v>
      </c>
      <c r="F217" s="3">
        <f t="shared" si="207"/>
        <v>1</v>
      </c>
      <c r="G217" s="3">
        <f t="shared" si="207"/>
        <v>1</v>
      </c>
      <c r="H217" s="3">
        <f t="shared" si="207"/>
        <v>1</v>
      </c>
      <c r="I217" s="3">
        <f t="shared" si="207"/>
        <v>1</v>
      </c>
      <c r="J217" s="3">
        <f t="shared" si="207"/>
        <v>1</v>
      </c>
      <c r="K217" s="3">
        <f t="shared" si="207"/>
        <v>1</v>
      </c>
      <c r="L217" s="3">
        <f t="shared" si="207"/>
        <v>1</v>
      </c>
      <c r="M217" s="3" t="e">
        <f t="shared" si="207"/>
        <v>#REF!</v>
      </c>
      <c r="N217" s="3">
        <f t="shared" si="207"/>
        <v>1</v>
      </c>
      <c r="O217" s="3">
        <f t="shared" si="207"/>
        <v>1</v>
      </c>
      <c r="P217" s="3">
        <f t="shared" si="207"/>
        <v>1</v>
      </c>
      <c r="Q217" s="3">
        <f t="shared" si="207"/>
        <v>1</v>
      </c>
      <c r="R217" s="3">
        <f t="shared" si="207"/>
        <v>1</v>
      </c>
      <c r="S217" s="3">
        <f t="shared" si="207"/>
        <v>1</v>
      </c>
      <c r="T217" s="3">
        <f t="shared" si="207"/>
        <v>1</v>
      </c>
      <c r="U217" s="3">
        <f t="shared" si="207"/>
        <v>1</v>
      </c>
      <c r="V217" s="3">
        <f t="shared" si="207"/>
        <v>1</v>
      </c>
      <c r="W217" s="3">
        <f t="shared" si="207"/>
        <v>1</v>
      </c>
    </row>
    <row r="218" customHeight="1" spans="1:23">
      <c r="A218" s="2">
        <v>205</v>
      </c>
      <c r="B218" s="3">
        <f t="shared" ref="B218:W218" si="208">MIN(1,IF($A218&lt;B$4+B$3,0,IF(B$2=0,1,IF(B$5=0,($A218-B$4)/B$2,IF(MOD($A218-B$4,B$5)=0,($A218-B$4)/B$2,QUOTIENT($A218-B$4,B$5)*B$5/B$2)))))</f>
        <v>1</v>
      </c>
      <c r="C218" s="3">
        <f t="shared" si="208"/>
        <v>1</v>
      </c>
      <c r="D218" s="3">
        <f t="shared" si="208"/>
        <v>1</v>
      </c>
      <c r="E218" s="3" t="e">
        <f t="shared" si="208"/>
        <v>#REF!</v>
      </c>
      <c r="F218" s="3">
        <f t="shared" si="208"/>
        <v>1</v>
      </c>
      <c r="G218" s="3">
        <f t="shared" si="208"/>
        <v>1</v>
      </c>
      <c r="H218" s="3">
        <f t="shared" si="208"/>
        <v>1</v>
      </c>
      <c r="I218" s="3">
        <f t="shared" si="208"/>
        <v>1</v>
      </c>
      <c r="J218" s="3">
        <f t="shared" si="208"/>
        <v>1</v>
      </c>
      <c r="K218" s="3">
        <f t="shared" si="208"/>
        <v>1</v>
      </c>
      <c r="L218" s="3">
        <f t="shared" si="208"/>
        <v>1</v>
      </c>
      <c r="M218" s="3" t="e">
        <f t="shared" si="208"/>
        <v>#REF!</v>
      </c>
      <c r="N218" s="3">
        <f t="shared" si="208"/>
        <v>1</v>
      </c>
      <c r="O218" s="3">
        <f t="shared" si="208"/>
        <v>1</v>
      </c>
      <c r="P218" s="3">
        <f t="shared" si="208"/>
        <v>1</v>
      </c>
      <c r="Q218" s="3">
        <f t="shared" si="208"/>
        <v>1</v>
      </c>
      <c r="R218" s="3">
        <f t="shared" si="208"/>
        <v>1</v>
      </c>
      <c r="S218" s="3">
        <f t="shared" si="208"/>
        <v>1</v>
      </c>
      <c r="T218" s="3">
        <f t="shared" si="208"/>
        <v>1</v>
      </c>
      <c r="U218" s="3">
        <f t="shared" si="208"/>
        <v>1</v>
      </c>
      <c r="V218" s="3">
        <f t="shared" si="208"/>
        <v>1</v>
      </c>
      <c r="W218" s="3">
        <f t="shared" si="208"/>
        <v>1</v>
      </c>
    </row>
    <row r="219" customHeight="1" spans="1:23">
      <c r="A219" s="2">
        <v>206</v>
      </c>
      <c r="B219" s="3">
        <f t="shared" ref="B219:W219" si="209">MIN(1,IF($A219&lt;B$4+B$3,0,IF(B$2=0,1,IF(B$5=0,($A219-B$4)/B$2,IF(MOD($A219-B$4,B$5)=0,($A219-B$4)/B$2,QUOTIENT($A219-B$4,B$5)*B$5/B$2)))))</f>
        <v>1</v>
      </c>
      <c r="C219" s="3">
        <f t="shared" si="209"/>
        <v>1</v>
      </c>
      <c r="D219" s="3">
        <f t="shared" si="209"/>
        <v>1</v>
      </c>
      <c r="E219" s="3" t="e">
        <f t="shared" si="209"/>
        <v>#REF!</v>
      </c>
      <c r="F219" s="3">
        <f t="shared" si="209"/>
        <v>1</v>
      </c>
      <c r="G219" s="3">
        <f t="shared" si="209"/>
        <v>1</v>
      </c>
      <c r="H219" s="3">
        <f t="shared" si="209"/>
        <v>1</v>
      </c>
      <c r="I219" s="3">
        <f t="shared" si="209"/>
        <v>1</v>
      </c>
      <c r="J219" s="3">
        <f t="shared" si="209"/>
        <v>1</v>
      </c>
      <c r="K219" s="3">
        <f t="shared" si="209"/>
        <v>1</v>
      </c>
      <c r="L219" s="3">
        <f t="shared" si="209"/>
        <v>1</v>
      </c>
      <c r="M219" s="3" t="e">
        <f t="shared" si="209"/>
        <v>#REF!</v>
      </c>
      <c r="N219" s="3">
        <f t="shared" si="209"/>
        <v>1</v>
      </c>
      <c r="O219" s="3">
        <f t="shared" si="209"/>
        <v>1</v>
      </c>
      <c r="P219" s="3">
        <f t="shared" si="209"/>
        <v>1</v>
      </c>
      <c r="Q219" s="3">
        <f t="shared" si="209"/>
        <v>1</v>
      </c>
      <c r="R219" s="3">
        <f t="shared" si="209"/>
        <v>1</v>
      </c>
      <c r="S219" s="3">
        <f t="shared" si="209"/>
        <v>1</v>
      </c>
      <c r="T219" s="3">
        <f t="shared" si="209"/>
        <v>1</v>
      </c>
      <c r="U219" s="3">
        <f t="shared" si="209"/>
        <v>1</v>
      </c>
      <c r="V219" s="3">
        <f t="shared" si="209"/>
        <v>1</v>
      </c>
      <c r="W219" s="3">
        <f t="shared" si="209"/>
        <v>1</v>
      </c>
    </row>
    <row r="220" customHeight="1" spans="1:23">
      <c r="A220" s="2">
        <v>207</v>
      </c>
      <c r="B220" s="3">
        <f t="shared" ref="B220:W220" si="210">MIN(1,IF($A220&lt;B$4+B$3,0,IF(B$2=0,1,IF(B$5=0,($A220-B$4)/B$2,IF(MOD($A220-B$4,B$5)=0,($A220-B$4)/B$2,QUOTIENT($A220-B$4,B$5)*B$5/B$2)))))</f>
        <v>1</v>
      </c>
      <c r="C220" s="3">
        <f t="shared" si="210"/>
        <v>1</v>
      </c>
      <c r="D220" s="3">
        <f t="shared" si="210"/>
        <v>1</v>
      </c>
      <c r="E220" s="3" t="e">
        <f t="shared" si="210"/>
        <v>#REF!</v>
      </c>
      <c r="F220" s="3">
        <f t="shared" si="210"/>
        <v>1</v>
      </c>
      <c r="G220" s="3">
        <f t="shared" si="210"/>
        <v>1</v>
      </c>
      <c r="H220" s="3">
        <f t="shared" si="210"/>
        <v>1</v>
      </c>
      <c r="I220" s="3">
        <f t="shared" si="210"/>
        <v>1</v>
      </c>
      <c r="J220" s="3">
        <f t="shared" si="210"/>
        <v>1</v>
      </c>
      <c r="K220" s="3">
        <f t="shared" si="210"/>
        <v>1</v>
      </c>
      <c r="L220" s="3">
        <f t="shared" si="210"/>
        <v>1</v>
      </c>
      <c r="M220" s="3" t="e">
        <f t="shared" si="210"/>
        <v>#REF!</v>
      </c>
      <c r="N220" s="3">
        <f t="shared" si="210"/>
        <v>1</v>
      </c>
      <c r="O220" s="3">
        <f t="shared" si="210"/>
        <v>1</v>
      </c>
      <c r="P220" s="3">
        <f t="shared" si="210"/>
        <v>1</v>
      </c>
      <c r="Q220" s="3">
        <f t="shared" si="210"/>
        <v>1</v>
      </c>
      <c r="R220" s="3">
        <f t="shared" si="210"/>
        <v>1</v>
      </c>
      <c r="S220" s="3">
        <f t="shared" si="210"/>
        <v>1</v>
      </c>
      <c r="T220" s="3">
        <f t="shared" si="210"/>
        <v>1</v>
      </c>
      <c r="U220" s="3">
        <f t="shared" si="210"/>
        <v>1</v>
      </c>
      <c r="V220" s="3">
        <f t="shared" si="210"/>
        <v>1</v>
      </c>
      <c r="W220" s="3">
        <f t="shared" si="210"/>
        <v>1</v>
      </c>
    </row>
    <row r="221" customHeight="1" spans="1:23">
      <c r="A221" s="2">
        <v>208</v>
      </c>
      <c r="B221" s="3">
        <f t="shared" ref="B221:W221" si="211">MIN(1,IF($A221&lt;B$4+B$3,0,IF(B$2=0,1,IF(B$5=0,($A221-B$4)/B$2,IF(MOD($A221-B$4,B$5)=0,($A221-B$4)/B$2,QUOTIENT($A221-B$4,B$5)*B$5/B$2)))))</f>
        <v>1</v>
      </c>
      <c r="C221" s="3">
        <f t="shared" si="211"/>
        <v>1</v>
      </c>
      <c r="D221" s="3">
        <f t="shared" si="211"/>
        <v>1</v>
      </c>
      <c r="E221" s="3" t="e">
        <f t="shared" si="211"/>
        <v>#REF!</v>
      </c>
      <c r="F221" s="3">
        <f t="shared" si="211"/>
        <v>1</v>
      </c>
      <c r="G221" s="3">
        <f t="shared" si="211"/>
        <v>1</v>
      </c>
      <c r="H221" s="3">
        <f t="shared" si="211"/>
        <v>1</v>
      </c>
      <c r="I221" s="3">
        <f t="shared" si="211"/>
        <v>1</v>
      </c>
      <c r="J221" s="3">
        <f t="shared" si="211"/>
        <v>1</v>
      </c>
      <c r="K221" s="3">
        <f t="shared" si="211"/>
        <v>1</v>
      </c>
      <c r="L221" s="3">
        <f t="shared" si="211"/>
        <v>1</v>
      </c>
      <c r="M221" s="3" t="e">
        <f t="shared" si="211"/>
        <v>#REF!</v>
      </c>
      <c r="N221" s="3">
        <f t="shared" si="211"/>
        <v>1</v>
      </c>
      <c r="O221" s="3">
        <f t="shared" si="211"/>
        <v>1</v>
      </c>
      <c r="P221" s="3">
        <f t="shared" si="211"/>
        <v>1</v>
      </c>
      <c r="Q221" s="3">
        <f t="shared" si="211"/>
        <v>1</v>
      </c>
      <c r="R221" s="3">
        <f t="shared" si="211"/>
        <v>1</v>
      </c>
      <c r="S221" s="3">
        <f t="shared" si="211"/>
        <v>1</v>
      </c>
      <c r="T221" s="3">
        <f t="shared" si="211"/>
        <v>1</v>
      </c>
      <c r="U221" s="3">
        <f t="shared" si="211"/>
        <v>1</v>
      </c>
      <c r="V221" s="3">
        <f t="shared" si="211"/>
        <v>1</v>
      </c>
      <c r="W221" s="3">
        <f t="shared" si="211"/>
        <v>1</v>
      </c>
    </row>
    <row r="222" customHeight="1" spans="1:23">
      <c r="A222" s="2">
        <v>209</v>
      </c>
      <c r="B222" s="3">
        <f t="shared" ref="B222:W222" si="212">MIN(1,IF($A222&lt;B$4+B$3,0,IF(B$2=0,1,IF(B$5=0,($A222-B$4)/B$2,IF(MOD($A222-B$4,B$5)=0,($A222-B$4)/B$2,QUOTIENT($A222-B$4,B$5)*B$5/B$2)))))</f>
        <v>1</v>
      </c>
      <c r="C222" s="3">
        <f t="shared" si="212"/>
        <v>1</v>
      </c>
      <c r="D222" s="3">
        <f t="shared" si="212"/>
        <v>1</v>
      </c>
      <c r="E222" s="3" t="e">
        <f t="shared" si="212"/>
        <v>#REF!</v>
      </c>
      <c r="F222" s="3">
        <f t="shared" si="212"/>
        <v>1</v>
      </c>
      <c r="G222" s="3">
        <f t="shared" si="212"/>
        <v>1</v>
      </c>
      <c r="H222" s="3">
        <f t="shared" si="212"/>
        <v>1</v>
      </c>
      <c r="I222" s="3">
        <f t="shared" si="212"/>
        <v>1</v>
      </c>
      <c r="J222" s="3">
        <f t="shared" si="212"/>
        <v>1</v>
      </c>
      <c r="K222" s="3">
        <f t="shared" si="212"/>
        <v>1</v>
      </c>
      <c r="L222" s="3">
        <f t="shared" si="212"/>
        <v>1</v>
      </c>
      <c r="M222" s="3" t="e">
        <f t="shared" si="212"/>
        <v>#REF!</v>
      </c>
      <c r="N222" s="3">
        <f t="shared" si="212"/>
        <v>1</v>
      </c>
      <c r="O222" s="3">
        <f t="shared" si="212"/>
        <v>1</v>
      </c>
      <c r="P222" s="3">
        <f t="shared" si="212"/>
        <v>1</v>
      </c>
      <c r="Q222" s="3">
        <f t="shared" si="212"/>
        <v>1</v>
      </c>
      <c r="R222" s="3">
        <f t="shared" si="212"/>
        <v>1</v>
      </c>
      <c r="S222" s="3">
        <f t="shared" si="212"/>
        <v>1</v>
      </c>
      <c r="T222" s="3">
        <f t="shared" si="212"/>
        <v>1</v>
      </c>
      <c r="U222" s="3">
        <f t="shared" si="212"/>
        <v>1</v>
      </c>
      <c r="V222" s="3">
        <f t="shared" si="212"/>
        <v>1</v>
      </c>
      <c r="W222" s="3">
        <f t="shared" si="212"/>
        <v>1</v>
      </c>
    </row>
    <row r="223" customHeight="1" spans="1:23">
      <c r="A223" s="2">
        <v>210</v>
      </c>
      <c r="B223" s="3">
        <f t="shared" ref="B223:W223" si="213">MIN(1,IF($A223&lt;B$4+B$3,0,IF(B$2=0,1,IF(B$5=0,($A223-B$4)/B$2,IF(MOD($A223-B$4,B$5)=0,($A223-B$4)/B$2,QUOTIENT($A223-B$4,B$5)*B$5/B$2)))))</f>
        <v>1</v>
      </c>
      <c r="C223" s="3">
        <f t="shared" si="213"/>
        <v>1</v>
      </c>
      <c r="D223" s="3">
        <f t="shared" si="213"/>
        <v>1</v>
      </c>
      <c r="E223" s="3" t="e">
        <f t="shared" si="213"/>
        <v>#REF!</v>
      </c>
      <c r="F223" s="3">
        <f t="shared" si="213"/>
        <v>1</v>
      </c>
      <c r="G223" s="3">
        <f t="shared" si="213"/>
        <v>1</v>
      </c>
      <c r="H223" s="3">
        <f t="shared" si="213"/>
        <v>1</v>
      </c>
      <c r="I223" s="3">
        <f t="shared" si="213"/>
        <v>1</v>
      </c>
      <c r="J223" s="3">
        <f t="shared" si="213"/>
        <v>1</v>
      </c>
      <c r="K223" s="3">
        <f t="shared" si="213"/>
        <v>1</v>
      </c>
      <c r="L223" s="3">
        <f t="shared" si="213"/>
        <v>1</v>
      </c>
      <c r="M223" s="3" t="e">
        <f t="shared" si="213"/>
        <v>#REF!</v>
      </c>
      <c r="N223" s="3">
        <f t="shared" si="213"/>
        <v>1</v>
      </c>
      <c r="O223" s="3">
        <f t="shared" si="213"/>
        <v>1</v>
      </c>
      <c r="P223" s="3">
        <f t="shared" si="213"/>
        <v>1</v>
      </c>
      <c r="Q223" s="3">
        <f t="shared" si="213"/>
        <v>1</v>
      </c>
      <c r="R223" s="3">
        <f t="shared" si="213"/>
        <v>1</v>
      </c>
      <c r="S223" s="3">
        <f t="shared" si="213"/>
        <v>1</v>
      </c>
      <c r="T223" s="3">
        <f t="shared" si="213"/>
        <v>1</v>
      </c>
      <c r="U223" s="3">
        <f t="shared" si="213"/>
        <v>1</v>
      </c>
      <c r="V223" s="3">
        <f t="shared" si="213"/>
        <v>1</v>
      </c>
      <c r="W223" s="3">
        <f t="shared" si="213"/>
        <v>1</v>
      </c>
    </row>
    <row r="224" customHeight="1" spans="1:23">
      <c r="A224" s="2">
        <v>211</v>
      </c>
      <c r="B224" s="3">
        <f t="shared" ref="B224:W224" si="214">MIN(1,IF($A224&lt;B$4+B$3,0,IF(B$2=0,1,IF(B$5=0,($A224-B$4)/B$2,IF(MOD($A224-B$4,B$5)=0,($A224-B$4)/B$2,QUOTIENT($A224-B$4,B$5)*B$5/B$2)))))</f>
        <v>1</v>
      </c>
      <c r="C224" s="3">
        <f t="shared" si="214"/>
        <v>1</v>
      </c>
      <c r="D224" s="3">
        <f t="shared" si="214"/>
        <v>1</v>
      </c>
      <c r="E224" s="3" t="e">
        <f t="shared" si="214"/>
        <v>#REF!</v>
      </c>
      <c r="F224" s="3">
        <f t="shared" si="214"/>
        <v>1</v>
      </c>
      <c r="G224" s="3">
        <f t="shared" si="214"/>
        <v>1</v>
      </c>
      <c r="H224" s="3">
        <f t="shared" si="214"/>
        <v>1</v>
      </c>
      <c r="I224" s="3">
        <f t="shared" si="214"/>
        <v>1</v>
      </c>
      <c r="J224" s="3">
        <f t="shared" si="214"/>
        <v>1</v>
      </c>
      <c r="K224" s="3">
        <f t="shared" si="214"/>
        <v>1</v>
      </c>
      <c r="L224" s="3">
        <f t="shared" si="214"/>
        <v>1</v>
      </c>
      <c r="M224" s="3" t="e">
        <f t="shared" si="214"/>
        <v>#REF!</v>
      </c>
      <c r="N224" s="3">
        <f t="shared" si="214"/>
        <v>1</v>
      </c>
      <c r="O224" s="3">
        <f t="shared" si="214"/>
        <v>1</v>
      </c>
      <c r="P224" s="3">
        <f t="shared" si="214"/>
        <v>1</v>
      </c>
      <c r="Q224" s="3">
        <f t="shared" si="214"/>
        <v>1</v>
      </c>
      <c r="R224" s="3">
        <f t="shared" si="214"/>
        <v>1</v>
      </c>
      <c r="S224" s="3">
        <f t="shared" si="214"/>
        <v>1</v>
      </c>
      <c r="T224" s="3">
        <f t="shared" si="214"/>
        <v>1</v>
      </c>
      <c r="U224" s="3">
        <f t="shared" si="214"/>
        <v>1</v>
      </c>
      <c r="V224" s="3">
        <f t="shared" si="214"/>
        <v>1</v>
      </c>
      <c r="W224" s="3">
        <f t="shared" si="214"/>
        <v>1</v>
      </c>
    </row>
    <row r="225" customHeight="1" spans="1:23">
      <c r="A225" s="2">
        <v>212</v>
      </c>
      <c r="B225" s="3">
        <f t="shared" ref="B225:W225" si="215">MIN(1,IF($A225&lt;B$4+B$3,0,IF(B$2=0,1,IF(B$5=0,($A225-B$4)/B$2,IF(MOD($A225-B$4,B$5)=0,($A225-B$4)/B$2,QUOTIENT($A225-B$4,B$5)*B$5/B$2)))))</f>
        <v>1</v>
      </c>
      <c r="C225" s="3">
        <f t="shared" si="215"/>
        <v>1</v>
      </c>
      <c r="D225" s="3">
        <f t="shared" si="215"/>
        <v>1</v>
      </c>
      <c r="E225" s="3" t="e">
        <f t="shared" si="215"/>
        <v>#REF!</v>
      </c>
      <c r="F225" s="3">
        <f t="shared" si="215"/>
        <v>1</v>
      </c>
      <c r="G225" s="3">
        <f t="shared" si="215"/>
        <v>1</v>
      </c>
      <c r="H225" s="3">
        <f t="shared" si="215"/>
        <v>1</v>
      </c>
      <c r="I225" s="3">
        <f t="shared" si="215"/>
        <v>1</v>
      </c>
      <c r="J225" s="3">
        <f t="shared" si="215"/>
        <v>1</v>
      </c>
      <c r="K225" s="3">
        <f t="shared" si="215"/>
        <v>1</v>
      </c>
      <c r="L225" s="3">
        <f t="shared" si="215"/>
        <v>1</v>
      </c>
      <c r="M225" s="3" t="e">
        <f t="shared" si="215"/>
        <v>#REF!</v>
      </c>
      <c r="N225" s="3">
        <f t="shared" si="215"/>
        <v>1</v>
      </c>
      <c r="O225" s="3">
        <f t="shared" si="215"/>
        <v>1</v>
      </c>
      <c r="P225" s="3">
        <f t="shared" si="215"/>
        <v>1</v>
      </c>
      <c r="Q225" s="3">
        <f t="shared" si="215"/>
        <v>1</v>
      </c>
      <c r="R225" s="3">
        <f t="shared" si="215"/>
        <v>1</v>
      </c>
      <c r="S225" s="3">
        <f t="shared" si="215"/>
        <v>1</v>
      </c>
      <c r="T225" s="3">
        <f t="shared" si="215"/>
        <v>1</v>
      </c>
      <c r="U225" s="3">
        <f t="shared" si="215"/>
        <v>1</v>
      </c>
      <c r="V225" s="3">
        <f t="shared" si="215"/>
        <v>1</v>
      </c>
      <c r="W225" s="3">
        <f t="shared" si="215"/>
        <v>1</v>
      </c>
    </row>
    <row r="226" customHeight="1" spans="1:23">
      <c r="A226" s="2">
        <v>213</v>
      </c>
      <c r="B226" s="3">
        <f t="shared" ref="B226:W226" si="216">MIN(1,IF($A226&lt;B$4+B$3,0,IF(B$2=0,1,IF(B$5=0,($A226-B$4)/B$2,IF(MOD($A226-B$4,B$5)=0,($A226-B$4)/B$2,QUOTIENT($A226-B$4,B$5)*B$5/B$2)))))</f>
        <v>1</v>
      </c>
      <c r="C226" s="3">
        <f t="shared" si="216"/>
        <v>1</v>
      </c>
      <c r="D226" s="3">
        <f t="shared" si="216"/>
        <v>1</v>
      </c>
      <c r="E226" s="3" t="e">
        <f t="shared" si="216"/>
        <v>#REF!</v>
      </c>
      <c r="F226" s="3">
        <f t="shared" si="216"/>
        <v>1</v>
      </c>
      <c r="G226" s="3">
        <f t="shared" si="216"/>
        <v>1</v>
      </c>
      <c r="H226" s="3">
        <f t="shared" si="216"/>
        <v>1</v>
      </c>
      <c r="I226" s="3">
        <f t="shared" si="216"/>
        <v>1</v>
      </c>
      <c r="J226" s="3">
        <f t="shared" si="216"/>
        <v>1</v>
      </c>
      <c r="K226" s="3">
        <f t="shared" si="216"/>
        <v>1</v>
      </c>
      <c r="L226" s="3">
        <f t="shared" si="216"/>
        <v>1</v>
      </c>
      <c r="M226" s="3" t="e">
        <f t="shared" si="216"/>
        <v>#REF!</v>
      </c>
      <c r="N226" s="3">
        <f t="shared" si="216"/>
        <v>1</v>
      </c>
      <c r="O226" s="3">
        <f t="shared" si="216"/>
        <v>1</v>
      </c>
      <c r="P226" s="3">
        <f t="shared" si="216"/>
        <v>1</v>
      </c>
      <c r="Q226" s="3">
        <f t="shared" si="216"/>
        <v>1</v>
      </c>
      <c r="R226" s="3">
        <f t="shared" si="216"/>
        <v>1</v>
      </c>
      <c r="S226" s="3">
        <f t="shared" si="216"/>
        <v>1</v>
      </c>
      <c r="T226" s="3">
        <f t="shared" si="216"/>
        <v>1</v>
      </c>
      <c r="U226" s="3">
        <f t="shared" si="216"/>
        <v>1</v>
      </c>
      <c r="V226" s="3">
        <f t="shared" si="216"/>
        <v>1</v>
      </c>
      <c r="W226" s="3">
        <f t="shared" si="216"/>
        <v>1</v>
      </c>
    </row>
    <row r="227" customHeight="1" spans="1:23">
      <c r="A227" s="2">
        <v>214</v>
      </c>
      <c r="B227" s="3">
        <f t="shared" ref="B227:W227" si="217">MIN(1,IF($A227&lt;B$4+B$3,0,IF(B$2=0,1,IF(B$5=0,($A227-B$4)/B$2,IF(MOD($A227-B$4,B$5)=0,($A227-B$4)/B$2,QUOTIENT($A227-B$4,B$5)*B$5/B$2)))))</f>
        <v>1</v>
      </c>
      <c r="C227" s="3">
        <f t="shared" si="217"/>
        <v>1</v>
      </c>
      <c r="D227" s="3">
        <f t="shared" si="217"/>
        <v>1</v>
      </c>
      <c r="E227" s="3" t="e">
        <f t="shared" si="217"/>
        <v>#REF!</v>
      </c>
      <c r="F227" s="3">
        <f t="shared" si="217"/>
        <v>1</v>
      </c>
      <c r="G227" s="3">
        <f t="shared" si="217"/>
        <v>1</v>
      </c>
      <c r="H227" s="3">
        <f t="shared" si="217"/>
        <v>1</v>
      </c>
      <c r="I227" s="3">
        <f t="shared" si="217"/>
        <v>1</v>
      </c>
      <c r="J227" s="3">
        <f t="shared" si="217"/>
        <v>1</v>
      </c>
      <c r="K227" s="3">
        <f t="shared" si="217"/>
        <v>1</v>
      </c>
      <c r="L227" s="3">
        <f t="shared" si="217"/>
        <v>1</v>
      </c>
      <c r="M227" s="3" t="e">
        <f t="shared" si="217"/>
        <v>#REF!</v>
      </c>
      <c r="N227" s="3">
        <f t="shared" si="217"/>
        <v>1</v>
      </c>
      <c r="O227" s="3">
        <f t="shared" si="217"/>
        <v>1</v>
      </c>
      <c r="P227" s="3">
        <f t="shared" si="217"/>
        <v>1</v>
      </c>
      <c r="Q227" s="3">
        <f t="shared" si="217"/>
        <v>1</v>
      </c>
      <c r="R227" s="3">
        <f t="shared" si="217"/>
        <v>1</v>
      </c>
      <c r="S227" s="3">
        <f t="shared" si="217"/>
        <v>1</v>
      </c>
      <c r="T227" s="3">
        <f t="shared" si="217"/>
        <v>1</v>
      </c>
      <c r="U227" s="3">
        <f t="shared" si="217"/>
        <v>1</v>
      </c>
      <c r="V227" s="3">
        <f t="shared" si="217"/>
        <v>1</v>
      </c>
      <c r="W227" s="3">
        <f t="shared" si="217"/>
        <v>1</v>
      </c>
    </row>
    <row r="228" customHeight="1" spans="1:23">
      <c r="A228" s="2">
        <v>215</v>
      </c>
      <c r="B228" s="3">
        <f t="shared" ref="B228:W228" si="218">MIN(1,IF($A228&lt;B$4+B$3,0,IF(B$2=0,1,IF(B$5=0,($A228-B$4)/B$2,IF(MOD($A228-B$4,B$5)=0,($A228-B$4)/B$2,QUOTIENT($A228-B$4,B$5)*B$5/B$2)))))</f>
        <v>1</v>
      </c>
      <c r="C228" s="3">
        <f t="shared" si="218"/>
        <v>1</v>
      </c>
      <c r="D228" s="3">
        <f t="shared" si="218"/>
        <v>1</v>
      </c>
      <c r="E228" s="3" t="e">
        <f t="shared" si="218"/>
        <v>#REF!</v>
      </c>
      <c r="F228" s="3">
        <f t="shared" si="218"/>
        <v>1</v>
      </c>
      <c r="G228" s="3">
        <f t="shared" si="218"/>
        <v>1</v>
      </c>
      <c r="H228" s="3">
        <f t="shared" si="218"/>
        <v>1</v>
      </c>
      <c r="I228" s="3">
        <f t="shared" si="218"/>
        <v>1</v>
      </c>
      <c r="J228" s="3">
        <f t="shared" si="218"/>
        <v>1</v>
      </c>
      <c r="K228" s="3">
        <f t="shared" si="218"/>
        <v>1</v>
      </c>
      <c r="L228" s="3">
        <f t="shared" si="218"/>
        <v>1</v>
      </c>
      <c r="M228" s="3" t="e">
        <f t="shared" si="218"/>
        <v>#REF!</v>
      </c>
      <c r="N228" s="3">
        <f t="shared" si="218"/>
        <v>1</v>
      </c>
      <c r="O228" s="3">
        <f t="shared" si="218"/>
        <v>1</v>
      </c>
      <c r="P228" s="3">
        <f t="shared" si="218"/>
        <v>1</v>
      </c>
      <c r="Q228" s="3">
        <f t="shared" si="218"/>
        <v>1</v>
      </c>
      <c r="R228" s="3">
        <f t="shared" si="218"/>
        <v>1</v>
      </c>
      <c r="S228" s="3">
        <f t="shared" si="218"/>
        <v>1</v>
      </c>
      <c r="T228" s="3">
        <f t="shared" si="218"/>
        <v>1</v>
      </c>
      <c r="U228" s="3">
        <f t="shared" si="218"/>
        <v>1</v>
      </c>
      <c r="V228" s="3">
        <f t="shared" si="218"/>
        <v>1</v>
      </c>
      <c r="W228" s="3">
        <f t="shared" si="218"/>
        <v>1</v>
      </c>
    </row>
    <row r="229" customHeight="1" spans="1:23">
      <c r="A229" s="2">
        <v>216</v>
      </c>
      <c r="B229" s="3">
        <f t="shared" ref="B229:W229" si="219">MIN(1,IF($A229&lt;B$4+B$3,0,IF(B$2=0,1,IF(B$5=0,($A229-B$4)/B$2,IF(MOD($A229-B$4,B$5)=0,($A229-B$4)/B$2,QUOTIENT($A229-B$4,B$5)*B$5/B$2)))))</f>
        <v>1</v>
      </c>
      <c r="C229" s="3">
        <f t="shared" si="219"/>
        <v>1</v>
      </c>
      <c r="D229" s="3">
        <f t="shared" si="219"/>
        <v>1</v>
      </c>
      <c r="E229" s="3" t="e">
        <f t="shared" si="219"/>
        <v>#REF!</v>
      </c>
      <c r="F229" s="3">
        <f t="shared" si="219"/>
        <v>1</v>
      </c>
      <c r="G229" s="3">
        <f t="shared" si="219"/>
        <v>1</v>
      </c>
      <c r="H229" s="3">
        <f t="shared" si="219"/>
        <v>1</v>
      </c>
      <c r="I229" s="3">
        <f t="shared" si="219"/>
        <v>1</v>
      </c>
      <c r="J229" s="3">
        <f t="shared" si="219"/>
        <v>1</v>
      </c>
      <c r="K229" s="3">
        <f t="shared" si="219"/>
        <v>1</v>
      </c>
      <c r="L229" s="3">
        <f t="shared" si="219"/>
        <v>1</v>
      </c>
      <c r="M229" s="3" t="e">
        <f t="shared" si="219"/>
        <v>#REF!</v>
      </c>
      <c r="N229" s="3">
        <f t="shared" si="219"/>
        <v>1</v>
      </c>
      <c r="O229" s="3">
        <f t="shared" si="219"/>
        <v>1</v>
      </c>
      <c r="P229" s="3">
        <f t="shared" si="219"/>
        <v>1</v>
      </c>
      <c r="Q229" s="3">
        <f t="shared" si="219"/>
        <v>1</v>
      </c>
      <c r="R229" s="3">
        <f t="shared" si="219"/>
        <v>1</v>
      </c>
      <c r="S229" s="3">
        <f t="shared" si="219"/>
        <v>1</v>
      </c>
      <c r="T229" s="3">
        <f t="shared" si="219"/>
        <v>1</v>
      </c>
      <c r="U229" s="3">
        <f t="shared" si="219"/>
        <v>1</v>
      </c>
      <c r="V229" s="3">
        <f t="shared" si="219"/>
        <v>1</v>
      </c>
      <c r="W229" s="3">
        <f t="shared" si="219"/>
        <v>1</v>
      </c>
    </row>
    <row r="230" customHeight="1" spans="1:23">
      <c r="A230" s="2">
        <v>217</v>
      </c>
      <c r="B230" s="3">
        <f t="shared" ref="B230:W230" si="220">MIN(1,IF($A230&lt;B$4+B$3,0,IF(B$2=0,1,IF(B$5=0,($A230-B$4)/B$2,IF(MOD($A230-B$4,B$5)=0,($A230-B$4)/B$2,QUOTIENT($A230-B$4,B$5)*B$5/B$2)))))</f>
        <v>1</v>
      </c>
      <c r="C230" s="3">
        <f t="shared" si="220"/>
        <v>1</v>
      </c>
      <c r="D230" s="3">
        <f t="shared" si="220"/>
        <v>1</v>
      </c>
      <c r="E230" s="3" t="e">
        <f t="shared" si="220"/>
        <v>#REF!</v>
      </c>
      <c r="F230" s="3">
        <f t="shared" si="220"/>
        <v>1</v>
      </c>
      <c r="G230" s="3">
        <f t="shared" si="220"/>
        <v>1</v>
      </c>
      <c r="H230" s="3">
        <f t="shared" si="220"/>
        <v>1</v>
      </c>
      <c r="I230" s="3">
        <f t="shared" si="220"/>
        <v>1</v>
      </c>
      <c r="J230" s="3">
        <f t="shared" si="220"/>
        <v>1</v>
      </c>
      <c r="K230" s="3">
        <f t="shared" si="220"/>
        <v>1</v>
      </c>
      <c r="L230" s="3">
        <f t="shared" si="220"/>
        <v>1</v>
      </c>
      <c r="M230" s="3" t="e">
        <f t="shared" si="220"/>
        <v>#REF!</v>
      </c>
      <c r="N230" s="3">
        <f t="shared" si="220"/>
        <v>1</v>
      </c>
      <c r="O230" s="3">
        <f t="shared" si="220"/>
        <v>1</v>
      </c>
      <c r="P230" s="3">
        <f t="shared" si="220"/>
        <v>1</v>
      </c>
      <c r="Q230" s="3">
        <f t="shared" si="220"/>
        <v>1</v>
      </c>
      <c r="R230" s="3">
        <f t="shared" si="220"/>
        <v>1</v>
      </c>
      <c r="S230" s="3">
        <f t="shared" si="220"/>
        <v>1</v>
      </c>
      <c r="T230" s="3">
        <f t="shared" si="220"/>
        <v>1</v>
      </c>
      <c r="U230" s="3">
        <f t="shared" si="220"/>
        <v>1</v>
      </c>
      <c r="V230" s="3">
        <f t="shared" si="220"/>
        <v>1</v>
      </c>
      <c r="W230" s="3">
        <f t="shared" si="220"/>
        <v>1</v>
      </c>
    </row>
    <row r="231" customHeight="1" spans="1:23">
      <c r="A231" s="2">
        <v>218</v>
      </c>
      <c r="B231" s="3">
        <f t="shared" ref="B231:W231" si="221">MIN(1,IF($A231&lt;B$4+B$3,0,IF(B$2=0,1,IF(B$5=0,($A231-B$4)/B$2,IF(MOD($A231-B$4,B$5)=0,($A231-B$4)/B$2,QUOTIENT($A231-B$4,B$5)*B$5/B$2)))))</f>
        <v>1</v>
      </c>
      <c r="C231" s="3">
        <f t="shared" si="221"/>
        <v>1</v>
      </c>
      <c r="D231" s="3">
        <f t="shared" si="221"/>
        <v>1</v>
      </c>
      <c r="E231" s="3" t="e">
        <f t="shared" si="221"/>
        <v>#REF!</v>
      </c>
      <c r="F231" s="3">
        <f t="shared" si="221"/>
        <v>1</v>
      </c>
      <c r="G231" s="3">
        <f t="shared" si="221"/>
        <v>1</v>
      </c>
      <c r="H231" s="3">
        <f t="shared" si="221"/>
        <v>1</v>
      </c>
      <c r="I231" s="3">
        <f t="shared" si="221"/>
        <v>1</v>
      </c>
      <c r="J231" s="3">
        <f t="shared" si="221"/>
        <v>1</v>
      </c>
      <c r="K231" s="3">
        <f t="shared" si="221"/>
        <v>1</v>
      </c>
      <c r="L231" s="3">
        <f t="shared" si="221"/>
        <v>1</v>
      </c>
      <c r="M231" s="3" t="e">
        <f t="shared" si="221"/>
        <v>#REF!</v>
      </c>
      <c r="N231" s="3">
        <f t="shared" si="221"/>
        <v>1</v>
      </c>
      <c r="O231" s="3">
        <f t="shared" si="221"/>
        <v>1</v>
      </c>
      <c r="P231" s="3">
        <f t="shared" si="221"/>
        <v>1</v>
      </c>
      <c r="Q231" s="3">
        <f t="shared" si="221"/>
        <v>1</v>
      </c>
      <c r="R231" s="3">
        <f t="shared" si="221"/>
        <v>1</v>
      </c>
      <c r="S231" s="3">
        <f t="shared" si="221"/>
        <v>1</v>
      </c>
      <c r="T231" s="3">
        <f t="shared" si="221"/>
        <v>1</v>
      </c>
      <c r="U231" s="3">
        <f t="shared" si="221"/>
        <v>1</v>
      </c>
      <c r="V231" s="3">
        <f t="shared" si="221"/>
        <v>1</v>
      </c>
      <c r="W231" s="3">
        <f t="shared" si="221"/>
        <v>1</v>
      </c>
    </row>
    <row r="232" customHeight="1" spans="1:23">
      <c r="A232" s="2">
        <v>219</v>
      </c>
      <c r="B232" s="3">
        <f t="shared" ref="B232:W232" si="222">MIN(1,IF($A232&lt;B$4+B$3,0,IF(B$2=0,1,IF(B$5=0,($A232-B$4)/B$2,IF(MOD($A232-B$4,B$5)=0,($A232-B$4)/B$2,QUOTIENT($A232-B$4,B$5)*B$5/B$2)))))</f>
        <v>1</v>
      </c>
      <c r="C232" s="3">
        <f t="shared" si="222"/>
        <v>1</v>
      </c>
      <c r="D232" s="3">
        <f t="shared" si="222"/>
        <v>1</v>
      </c>
      <c r="E232" s="3" t="e">
        <f t="shared" si="222"/>
        <v>#REF!</v>
      </c>
      <c r="F232" s="3">
        <f t="shared" si="222"/>
        <v>1</v>
      </c>
      <c r="G232" s="3">
        <f t="shared" si="222"/>
        <v>1</v>
      </c>
      <c r="H232" s="3">
        <f t="shared" si="222"/>
        <v>1</v>
      </c>
      <c r="I232" s="3">
        <f t="shared" si="222"/>
        <v>1</v>
      </c>
      <c r="J232" s="3">
        <f t="shared" si="222"/>
        <v>1</v>
      </c>
      <c r="K232" s="3">
        <f t="shared" si="222"/>
        <v>1</v>
      </c>
      <c r="L232" s="3">
        <f t="shared" si="222"/>
        <v>1</v>
      </c>
      <c r="M232" s="3" t="e">
        <f t="shared" si="222"/>
        <v>#REF!</v>
      </c>
      <c r="N232" s="3">
        <f t="shared" si="222"/>
        <v>1</v>
      </c>
      <c r="O232" s="3">
        <f t="shared" si="222"/>
        <v>1</v>
      </c>
      <c r="P232" s="3">
        <f t="shared" si="222"/>
        <v>1</v>
      </c>
      <c r="Q232" s="3">
        <f t="shared" si="222"/>
        <v>1</v>
      </c>
      <c r="R232" s="3">
        <f t="shared" si="222"/>
        <v>1</v>
      </c>
      <c r="S232" s="3">
        <f t="shared" si="222"/>
        <v>1</v>
      </c>
      <c r="T232" s="3">
        <f t="shared" si="222"/>
        <v>1</v>
      </c>
      <c r="U232" s="3">
        <f t="shared" si="222"/>
        <v>1</v>
      </c>
      <c r="V232" s="3">
        <f t="shared" si="222"/>
        <v>1</v>
      </c>
      <c r="W232" s="3">
        <f t="shared" si="222"/>
        <v>1</v>
      </c>
    </row>
    <row r="233" customHeight="1" spans="1:23">
      <c r="A233" s="2">
        <v>220</v>
      </c>
      <c r="B233" s="3">
        <f t="shared" ref="B233:W233" si="223">MIN(1,IF($A233&lt;B$4+B$3,0,IF(B$2=0,1,IF(B$5=0,($A233-B$4)/B$2,IF(MOD($A233-B$4,B$5)=0,($A233-B$4)/B$2,QUOTIENT($A233-B$4,B$5)*B$5/B$2)))))</f>
        <v>1</v>
      </c>
      <c r="C233" s="3">
        <f t="shared" si="223"/>
        <v>1</v>
      </c>
      <c r="D233" s="3">
        <f t="shared" si="223"/>
        <v>1</v>
      </c>
      <c r="E233" s="3" t="e">
        <f t="shared" si="223"/>
        <v>#REF!</v>
      </c>
      <c r="F233" s="3">
        <f t="shared" si="223"/>
        <v>1</v>
      </c>
      <c r="G233" s="3">
        <f t="shared" si="223"/>
        <v>1</v>
      </c>
      <c r="H233" s="3">
        <f t="shared" si="223"/>
        <v>1</v>
      </c>
      <c r="I233" s="3">
        <f t="shared" si="223"/>
        <v>1</v>
      </c>
      <c r="J233" s="3">
        <f t="shared" si="223"/>
        <v>1</v>
      </c>
      <c r="K233" s="3">
        <f t="shared" si="223"/>
        <v>1</v>
      </c>
      <c r="L233" s="3">
        <f t="shared" si="223"/>
        <v>1</v>
      </c>
      <c r="M233" s="3" t="e">
        <f t="shared" si="223"/>
        <v>#REF!</v>
      </c>
      <c r="N233" s="3">
        <f t="shared" si="223"/>
        <v>1</v>
      </c>
      <c r="O233" s="3">
        <f t="shared" si="223"/>
        <v>1</v>
      </c>
      <c r="P233" s="3">
        <f t="shared" si="223"/>
        <v>1</v>
      </c>
      <c r="Q233" s="3">
        <f t="shared" si="223"/>
        <v>1</v>
      </c>
      <c r="R233" s="3">
        <f t="shared" si="223"/>
        <v>1</v>
      </c>
      <c r="S233" s="3">
        <f t="shared" si="223"/>
        <v>1</v>
      </c>
      <c r="T233" s="3">
        <f t="shared" si="223"/>
        <v>1</v>
      </c>
      <c r="U233" s="3">
        <f t="shared" si="223"/>
        <v>1</v>
      </c>
      <c r="V233" s="3">
        <f t="shared" si="223"/>
        <v>1</v>
      </c>
      <c r="W233" s="3">
        <f t="shared" si="223"/>
        <v>1</v>
      </c>
    </row>
    <row r="234" customHeight="1" spans="1:23">
      <c r="A234" s="2">
        <v>221</v>
      </c>
      <c r="B234" s="3">
        <f t="shared" ref="B234:W234" si="224">MIN(1,IF($A234&lt;B$4+B$3,0,IF(B$2=0,1,IF(B$5=0,($A234-B$4)/B$2,IF(MOD($A234-B$4,B$5)=0,($A234-B$4)/B$2,QUOTIENT($A234-B$4,B$5)*B$5/B$2)))))</f>
        <v>1</v>
      </c>
      <c r="C234" s="3">
        <f t="shared" si="224"/>
        <v>1</v>
      </c>
      <c r="D234" s="3">
        <f t="shared" si="224"/>
        <v>1</v>
      </c>
      <c r="E234" s="3" t="e">
        <f t="shared" si="224"/>
        <v>#REF!</v>
      </c>
      <c r="F234" s="3">
        <f t="shared" si="224"/>
        <v>1</v>
      </c>
      <c r="G234" s="3">
        <f t="shared" si="224"/>
        <v>1</v>
      </c>
      <c r="H234" s="3">
        <f t="shared" si="224"/>
        <v>1</v>
      </c>
      <c r="I234" s="3">
        <f t="shared" si="224"/>
        <v>1</v>
      </c>
      <c r="J234" s="3">
        <f t="shared" si="224"/>
        <v>1</v>
      </c>
      <c r="K234" s="3">
        <f t="shared" si="224"/>
        <v>1</v>
      </c>
      <c r="L234" s="3">
        <f t="shared" si="224"/>
        <v>1</v>
      </c>
      <c r="M234" s="3" t="e">
        <f t="shared" si="224"/>
        <v>#REF!</v>
      </c>
      <c r="N234" s="3">
        <f t="shared" si="224"/>
        <v>1</v>
      </c>
      <c r="O234" s="3">
        <f t="shared" si="224"/>
        <v>1</v>
      </c>
      <c r="P234" s="3">
        <f t="shared" si="224"/>
        <v>1</v>
      </c>
      <c r="Q234" s="3">
        <f t="shared" si="224"/>
        <v>1</v>
      </c>
      <c r="R234" s="3">
        <f t="shared" si="224"/>
        <v>1</v>
      </c>
      <c r="S234" s="3">
        <f t="shared" si="224"/>
        <v>1</v>
      </c>
      <c r="T234" s="3">
        <f t="shared" si="224"/>
        <v>1</v>
      </c>
      <c r="U234" s="3">
        <f t="shared" si="224"/>
        <v>1</v>
      </c>
      <c r="V234" s="3">
        <f t="shared" si="224"/>
        <v>1</v>
      </c>
      <c r="W234" s="3">
        <f t="shared" si="224"/>
        <v>1</v>
      </c>
    </row>
    <row r="235" customHeight="1" spans="1:23">
      <c r="A235" s="2">
        <v>222</v>
      </c>
      <c r="B235" s="3">
        <f t="shared" ref="B235:W235" si="225">MIN(1,IF($A235&lt;B$4+B$3,0,IF(B$2=0,1,IF(B$5=0,($A235-B$4)/B$2,IF(MOD($A235-B$4,B$5)=0,($A235-B$4)/B$2,QUOTIENT($A235-B$4,B$5)*B$5/B$2)))))</f>
        <v>1</v>
      </c>
      <c r="C235" s="3">
        <f t="shared" si="225"/>
        <v>1</v>
      </c>
      <c r="D235" s="3">
        <f t="shared" si="225"/>
        <v>1</v>
      </c>
      <c r="E235" s="3" t="e">
        <f t="shared" si="225"/>
        <v>#REF!</v>
      </c>
      <c r="F235" s="3">
        <f t="shared" si="225"/>
        <v>1</v>
      </c>
      <c r="G235" s="3">
        <f t="shared" si="225"/>
        <v>1</v>
      </c>
      <c r="H235" s="3">
        <f t="shared" si="225"/>
        <v>1</v>
      </c>
      <c r="I235" s="3">
        <f t="shared" si="225"/>
        <v>1</v>
      </c>
      <c r="J235" s="3">
        <f t="shared" si="225"/>
        <v>1</v>
      </c>
      <c r="K235" s="3">
        <f t="shared" si="225"/>
        <v>1</v>
      </c>
      <c r="L235" s="3">
        <f t="shared" si="225"/>
        <v>1</v>
      </c>
      <c r="M235" s="3" t="e">
        <f t="shared" si="225"/>
        <v>#REF!</v>
      </c>
      <c r="N235" s="3">
        <f t="shared" si="225"/>
        <v>1</v>
      </c>
      <c r="O235" s="3">
        <f t="shared" si="225"/>
        <v>1</v>
      </c>
      <c r="P235" s="3">
        <f t="shared" si="225"/>
        <v>1</v>
      </c>
      <c r="Q235" s="3">
        <f t="shared" si="225"/>
        <v>1</v>
      </c>
      <c r="R235" s="3">
        <f t="shared" si="225"/>
        <v>1</v>
      </c>
      <c r="S235" s="3">
        <f t="shared" si="225"/>
        <v>1</v>
      </c>
      <c r="T235" s="3">
        <f t="shared" si="225"/>
        <v>1</v>
      </c>
      <c r="U235" s="3">
        <f t="shared" si="225"/>
        <v>1</v>
      </c>
      <c r="V235" s="3">
        <f t="shared" si="225"/>
        <v>1</v>
      </c>
      <c r="W235" s="3">
        <f t="shared" si="225"/>
        <v>1</v>
      </c>
    </row>
    <row r="236" customHeight="1" spans="1:23">
      <c r="A236" s="2">
        <v>223</v>
      </c>
      <c r="B236" s="3">
        <f t="shared" ref="B236:W236" si="226">MIN(1,IF($A236&lt;B$4+B$3,0,IF(B$2=0,1,IF(B$5=0,($A236-B$4)/B$2,IF(MOD($A236-B$4,B$5)=0,($A236-B$4)/B$2,QUOTIENT($A236-B$4,B$5)*B$5/B$2)))))</f>
        <v>1</v>
      </c>
      <c r="C236" s="3">
        <f t="shared" si="226"/>
        <v>1</v>
      </c>
      <c r="D236" s="3">
        <f t="shared" si="226"/>
        <v>1</v>
      </c>
      <c r="E236" s="3" t="e">
        <f t="shared" si="226"/>
        <v>#REF!</v>
      </c>
      <c r="F236" s="3">
        <f t="shared" si="226"/>
        <v>1</v>
      </c>
      <c r="G236" s="3">
        <f t="shared" si="226"/>
        <v>1</v>
      </c>
      <c r="H236" s="3">
        <f t="shared" si="226"/>
        <v>1</v>
      </c>
      <c r="I236" s="3">
        <f t="shared" si="226"/>
        <v>1</v>
      </c>
      <c r="J236" s="3">
        <f t="shared" si="226"/>
        <v>1</v>
      </c>
      <c r="K236" s="3">
        <f t="shared" si="226"/>
        <v>1</v>
      </c>
      <c r="L236" s="3">
        <f t="shared" si="226"/>
        <v>1</v>
      </c>
      <c r="M236" s="3" t="e">
        <f t="shared" si="226"/>
        <v>#REF!</v>
      </c>
      <c r="N236" s="3">
        <f t="shared" si="226"/>
        <v>1</v>
      </c>
      <c r="O236" s="3">
        <f t="shared" si="226"/>
        <v>1</v>
      </c>
      <c r="P236" s="3">
        <f t="shared" si="226"/>
        <v>1</v>
      </c>
      <c r="Q236" s="3">
        <f t="shared" si="226"/>
        <v>1</v>
      </c>
      <c r="R236" s="3">
        <f t="shared" si="226"/>
        <v>1</v>
      </c>
      <c r="S236" s="3">
        <f t="shared" si="226"/>
        <v>1</v>
      </c>
      <c r="T236" s="3">
        <f t="shared" si="226"/>
        <v>1</v>
      </c>
      <c r="U236" s="3">
        <f t="shared" si="226"/>
        <v>1</v>
      </c>
      <c r="V236" s="3">
        <f t="shared" si="226"/>
        <v>1</v>
      </c>
      <c r="W236" s="3">
        <f t="shared" si="226"/>
        <v>1</v>
      </c>
    </row>
    <row r="237" customHeight="1" spans="1:23">
      <c r="A237" s="2">
        <v>224</v>
      </c>
      <c r="B237" s="3">
        <f t="shared" ref="B237:W237" si="227">MIN(1,IF($A237&lt;B$4+B$3,0,IF(B$2=0,1,IF(B$5=0,($A237-B$4)/B$2,IF(MOD($A237-B$4,B$5)=0,($A237-B$4)/B$2,QUOTIENT($A237-B$4,B$5)*B$5/B$2)))))</f>
        <v>1</v>
      </c>
      <c r="C237" s="3">
        <f t="shared" si="227"/>
        <v>1</v>
      </c>
      <c r="D237" s="3">
        <f t="shared" si="227"/>
        <v>1</v>
      </c>
      <c r="E237" s="3" t="e">
        <f t="shared" si="227"/>
        <v>#REF!</v>
      </c>
      <c r="F237" s="3">
        <f t="shared" si="227"/>
        <v>1</v>
      </c>
      <c r="G237" s="3">
        <f t="shared" si="227"/>
        <v>1</v>
      </c>
      <c r="H237" s="3">
        <f t="shared" si="227"/>
        <v>1</v>
      </c>
      <c r="I237" s="3">
        <f t="shared" si="227"/>
        <v>1</v>
      </c>
      <c r="J237" s="3">
        <f t="shared" si="227"/>
        <v>1</v>
      </c>
      <c r="K237" s="3">
        <f t="shared" si="227"/>
        <v>1</v>
      </c>
      <c r="L237" s="3">
        <f t="shared" si="227"/>
        <v>1</v>
      </c>
      <c r="M237" s="3" t="e">
        <f t="shared" si="227"/>
        <v>#REF!</v>
      </c>
      <c r="N237" s="3">
        <f t="shared" si="227"/>
        <v>1</v>
      </c>
      <c r="O237" s="3">
        <f t="shared" si="227"/>
        <v>1</v>
      </c>
      <c r="P237" s="3">
        <f t="shared" si="227"/>
        <v>1</v>
      </c>
      <c r="Q237" s="3">
        <f t="shared" si="227"/>
        <v>1</v>
      </c>
      <c r="R237" s="3">
        <f t="shared" si="227"/>
        <v>1</v>
      </c>
      <c r="S237" s="3">
        <f t="shared" si="227"/>
        <v>1</v>
      </c>
      <c r="T237" s="3">
        <f t="shared" si="227"/>
        <v>1</v>
      </c>
      <c r="U237" s="3">
        <f t="shared" si="227"/>
        <v>1</v>
      </c>
      <c r="V237" s="3">
        <f t="shared" si="227"/>
        <v>1</v>
      </c>
      <c r="W237" s="3">
        <f t="shared" si="227"/>
        <v>1</v>
      </c>
    </row>
    <row r="238" customHeight="1" spans="1:23">
      <c r="A238" s="2">
        <v>225</v>
      </c>
      <c r="B238" s="3">
        <f t="shared" ref="B238:W238" si="228">MIN(1,IF($A238&lt;B$4+B$3,0,IF(B$2=0,1,IF(B$5=0,($A238-B$4)/B$2,IF(MOD($A238-B$4,B$5)=0,($A238-B$4)/B$2,QUOTIENT($A238-B$4,B$5)*B$5/B$2)))))</f>
        <v>1</v>
      </c>
      <c r="C238" s="3">
        <f t="shared" si="228"/>
        <v>1</v>
      </c>
      <c r="D238" s="3">
        <f t="shared" si="228"/>
        <v>1</v>
      </c>
      <c r="E238" s="3" t="e">
        <f t="shared" si="228"/>
        <v>#REF!</v>
      </c>
      <c r="F238" s="3">
        <f t="shared" si="228"/>
        <v>1</v>
      </c>
      <c r="G238" s="3">
        <f t="shared" si="228"/>
        <v>1</v>
      </c>
      <c r="H238" s="3">
        <f t="shared" si="228"/>
        <v>1</v>
      </c>
      <c r="I238" s="3">
        <f t="shared" si="228"/>
        <v>1</v>
      </c>
      <c r="J238" s="3">
        <f t="shared" si="228"/>
        <v>1</v>
      </c>
      <c r="K238" s="3">
        <f t="shared" si="228"/>
        <v>1</v>
      </c>
      <c r="L238" s="3">
        <f t="shared" si="228"/>
        <v>1</v>
      </c>
      <c r="M238" s="3" t="e">
        <f t="shared" si="228"/>
        <v>#REF!</v>
      </c>
      <c r="N238" s="3">
        <f t="shared" si="228"/>
        <v>1</v>
      </c>
      <c r="O238" s="3">
        <f t="shared" si="228"/>
        <v>1</v>
      </c>
      <c r="P238" s="3">
        <f t="shared" si="228"/>
        <v>1</v>
      </c>
      <c r="Q238" s="3">
        <f t="shared" si="228"/>
        <v>1</v>
      </c>
      <c r="R238" s="3">
        <f t="shared" si="228"/>
        <v>1</v>
      </c>
      <c r="S238" s="3">
        <f t="shared" si="228"/>
        <v>1</v>
      </c>
      <c r="T238" s="3">
        <f t="shared" si="228"/>
        <v>1</v>
      </c>
      <c r="U238" s="3">
        <f t="shared" si="228"/>
        <v>1</v>
      </c>
      <c r="V238" s="3">
        <f t="shared" si="228"/>
        <v>1</v>
      </c>
      <c r="W238" s="3">
        <f t="shared" si="228"/>
        <v>1</v>
      </c>
    </row>
    <row r="239" customHeight="1" spans="1:23">
      <c r="A239" s="2">
        <v>226</v>
      </c>
      <c r="B239" s="3">
        <f t="shared" ref="B239:W239" si="229">MIN(1,IF($A239&lt;B$4+B$3,0,IF(B$2=0,1,IF(B$5=0,($A239-B$4)/B$2,IF(MOD($A239-B$4,B$5)=0,($A239-B$4)/B$2,QUOTIENT($A239-B$4,B$5)*B$5/B$2)))))</f>
        <v>1</v>
      </c>
      <c r="C239" s="3">
        <f t="shared" si="229"/>
        <v>1</v>
      </c>
      <c r="D239" s="3">
        <f t="shared" si="229"/>
        <v>1</v>
      </c>
      <c r="E239" s="3" t="e">
        <f t="shared" si="229"/>
        <v>#REF!</v>
      </c>
      <c r="F239" s="3">
        <f t="shared" si="229"/>
        <v>1</v>
      </c>
      <c r="G239" s="3">
        <f t="shared" si="229"/>
        <v>1</v>
      </c>
      <c r="H239" s="3">
        <f t="shared" si="229"/>
        <v>1</v>
      </c>
      <c r="I239" s="3">
        <f t="shared" si="229"/>
        <v>1</v>
      </c>
      <c r="J239" s="3">
        <f t="shared" si="229"/>
        <v>1</v>
      </c>
      <c r="K239" s="3">
        <f t="shared" si="229"/>
        <v>1</v>
      </c>
      <c r="L239" s="3">
        <f t="shared" si="229"/>
        <v>1</v>
      </c>
      <c r="M239" s="3" t="e">
        <f t="shared" si="229"/>
        <v>#REF!</v>
      </c>
      <c r="N239" s="3">
        <f t="shared" si="229"/>
        <v>1</v>
      </c>
      <c r="O239" s="3">
        <f t="shared" si="229"/>
        <v>1</v>
      </c>
      <c r="P239" s="3">
        <f t="shared" si="229"/>
        <v>1</v>
      </c>
      <c r="Q239" s="3">
        <f t="shared" si="229"/>
        <v>1</v>
      </c>
      <c r="R239" s="3">
        <f t="shared" si="229"/>
        <v>1</v>
      </c>
      <c r="S239" s="3">
        <f t="shared" si="229"/>
        <v>1</v>
      </c>
      <c r="T239" s="3">
        <f t="shared" si="229"/>
        <v>1</v>
      </c>
      <c r="U239" s="3">
        <f t="shared" si="229"/>
        <v>1</v>
      </c>
      <c r="V239" s="3">
        <f t="shared" si="229"/>
        <v>1</v>
      </c>
      <c r="W239" s="3">
        <f t="shared" si="229"/>
        <v>1</v>
      </c>
    </row>
    <row r="240" customHeight="1" spans="1:23">
      <c r="A240" s="2">
        <v>227</v>
      </c>
      <c r="B240" s="3">
        <f t="shared" ref="B240:W240" si="230">MIN(1,IF($A240&lt;B$4+B$3,0,IF(B$2=0,1,IF(B$5=0,($A240-B$4)/B$2,IF(MOD($A240-B$4,B$5)=0,($A240-B$4)/B$2,QUOTIENT($A240-B$4,B$5)*B$5/B$2)))))</f>
        <v>1</v>
      </c>
      <c r="C240" s="3">
        <f t="shared" si="230"/>
        <v>1</v>
      </c>
      <c r="D240" s="3">
        <f t="shared" si="230"/>
        <v>1</v>
      </c>
      <c r="E240" s="3" t="e">
        <f t="shared" si="230"/>
        <v>#REF!</v>
      </c>
      <c r="F240" s="3">
        <f t="shared" si="230"/>
        <v>1</v>
      </c>
      <c r="G240" s="3">
        <f t="shared" si="230"/>
        <v>1</v>
      </c>
      <c r="H240" s="3">
        <f t="shared" si="230"/>
        <v>1</v>
      </c>
      <c r="I240" s="3">
        <f t="shared" si="230"/>
        <v>1</v>
      </c>
      <c r="J240" s="3">
        <f t="shared" si="230"/>
        <v>1</v>
      </c>
      <c r="K240" s="3">
        <f t="shared" si="230"/>
        <v>1</v>
      </c>
      <c r="L240" s="3">
        <f t="shared" si="230"/>
        <v>1</v>
      </c>
      <c r="M240" s="3" t="e">
        <f t="shared" si="230"/>
        <v>#REF!</v>
      </c>
      <c r="N240" s="3">
        <f t="shared" si="230"/>
        <v>1</v>
      </c>
      <c r="O240" s="3">
        <f t="shared" si="230"/>
        <v>1</v>
      </c>
      <c r="P240" s="3">
        <f t="shared" si="230"/>
        <v>1</v>
      </c>
      <c r="Q240" s="3">
        <f t="shared" si="230"/>
        <v>1</v>
      </c>
      <c r="R240" s="3">
        <f t="shared" si="230"/>
        <v>1</v>
      </c>
      <c r="S240" s="3">
        <f t="shared" si="230"/>
        <v>1</v>
      </c>
      <c r="T240" s="3">
        <f t="shared" si="230"/>
        <v>1</v>
      </c>
      <c r="U240" s="3">
        <f t="shared" si="230"/>
        <v>1</v>
      </c>
      <c r="V240" s="3">
        <f t="shared" si="230"/>
        <v>1</v>
      </c>
      <c r="W240" s="3">
        <f t="shared" si="230"/>
        <v>1</v>
      </c>
    </row>
    <row r="241" customHeight="1" spans="1:23">
      <c r="A241" s="2">
        <v>228</v>
      </c>
      <c r="B241" s="3">
        <f t="shared" ref="B241:W241" si="231">MIN(1,IF($A241&lt;B$4+B$3,0,IF(B$2=0,1,IF(B$5=0,($A241-B$4)/B$2,IF(MOD($A241-B$4,B$5)=0,($A241-B$4)/B$2,QUOTIENT($A241-B$4,B$5)*B$5/B$2)))))</f>
        <v>1</v>
      </c>
      <c r="C241" s="3">
        <f t="shared" si="231"/>
        <v>1</v>
      </c>
      <c r="D241" s="3">
        <f t="shared" si="231"/>
        <v>1</v>
      </c>
      <c r="E241" s="3" t="e">
        <f t="shared" si="231"/>
        <v>#REF!</v>
      </c>
      <c r="F241" s="3">
        <f t="shared" si="231"/>
        <v>1</v>
      </c>
      <c r="G241" s="3">
        <f t="shared" si="231"/>
        <v>1</v>
      </c>
      <c r="H241" s="3">
        <f t="shared" si="231"/>
        <v>1</v>
      </c>
      <c r="I241" s="3">
        <f t="shared" si="231"/>
        <v>1</v>
      </c>
      <c r="J241" s="3">
        <f t="shared" si="231"/>
        <v>1</v>
      </c>
      <c r="K241" s="3">
        <f t="shared" si="231"/>
        <v>1</v>
      </c>
      <c r="L241" s="3">
        <f t="shared" si="231"/>
        <v>1</v>
      </c>
      <c r="M241" s="3" t="e">
        <f t="shared" si="231"/>
        <v>#REF!</v>
      </c>
      <c r="N241" s="3">
        <f t="shared" si="231"/>
        <v>1</v>
      </c>
      <c r="O241" s="3">
        <f t="shared" si="231"/>
        <v>1</v>
      </c>
      <c r="P241" s="3">
        <f t="shared" si="231"/>
        <v>1</v>
      </c>
      <c r="Q241" s="3">
        <f t="shared" si="231"/>
        <v>1</v>
      </c>
      <c r="R241" s="3">
        <f t="shared" si="231"/>
        <v>1</v>
      </c>
      <c r="S241" s="3">
        <f t="shared" si="231"/>
        <v>1</v>
      </c>
      <c r="T241" s="3">
        <f t="shared" si="231"/>
        <v>1</v>
      </c>
      <c r="U241" s="3">
        <f t="shared" si="231"/>
        <v>1</v>
      </c>
      <c r="V241" s="3">
        <f t="shared" si="231"/>
        <v>1</v>
      </c>
      <c r="W241" s="3">
        <f t="shared" si="231"/>
        <v>1</v>
      </c>
    </row>
    <row r="242" customHeight="1" spans="1:23">
      <c r="A242" s="2">
        <v>229</v>
      </c>
      <c r="B242" s="3">
        <f t="shared" ref="B242:W242" si="232">MIN(1,IF($A242&lt;B$4+B$3,0,IF(B$2=0,1,IF(B$5=0,($A242-B$4)/B$2,IF(MOD($A242-B$4,B$5)=0,($A242-B$4)/B$2,QUOTIENT($A242-B$4,B$5)*B$5/B$2)))))</f>
        <v>1</v>
      </c>
      <c r="C242" s="3">
        <f t="shared" si="232"/>
        <v>1</v>
      </c>
      <c r="D242" s="3">
        <f t="shared" si="232"/>
        <v>1</v>
      </c>
      <c r="E242" s="3" t="e">
        <f t="shared" si="232"/>
        <v>#REF!</v>
      </c>
      <c r="F242" s="3">
        <f t="shared" si="232"/>
        <v>1</v>
      </c>
      <c r="G242" s="3">
        <f t="shared" si="232"/>
        <v>1</v>
      </c>
      <c r="H242" s="3">
        <f t="shared" si="232"/>
        <v>1</v>
      </c>
      <c r="I242" s="3">
        <f t="shared" si="232"/>
        <v>1</v>
      </c>
      <c r="J242" s="3">
        <f t="shared" si="232"/>
        <v>1</v>
      </c>
      <c r="K242" s="3">
        <f t="shared" si="232"/>
        <v>1</v>
      </c>
      <c r="L242" s="3">
        <f t="shared" si="232"/>
        <v>1</v>
      </c>
      <c r="M242" s="3" t="e">
        <f t="shared" si="232"/>
        <v>#REF!</v>
      </c>
      <c r="N242" s="3">
        <f t="shared" si="232"/>
        <v>1</v>
      </c>
      <c r="O242" s="3">
        <f t="shared" si="232"/>
        <v>1</v>
      </c>
      <c r="P242" s="3">
        <f t="shared" si="232"/>
        <v>1</v>
      </c>
      <c r="Q242" s="3">
        <f t="shared" si="232"/>
        <v>1</v>
      </c>
      <c r="R242" s="3">
        <f t="shared" si="232"/>
        <v>1</v>
      </c>
      <c r="S242" s="3">
        <f t="shared" si="232"/>
        <v>1</v>
      </c>
      <c r="T242" s="3">
        <f t="shared" si="232"/>
        <v>1</v>
      </c>
      <c r="U242" s="3">
        <f t="shared" si="232"/>
        <v>1</v>
      </c>
      <c r="V242" s="3">
        <f t="shared" si="232"/>
        <v>1</v>
      </c>
      <c r="W242" s="3">
        <f t="shared" si="232"/>
        <v>1</v>
      </c>
    </row>
    <row r="243" customHeight="1" spans="1:23">
      <c r="A243" s="2">
        <v>230</v>
      </c>
      <c r="B243" s="3">
        <f t="shared" ref="B243:W243" si="233">MIN(1,IF($A243&lt;B$4+B$3,0,IF(B$2=0,1,IF(B$5=0,($A243-B$4)/B$2,IF(MOD($A243-B$4,B$5)=0,($A243-B$4)/B$2,QUOTIENT($A243-B$4,B$5)*B$5/B$2)))))</f>
        <v>1</v>
      </c>
      <c r="C243" s="3">
        <f t="shared" si="233"/>
        <v>1</v>
      </c>
      <c r="D243" s="3">
        <f t="shared" si="233"/>
        <v>1</v>
      </c>
      <c r="E243" s="3" t="e">
        <f t="shared" si="233"/>
        <v>#REF!</v>
      </c>
      <c r="F243" s="3">
        <f t="shared" si="233"/>
        <v>1</v>
      </c>
      <c r="G243" s="3">
        <f t="shared" si="233"/>
        <v>1</v>
      </c>
      <c r="H243" s="3">
        <f t="shared" si="233"/>
        <v>1</v>
      </c>
      <c r="I243" s="3">
        <f t="shared" si="233"/>
        <v>1</v>
      </c>
      <c r="J243" s="3">
        <f t="shared" si="233"/>
        <v>1</v>
      </c>
      <c r="K243" s="3">
        <f t="shared" si="233"/>
        <v>1</v>
      </c>
      <c r="L243" s="3">
        <f t="shared" si="233"/>
        <v>1</v>
      </c>
      <c r="M243" s="3" t="e">
        <f t="shared" si="233"/>
        <v>#REF!</v>
      </c>
      <c r="N243" s="3">
        <f t="shared" si="233"/>
        <v>1</v>
      </c>
      <c r="O243" s="3">
        <f t="shared" si="233"/>
        <v>1</v>
      </c>
      <c r="P243" s="3">
        <f t="shared" si="233"/>
        <v>1</v>
      </c>
      <c r="Q243" s="3">
        <f t="shared" si="233"/>
        <v>1</v>
      </c>
      <c r="R243" s="3">
        <f t="shared" si="233"/>
        <v>1</v>
      </c>
      <c r="S243" s="3">
        <f t="shared" si="233"/>
        <v>1</v>
      </c>
      <c r="T243" s="3">
        <f t="shared" si="233"/>
        <v>1</v>
      </c>
      <c r="U243" s="3">
        <f t="shared" si="233"/>
        <v>1</v>
      </c>
      <c r="V243" s="3">
        <f t="shared" si="233"/>
        <v>1</v>
      </c>
      <c r="W243" s="3">
        <f t="shared" si="233"/>
        <v>1</v>
      </c>
    </row>
    <row r="244" customHeight="1" spans="1:23">
      <c r="A244" s="2">
        <v>231</v>
      </c>
      <c r="B244" s="3">
        <f t="shared" ref="B244:W244" si="234">MIN(1,IF($A244&lt;B$4+B$3,0,IF(B$2=0,1,IF(B$5=0,($A244-B$4)/B$2,IF(MOD($A244-B$4,B$5)=0,($A244-B$4)/B$2,QUOTIENT($A244-B$4,B$5)*B$5/B$2)))))</f>
        <v>1</v>
      </c>
      <c r="C244" s="3">
        <f t="shared" si="234"/>
        <v>1</v>
      </c>
      <c r="D244" s="3">
        <f t="shared" si="234"/>
        <v>1</v>
      </c>
      <c r="E244" s="3" t="e">
        <f t="shared" si="234"/>
        <v>#REF!</v>
      </c>
      <c r="F244" s="3">
        <f t="shared" si="234"/>
        <v>1</v>
      </c>
      <c r="G244" s="3">
        <f t="shared" si="234"/>
        <v>1</v>
      </c>
      <c r="H244" s="3">
        <f t="shared" si="234"/>
        <v>1</v>
      </c>
      <c r="I244" s="3">
        <f t="shared" si="234"/>
        <v>1</v>
      </c>
      <c r="J244" s="3">
        <f t="shared" si="234"/>
        <v>1</v>
      </c>
      <c r="K244" s="3">
        <f t="shared" si="234"/>
        <v>1</v>
      </c>
      <c r="L244" s="3">
        <f t="shared" si="234"/>
        <v>1</v>
      </c>
      <c r="M244" s="3" t="e">
        <f t="shared" si="234"/>
        <v>#REF!</v>
      </c>
      <c r="N244" s="3">
        <f t="shared" si="234"/>
        <v>1</v>
      </c>
      <c r="O244" s="3">
        <f t="shared" si="234"/>
        <v>1</v>
      </c>
      <c r="P244" s="3">
        <f t="shared" si="234"/>
        <v>1</v>
      </c>
      <c r="Q244" s="3">
        <f t="shared" si="234"/>
        <v>1</v>
      </c>
      <c r="R244" s="3">
        <f t="shared" si="234"/>
        <v>1</v>
      </c>
      <c r="S244" s="3">
        <f t="shared" si="234"/>
        <v>1</v>
      </c>
      <c r="T244" s="3">
        <f t="shared" si="234"/>
        <v>1</v>
      </c>
      <c r="U244" s="3">
        <f t="shared" si="234"/>
        <v>1</v>
      </c>
      <c r="V244" s="3">
        <f t="shared" si="234"/>
        <v>1</v>
      </c>
      <c r="W244" s="3">
        <f t="shared" si="234"/>
        <v>1</v>
      </c>
    </row>
    <row r="245" customHeight="1" spans="1:23">
      <c r="A245" s="2">
        <v>232</v>
      </c>
      <c r="B245" s="3">
        <f t="shared" ref="B245:W245" si="235">MIN(1,IF($A245&lt;B$4+B$3,0,IF(B$2=0,1,IF(B$5=0,($A245-B$4)/B$2,IF(MOD($A245-B$4,B$5)=0,($A245-B$4)/B$2,QUOTIENT($A245-B$4,B$5)*B$5/B$2)))))</f>
        <v>1</v>
      </c>
      <c r="C245" s="3">
        <f t="shared" si="235"/>
        <v>1</v>
      </c>
      <c r="D245" s="3">
        <f t="shared" si="235"/>
        <v>1</v>
      </c>
      <c r="E245" s="3" t="e">
        <f t="shared" si="235"/>
        <v>#REF!</v>
      </c>
      <c r="F245" s="3">
        <f t="shared" si="235"/>
        <v>1</v>
      </c>
      <c r="G245" s="3">
        <f t="shared" si="235"/>
        <v>1</v>
      </c>
      <c r="H245" s="3">
        <f t="shared" si="235"/>
        <v>1</v>
      </c>
      <c r="I245" s="3">
        <f t="shared" si="235"/>
        <v>1</v>
      </c>
      <c r="J245" s="3">
        <f t="shared" si="235"/>
        <v>1</v>
      </c>
      <c r="K245" s="3">
        <f t="shared" si="235"/>
        <v>1</v>
      </c>
      <c r="L245" s="3">
        <f t="shared" si="235"/>
        <v>1</v>
      </c>
      <c r="M245" s="3" t="e">
        <f t="shared" si="235"/>
        <v>#REF!</v>
      </c>
      <c r="N245" s="3">
        <f t="shared" si="235"/>
        <v>1</v>
      </c>
      <c r="O245" s="3">
        <f t="shared" si="235"/>
        <v>1</v>
      </c>
      <c r="P245" s="3">
        <f t="shared" si="235"/>
        <v>1</v>
      </c>
      <c r="Q245" s="3">
        <f t="shared" si="235"/>
        <v>1</v>
      </c>
      <c r="R245" s="3">
        <f t="shared" si="235"/>
        <v>1</v>
      </c>
      <c r="S245" s="3">
        <f t="shared" si="235"/>
        <v>1</v>
      </c>
      <c r="T245" s="3">
        <f t="shared" si="235"/>
        <v>1</v>
      </c>
      <c r="U245" s="3">
        <f t="shared" si="235"/>
        <v>1</v>
      </c>
      <c r="V245" s="3">
        <f t="shared" si="235"/>
        <v>1</v>
      </c>
      <c r="W245" s="3">
        <f t="shared" si="235"/>
        <v>1</v>
      </c>
    </row>
    <row r="246" customHeight="1" spans="1:23">
      <c r="A246" s="2">
        <v>233</v>
      </c>
      <c r="B246" s="3">
        <f t="shared" ref="B246:W246" si="236">MIN(1,IF($A246&lt;B$4+B$3,0,IF(B$2=0,1,IF(B$5=0,($A246-B$4)/B$2,IF(MOD($A246-B$4,B$5)=0,($A246-B$4)/B$2,QUOTIENT($A246-B$4,B$5)*B$5/B$2)))))</f>
        <v>1</v>
      </c>
      <c r="C246" s="3">
        <f t="shared" si="236"/>
        <v>1</v>
      </c>
      <c r="D246" s="3">
        <f t="shared" si="236"/>
        <v>1</v>
      </c>
      <c r="E246" s="3" t="e">
        <f t="shared" si="236"/>
        <v>#REF!</v>
      </c>
      <c r="F246" s="3">
        <f t="shared" si="236"/>
        <v>1</v>
      </c>
      <c r="G246" s="3">
        <f t="shared" si="236"/>
        <v>1</v>
      </c>
      <c r="H246" s="3">
        <f t="shared" si="236"/>
        <v>1</v>
      </c>
      <c r="I246" s="3">
        <f t="shared" si="236"/>
        <v>1</v>
      </c>
      <c r="J246" s="3">
        <f t="shared" si="236"/>
        <v>1</v>
      </c>
      <c r="K246" s="3">
        <f t="shared" si="236"/>
        <v>1</v>
      </c>
      <c r="L246" s="3">
        <f t="shared" si="236"/>
        <v>1</v>
      </c>
      <c r="M246" s="3" t="e">
        <f t="shared" si="236"/>
        <v>#REF!</v>
      </c>
      <c r="N246" s="3">
        <f t="shared" si="236"/>
        <v>1</v>
      </c>
      <c r="O246" s="3">
        <f t="shared" si="236"/>
        <v>1</v>
      </c>
      <c r="P246" s="3">
        <f t="shared" si="236"/>
        <v>1</v>
      </c>
      <c r="Q246" s="3">
        <f t="shared" si="236"/>
        <v>1</v>
      </c>
      <c r="R246" s="3">
        <f t="shared" si="236"/>
        <v>1</v>
      </c>
      <c r="S246" s="3">
        <f t="shared" si="236"/>
        <v>1</v>
      </c>
      <c r="T246" s="3">
        <f t="shared" si="236"/>
        <v>1</v>
      </c>
      <c r="U246" s="3">
        <f t="shared" si="236"/>
        <v>1</v>
      </c>
      <c r="V246" s="3">
        <f t="shared" si="236"/>
        <v>1</v>
      </c>
      <c r="W246" s="3">
        <f t="shared" si="236"/>
        <v>1</v>
      </c>
    </row>
    <row r="247" customHeight="1" spans="1:23">
      <c r="A247" s="2">
        <v>234</v>
      </c>
      <c r="B247" s="3">
        <f t="shared" ref="B247:W247" si="237">MIN(1,IF($A247&lt;B$4+B$3,0,IF(B$2=0,1,IF(B$5=0,($A247-B$4)/B$2,IF(MOD($A247-B$4,B$5)=0,($A247-B$4)/B$2,QUOTIENT($A247-B$4,B$5)*B$5/B$2)))))</f>
        <v>1</v>
      </c>
      <c r="C247" s="3">
        <f t="shared" si="237"/>
        <v>1</v>
      </c>
      <c r="D247" s="3">
        <f t="shared" si="237"/>
        <v>1</v>
      </c>
      <c r="E247" s="3" t="e">
        <f t="shared" si="237"/>
        <v>#REF!</v>
      </c>
      <c r="F247" s="3">
        <f t="shared" si="237"/>
        <v>1</v>
      </c>
      <c r="G247" s="3">
        <f t="shared" si="237"/>
        <v>1</v>
      </c>
      <c r="H247" s="3">
        <f t="shared" si="237"/>
        <v>1</v>
      </c>
      <c r="I247" s="3">
        <f t="shared" si="237"/>
        <v>1</v>
      </c>
      <c r="J247" s="3">
        <f t="shared" si="237"/>
        <v>1</v>
      </c>
      <c r="K247" s="3">
        <f t="shared" si="237"/>
        <v>1</v>
      </c>
      <c r="L247" s="3">
        <f t="shared" si="237"/>
        <v>1</v>
      </c>
      <c r="M247" s="3" t="e">
        <f t="shared" si="237"/>
        <v>#REF!</v>
      </c>
      <c r="N247" s="3">
        <f t="shared" si="237"/>
        <v>1</v>
      </c>
      <c r="O247" s="3">
        <f t="shared" si="237"/>
        <v>1</v>
      </c>
      <c r="P247" s="3">
        <f t="shared" si="237"/>
        <v>1</v>
      </c>
      <c r="Q247" s="3">
        <f t="shared" si="237"/>
        <v>1</v>
      </c>
      <c r="R247" s="3">
        <f t="shared" si="237"/>
        <v>1</v>
      </c>
      <c r="S247" s="3">
        <f t="shared" si="237"/>
        <v>1</v>
      </c>
      <c r="T247" s="3">
        <f t="shared" si="237"/>
        <v>1</v>
      </c>
      <c r="U247" s="3">
        <f t="shared" si="237"/>
        <v>1</v>
      </c>
      <c r="V247" s="3">
        <f t="shared" si="237"/>
        <v>1</v>
      </c>
      <c r="W247" s="3">
        <f t="shared" si="237"/>
        <v>1</v>
      </c>
    </row>
    <row r="248" customHeight="1" spans="1:23">
      <c r="A248" s="2">
        <v>235</v>
      </c>
      <c r="B248" s="3">
        <f t="shared" ref="B248:W248" si="238">MIN(1,IF($A248&lt;B$4+B$3,0,IF(B$2=0,1,IF(B$5=0,($A248-B$4)/B$2,IF(MOD($A248-B$4,B$5)=0,($A248-B$4)/B$2,QUOTIENT($A248-B$4,B$5)*B$5/B$2)))))</f>
        <v>1</v>
      </c>
      <c r="C248" s="3">
        <f t="shared" si="238"/>
        <v>1</v>
      </c>
      <c r="D248" s="3">
        <f t="shared" si="238"/>
        <v>1</v>
      </c>
      <c r="E248" s="3" t="e">
        <f t="shared" si="238"/>
        <v>#REF!</v>
      </c>
      <c r="F248" s="3">
        <f t="shared" si="238"/>
        <v>1</v>
      </c>
      <c r="G248" s="3">
        <f t="shared" si="238"/>
        <v>1</v>
      </c>
      <c r="H248" s="3">
        <f t="shared" si="238"/>
        <v>1</v>
      </c>
      <c r="I248" s="3">
        <f t="shared" si="238"/>
        <v>1</v>
      </c>
      <c r="J248" s="3">
        <f t="shared" si="238"/>
        <v>1</v>
      </c>
      <c r="K248" s="3">
        <f t="shared" si="238"/>
        <v>1</v>
      </c>
      <c r="L248" s="3">
        <f t="shared" si="238"/>
        <v>1</v>
      </c>
      <c r="M248" s="3" t="e">
        <f t="shared" si="238"/>
        <v>#REF!</v>
      </c>
      <c r="N248" s="3">
        <f t="shared" si="238"/>
        <v>1</v>
      </c>
      <c r="O248" s="3">
        <f t="shared" si="238"/>
        <v>1</v>
      </c>
      <c r="P248" s="3">
        <f t="shared" si="238"/>
        <v>1</v>
      </c>
      <c r="Q248" s="3">
        <f t="shared" si="238"/>
        <v>1</v>
      </c>
      <c r="R248" s="3">
        <f t="shared" si="238"/>
        <v>1</v>
      </c>
      <c r="S248" s="3">
        <f t="shared" si="238"/>
        <v>1</v>
      </c>
      <c r="T248" s="3">
        <f t="shared" si="238"/>
        <v>1</v>
      </c>
      <c r="U248" s="3">
        <f t="shared" si="238"/>
        <v>1</v>
      </c>
      <c r="V248" s="3">
        <f t="shared" si="238"/>
        <v>1</v>
      </c>
      <c r="W248" s="3">
        <f t="shared" si="238"/>
        <v>1</v>
      </c>
    </row>
    <row r="249" customHeight="1" spans="1:23">
      <c r="A249" s="2">
        <v>236</v>
      </c>
      <c r="B249" s="3">
        <f t="shared" ref="B249:W249" si="239">MIN(1,IF($A249&lt;B$4+B$3,0,IF(B$2=0,1,IF(B$5=0,($A249-B$4)/B$2,IF(MOD($A249-B$4,B$5)=0,($A249-B$4)/B$2,QUOTIENT($A249-B$4,B$5)*B$5/B$2)))))</f>
        <v>1</v>
      </c>
      <c r="C249" s="3">
        <f t="shared" si="239"/>
        <v>1</v>
      </c>
      <c r="D249" s="3">
        <f t="shared" si="239"/>
        <v>1</v>
      </c>
      <c r="E249" s="3" t="e">
        <f t="shared" si="239"/>
        <v>#REF!</v>
      </c>
      <c r="F249" s="3">
        <f t="shared" si="239"/>
        <v>1</v>
      </c>
      <c r="G249" s="3">
        <f t="shared" si="239"/>
        <v>1</v>
      </c>
      <c r="H249" s="3">
        <f t="shared" si="239"/>
        <v>1</v>
      </c>
      <c r="I249" s="3">
        <f t="shared" si="239"/>
        <v>1</v>
      </c>
      <c r="J249" s="3">
        <f t="shared" si="239"/>
        <v>1</v>
      </c>
      <c r="K249" s="3">
        <f t="shared" si="239"/>
        <v>1</v>
      </c>
      <c r="L249" s="3">
        <f t="shared" si="239"/>
        <v>1</v>
      </c>
      <c r="M249" s="3" t="e">
        <f t="shared" si="239"/>
        <v>#REF!</v>
      </c>
      <c r="N249" s="3">
        <f t="shared" si="239"/>
        <v>1</v>
      </c>
      <c r="O249" s="3">
        <f t="shared" si="239"/>
        <v>1</v>
      </c>
      <c r="P249" s="3">
        <f t="shared" si="239"/>
        <v>1</v>
      </c>
      <c r="Q249" s="3">
        <f t="shared" si="239"/>
        <v>1</v>
      </c>
      <c r="R249" s="3">
        <f t="shared" si="239"/>
        <v>1</v>
      </c>
      <c r="S249" s="3">
        <f t="shared" si="239"/>
        <v>1</v>
      </c>
      <c r="T249" s="3">
        <f t="shared" si="239"/>
        <v>1</v>
      </c>
      <c r="U249" s="3">
        <f t="shared" si="239"/>
        <v>1</v>
      </c>
      <c r="V249" s="3">
        <f t="shared" si="239"/>
        <v>1</v>
      </c>
      <c r="W249" s="3">
        <f t="shared" si="239"/>
        <v>1</v>
      </c>
    </row>
    <row r="250" customHeight="1" spans="1:23">
      <c r="A250" s="2">
        <v>237</v>
      </c>
      <c r="B250" s="3">
        <f t="shared" ref="B250:W250" si="240">MIN(1,IF($A250&lt;B$4+B$3,0,IF(B$2=0,1,IF(B$5=0,($A250-B$4)/B$2,IF(MOD($A250-B$4,B$5)=0,($A250-B$4)/B$2,QUOTIENT($A250-B$4,B$5)*B$5/B$2)))))</f>
        <v>1</v>
      </c>
      <c r="C250" s="3">
        <f t="shared" si="240"/>
        <v>1</v>
      </c>
      <c r="D250" s="3">
        <f t="shared" si="240"/>
        <v>1</v>
      </c>
      <c r="E250" s="3" t="e">
        <f t="shared" si="240"/>
        <v>#REF!</v>
      </c>
      <c r="F250" s="3">
        <f t="shared" si="240"/>
        <v>1</v>
      </c>
      <c r="G250" s="3">
        <f t="shared" si="240"/>
        <v>1</v>
      </c>
      <c r="H250" s="3">
        <f t="shared" si="240"/>
        <v>1</v>
      </c>
      <c r="I250" s="3">
        <f t="shared" si="240"/>
        <v>1</v>
      </c>
      <c r="J250" s="3">
        <f t="shared" si="240"/>
        <v>1</v>
      </c>
      <c r="K250" s="3">
        <f t="shared" si="240"/>
        <v>1</v>
      </c>
      <c r="L250" s="3">
        <f t="shared" si="240"/>
        <v>1</v>
      </c>
      <c r="M250" s="3" t="e">
        <f t="shared" si="240"/>
        <v>#REF!</v>
      </c>
      <c r="N250" s="3">
        <f t="shared" si="240"/>
        <v>1</v>
      </c>
      <c r="O250" s="3">
        <f t="shared" si="240"/>
        <v>1</v>
      </c>
      <c r="P250" s="3">
        <f t="shared" si="240"/>
        <v>1</v>
      </c>
      <c r="Q250" s="3">
        <f t="shared" si="240"/>
        <v>1</v>
      </c>
      <c r="R250" s="3">
        <f t="shared" si="240"/>
        <v>1</v>
      </c>
      <c r="S250" s="3">
        <f t="shared" si="240"/>
        <v>1</v>
      </c>
      <c r="T250" s="3">
        <f t="shared" si="240"/>
        <v>1</v>
      </c>
      <c r="U250" s="3">
        <f t="shared" si="240"/>
        <v>1</v>
      </c>
      <c r="V250" s="3">
        <f t="shared" si="240"/>
        <v>1</v>
      </c>
      <c r="W250" s="3">
        <f t="shared" si="240"/>
        <v>1</v>
      </c>
    </row>
    <row r="251" customHeight="1" spans="1:23">
      <c r="A251" s="2">
        <v>238</v>
      </c>
      <c r="B251" s="3">
        <f t="shared" ref="B251:W251" si="241">MIN(1,IF($A251&lt;B$4+B$3,0,IF(B$2=0,1,IF(B$5=0,($A251-B$4)/B$2,IF(MOD($A251-B$4,B$5)=0,($A251-B$4)/B$2,QUOTIENT($A251-B$4,B$5)*B$5/B$2)))))</f>
        <v>1</v>
      </c>
      <c r="C251" s="3">
        <f t="shared" si="241"/>
        <v>1</v>
      </c>
      <c r="D251" s="3">
        <f t="shared" si="241"/>
        <v>1</v>
      </c>
      <c r="E251" s="3" t="e">
        <f t="shared" si="241"/>
        <v>#REF!</v>
      </c>
      <c r="F251" s="3">
        <f t="shared" si="241"/>
        <v>1</v>
      </c>
      <c r="G251" s="3">
        <f t="shared" si="241"/>
        <v>1</v>
      </c>
      <c r="H251" s="3">
        <f t="shared" si="241"/>
        <v>1</v>
      </c>
      <c r="I251" s="3">
        <f t="shared" si="241"/>
        <v>1</v>
      </c>
      <c r="J251" s="3">
        <f t="shared" si="241"/>
        <v>1</v>
      </c>
      <c r="K251" s="3">
        <f t="shared" si="241"/>
        <v>1</v>
      </c>
      <c r="L251" s="3">
        <f t="shared" si="241"/>
        <v>1</v>
      </c>
      <c r="M251" s="3" t="e">
        <f t="shared" si="241"/>
        <v>#REF!</v>
      </c>
      <c r="N251" s="3">
        <f t="shared" si="241"/>
        <v>1</v>
      </c>
      <c r="O251" s="3">
        <f t="shared" si="241"/>
        <v>1</v>
      </c>
      <c r="P251" s="3">
        <f t="shared" si="241"/>
        <v>1</v>
      </c>
      <c r="Q251" s="3">
        <f t="shared" si="241"/>
        <v>1</v>
      </c>
      <c r="R251" s="3">
        <f t="shared" si="241"/>
        <v>1</v>
      </c>
      <c r="S251" s="3">
        <f t="shared" si="241"/>
        <v>1</v>
      </c>
      <c r="T251" s="3">
        <f t="shared" si="241"/>
        <v>1</v>
      </c>
      <c r="U251" s="3">
        <f t="shared" si="241"/>
        <v>1</v>
      </c>
      <c r="V251" s="3">
        <f t="shared" si="241"/>
        <v>1</v>
      </c>
      <c r="W251" s="3">
        <f t="shared" si="241"/>
        <v>1</v>
      </c>
    </row>
    <row r="252" customHeight="1" spans="1:23">
      <c r="A252" s="2">
        <v>239</v>
      </c>
      <c r="B252" s="3">
        <f t="shared" ref="B252:W252" si="242">MIN(1,IF($A252&lt;B$4+B$3,0,IF(B$2=0,1,IF(B$5=0,($A252-B$4)/B$2,IF(MOD($A252-B$4,B$5)=0,($A252-B$4)/B$2,QUOTIENT($A252-B$4,B$5)*B$5/B$2)))))</f>
        <v>1</v>
      </c>
      <c r="C252" s="3">
        <f t="shared" si="242"/>
        <v>1</v>
      </c>
      <c r="D252" s="3">
        <f t="shared" si="242"/>
        <v>1</v>
      </c>
      <c r="E252" s="3" t="e">
        <f t="shared" si="242"/>
        <v>#REF!</v>
      </c>
      <c r="F252" s="3">
        <f t="shared" si="242"/>
        <v>1</v>
      </c>
      <c r="G252" s="3">
        <f t="shared" si="242"/>
        <v>1</v>
      </c>
      <c r="H252" s="3">
        <f t="shared" si="242"/>
        <v>1</v>
      </c>
      <c r="I252" s="3">
        <f t="shared" si="242"/>
        <v>1</v>
      </c>
      <c r="J252" s="3">
        <f t="shared" si="242"/>
        <v>1</v>
      </c>
      <c r="K252" s="3">
        <f t="shared" si="242"/>
        <v>1</v>
      </c>
      <c r="L252" s="3">
        <f t="shared" si="242"/>
        <v>1</v>
      </c>
      <c r="M252" s="3" t="e">
        <f t="shared" si="242"/>
        <v>#REF!</v>
      </c>
      <c r="N252" s="3">
        <f t="shared" si="242"/>
        <v>1</v>
      </c>
      <c r="O252" s="3">
        <f t="shared" si="242"/>
        <v>1</v>
      </c>
      <c r="P252" s="3">
        <f t="shared" si="242"/>
        <v>1</v>
      </c>
      <c r="Q252" s="3">
        <f t="shared" si="242"/>
        <v>1</v>
      </c>
      <c r="R252" s="3">
        <f t="shared" si="242"/>
        <v>1</v>
      </c>
      <c r="S252" s="3">
        <f t="shared" si="242"/>
        <v>1</v>
      </c>
      <c r="T252" s="3">
        <f t="shared" si="242"/>
        <v>1</v>
      </c>
      <c r="U252" s="3">
        <f t="shared" si="242"/>
        <v>1</v>
      </c>
      <c r="V252" s="3">
        <f t="shared" si="242"/>
        <v>1</v>
      </c>
      <c r="W252" s="3">
        <f t="shared" si="242"/>
        <v>1</v>
      </c>
    </row>
    <row r="253" customHeight="1" spans="1:23">
      <c r="A253" s="2">
        <v>240</v>
      </c>
      <c r="B253" s="3">
        <f t="shared" ref="B253:W253" si="243">MIN(1,IF($A253&lt;B$4+B$3,0,IF(B$2=0,1,IF(B$5=0,($A253-B$4)/B$2,IF(MOD($A253-B$4,B$5)=0,($A253-B$4)/B$2,QUOTIENT($A253-B$4,B$5)*B$5/B$2)))))</f>
        <v>1</v>
      </c>
      <c r="C253" s="3">
        <f t="shared" si="243"/>
        <v>1</v>
      </c>
      <c r="D253" s="3">
        <f t="shared" si="243"/>
        <v>1</v>
      </c>
      <c r="E253" s="3" t="e">
        <f t="shared" si="243"/>
        <v>#REF!</v>
      </c>
      <c r="F253" s="3">
        <f t="shared" si="243"/>
        <v>1</v>
      </c>
      <c r="G253" s="3">
        <f t="shared" si="243"/>
        <v>1</v>
      </c>
      <c r="H253" s="3">
        <f t="shared" si="243"/>
        <v>1</v>
      </c>
      <c r="I253" s="3">
        <f t="shared" si="243"/>
        <v>1</v>
      </c>
      <c r="J253" s="3">
        <f t="shared" si="243"/>
        <v>1</v>
      </c>
      <c r="K253" s="3">
        <f t="shared" si="243"/>
        <v>1</v>
      </c>
      <c r="L253" s="3">
        <f t="shared" si="243"/>
        <v>1</v>
      </c>
      <c r="M253" s="3" t="e">
        <f t="shared" si="243"/>
        <v>#REF!</v>
      </c>
      <c r="N253" s="3">
        <f t="shared" si="243"/>
        <v>1</v>
      </c>
      <c r="O253" s="3">
        <f t="shared" si="243"/>
        <v>1</v>
      </c>
      <c r="P253" s="3">
        <f t="shared" si="243"/>
        <v>1</v>
      </c>
      <c r="Q253" s="3">
        <f t="shared" si="243"/>
        <v>1</v>
      </c>
      <c r="R253" s="3">
        <f t="shared" si="243"/>
        <v>1</v>
      </c>
      <c r="S253" s="3">
        <f t="shared" si="243"/>
        <v>1</v>
      </c>
      <c r="T253" s="3">
        <f t="shared" si="243"/>
        <v>1</v>
      </c>
      <c r="U253" s="3">
        <f t="shared" si="243"/>
        <v>1</v>
      </c>
      <c r="V253" s="3">
        <f t="shared" si="243"/>
        <v>1</v>
      </c>
      <c r="W253" s="3">
        <f t="shared" si="243"/>
        <v>1</v>
      </c>
    </row>
    <row r="254" customHeight="1" spans="1:23">
      <c r="A254" s="2">
        <v>241</v>
      </c>
      <c r="B254" s="3">
        <f t="shared" ref="B254:W254" si="244">MIN(1,IF($A254&lt;B$4+B$3,0,IF(B$2=0,1,IF(B$5=0,($A254-B$4)/B$2,IF(MOD($A254-B$4,B$5)=0,($A254-B$4)/B$2,QUOTIENT($A254-B$4,B$5)*B$5/B$2)))))</f>
        <v>1</v>
      </c>
      <c r="C254" s="3">
        <f t="shared" si="244"/>
        <v>1</v>
      </c>
      <c r="D254" s="3">
        <f t="shared" si="244"/>
        <v>1</v>
      </c>
      <c r="E254" s="3" t="e">
        <f t="shared" si="244"/>
        <v>#REF!</v>
      </c>
      <c r="F254" s="3">
        <f t="shared" si="244"/>
        <v>1</v>
      </c>
      <c r="G254" s="3">
        <f t="shared" si="244"/>
        <v>1</v>
      </c>
      <c r="H254" s="3">
        <f t="shared" si="244"/>
        <v>1</v>
      </c>
      <c r="I254" s="3">
        <f t="shared" si="244"/>
        <v>1</v>
      </c>
      <c r="J254" s="3">
        <f t="shared" si="244"/>
        <v>1</v>
      </c>
      <c r="K254" s="3">
        <f t="shared" si="244"/>
        <v>1</v>
      </c>
      <c r="L254" s="3">
        <f t="shared" si="244"/>
        <v>1</v>
      </c>
      <c r="M254" s="3" t="e">
        <f t="shared" si="244"/>
        <v>#REF!</v>
      </c>
      <c r="N254" s="3">
        <f t="shared" si="244"/>
        <v>1</v>
      </c>
      <c r="O254" s="3">
        <f t="shared" si="244"/>
        <v>1</v>
      </c>
      <c r="P254" s="3">
        <f t="shared" si="244"/>
        <v>1</v>
      </c>
      <c r="Q254" s="3">
        <f t="shared" si="244"/>
        <v>1</v>
      </c>
      <c r="R254" s="3">
        <f t="shared" si="244"/>
        <v>1</v>
      </c>
      <c r="S254" s="3">
        <f t="shared" si="244"/>
        <v>1</v>
      </c>
      <c r="T254" s="3">
        <f t="shared" si="244"/>
        <v>1</v>
      </c>
      <c r="U254" s="3">
        <f t="shared" si="244"/>
        <v>1</v>
      </c>
      <c r="V254" s="3">
        <f t="shared" si="244"/>
        <v>1</v>
      </c>
      <c r="W254" s="3">
        <f t="shared" si="244"/>
        <v>1</v>
      </c>
    </row>
    <row r="255" customHeight="1" spans="1:23">
      <c r="A255" s="2">
        <v>242</v>
      </c>
      <c r="B255" s="3">
        <f t="shared" ref="B255:W255" si="245">MIN(1,IF($A255&lt;B$4+B$3,0,IF(B$2=0,1,IF(B$5=0,($A255-B$4)/B$2,IF(MOD($A255-B$4,B$5)=0,($A255-B$4)/B$2,QUOTIENT($A255-B$4,B$5)*B$5/B$2)))))</f>
        <v>1</v>
      </c>
      <c r="C255" s="3">
        <f t="shared" si="245"/>
        <v>1</v>
      </c>
      <c r="D255" s="3">
        <f t="shared" si="245"/>
        <v>1</v>
      </c>
      <c r="E255" s="3" t="e">
        <f t="shared" si="245"/>
        <v>#REF!</v>
      </c>
      <c r="F255" s="3">
        <f t="shared" si="245"/>
        <v>1</v>
      </c>
      <c r="G255" s="3">
        <f t="shared" si="245"/>
        <v>1</v>
      </c>
      <c r="H255" s="3">
        <f t="shared" si="245"/>
        <v>1</v>
      </c>
      <c r="I255" s="3">
        <f t="shared" si="245"/>
        <v>1</v>
      </c>
      <c r="J255" s="3">
        <f t="shared" si="245"/>
        <v>1</v>
      </c>
      <c r="K255" s="3">
        <f t="shared" si="245"/>
        <v>1</v>
      </c>
      <c r="L255" s="3">
        <f t="shared" si="245"/>
        <v>1</v>
      </c>
      <c r="M255" s="3" t="e">
        <f t="shared" si="245"/>
        <v>#REF!</v>
      </c>
      <c r="N255" s="3">
        <f t="shared" si="245"/>
        <v>1</v>
      </c>
      <c r="O255" s="3">
        <f t="shared" si="245"/>
        <v>1</v>
      </c>
      <c r="P255" s="3">
        <f t="shared" si="245"/>
        <v>1</v>
      </c>
      <c r="Q255" s="3">
        <f t="shared" si="245"/>
        <v>1</v>
      </c>
      <c r="R255" s="3">
        <f t="shared" si="245"/>
        <v>1</v>
      </c>
      <c r="S255" s="3">
        <f t="shared" si="245"/>
        <v>1</v>
      </c>
      <c r="T255" s="3">
        <f t="shared" si="245"/>
        <v>1</v>
      </c>
      <c r="U255" s="3">
        <f t="shared" si="245"/>
        <v>1</v>
      </c>
      <c r="V255" s="3">
        <f t="shared" si="245"/>
        <v>1</v>
      </c>
      <c r="W255" s="3">
        <f t="shared" si="245"/>
        <v>1</v>
      </c>
    </row>
    <row r="256" customHeight="1" spans="1:23">
      <c r="A256" s="2">
        <v>243</v>
      </c>
      <c r="B256" s="3">
        <f t="shared" ref="B256:W256" si="246">MIN(1,IF($A256&lt;B$4+B$3,0,IF(B$2=0,1,IF(B$5=0,($A256-B$4)/B$2,IF(MOD($A256-B$4,B$5)=0,($A256-B$4)/B$2,QUOTIENT($A256-B$4,B$5)*B$5/B$2)))))</f>
        <v>1</v>
      </c>
      <c r="C256" s="3">
        <f t="shared" si="246"/>
        <v>1</v>
      </c>
      <c r="D256" s="3">
        <f t="shared" si="246"/>
        <v>1</v>
      </c>
      <c r="E256" s="3" t="e">
        <f t="shared" si="246"/>
        <v>#REF!</v>
      </c>
      <c r="F256" s="3">
        <f t="shared" si="246"/>
        <v>1</v>
      </c>
      <c r="G256" s="3">
        <f t="shared" si="246"/>
        <v>1</v>
      </c>
      <c r="H256" s="3">
        <f t="shared" si="246"/>
        <v>1</v>
      </c>
      <c r="I256" s="3">
        <f t="shared" si="246"/>
        <v>1</v>
      </c>
      <c r="J256" s="3">
        <f t="shared" si="246"/>
        <v>1</v>
      </c>
      <c r="K256" s="3">
        <f t="shared" si="246"/>
        <v>1</v>
      </c>
      <c r="L256" s="3">
        <f t="shared" si="246"/>
        <v>1</v>
      </c>
      <c r="M256" s="3" t="e">
        <f t="shared" si="246"/>
        <v>#REF!</v>
      </c>
      <c r="N256" s="3">
        <f t="shared" si="246"/>
        <v>1</v>
      </c>
      <c r="O256" s="3">
        <f t="shared" si="246"/>
        <v>1</v>
      </c>
      <c r="P256" s="3">
        <f t="shared" si="246"/>
        <v>1</v>
      </c>
      <c r="Q256" s="3">
        <f t="shared" si="246"/>
        <v>1</v>
      </c>
      <c r="R256" s="3">
        <f t="shared" si="246"/>
        <v>1</v>
      </c>
      <c r="S256" s="3">
        <f t="shared" si="246"/>
        <v>1</v>
      </c>
      <c r="T256" s="3">
        <f t="shared" si="246"/>
        <v>1</v>
      </c>
      <c r="U256" s="3">
        <f t="shared" si="246"/>
        <v>1</v>
      </c>
      <c r="V256" s="3">
        <f t="shared" si="246"/>
        <v>1</v>
      </c>
      <c r="W256" s="3">
        <f t="shared" si="246"/>
        <v>1</v>
      </c>
    </row>
    <row r="257" customHeight="1" spans="1:23">
      <c r="A257" s="2">
        <v>244</v>
      </c>
      <c r="B257" s="3">
        <f t="shared" ref="B257:W257" si="247">MIN(1,IF($A257&lt;B$4+B$3,0,IF(B$2=0,1,IF(B$5=0,($A257-B$4)/B$2,IF(MOD($A257-B$4,B$5)=0,($A257-B$4)/B$2,QUOTIENT($A257-B$4,B$5)*B$5/B$2)))))</f>
        <v>1</v>
      </c>
      <c r="C257" s="3">
        <f t="shared" si="247"/>
        <v>1</v>
      </c>
      <c r="D257" s="3">
        <f t="shared" si="247"/>
        <v>1</v>
      </c>
      <c r="E257" s="3" t="e">
        <f t="shared" si="247"/>
        <v>#REF!</v>
      </c>
      <c r="F257" s="3">
        <f t="shared" si="247"/>
        <v>1</v>
      </c>
      <c r="G257" s="3">
        <f t="shared" si="247"/>
        <v>1</v>
      </c>
      <c r="H257" s="3">
        <f t="shared" si="247"/>
        <v>1</v>
      </c>
      <c r="I257" s="3">
        <f t="shared" si="247"/>
        <v>1</v>
      </c>
      <c r="J257" s="3">
        <f t="shared" si="247"/>
        <v>1</v>
      </c>
      <c r="K257" s="3">
        <f t="shared" si="247"/>
        <v>1</v>
      </c>
      <c r="L257" s="3">
        <f t="shared" si="247"/>
        <v>1</v>
      </c>
      <c r="M257" s="3" t="e">
        <f t="shared" si="247"/>
        <v>#REF!</v>
      </c>
      <c r="N257" s="3">
        <f t="shared" si="247"/>
        <v>1</v>
      </c>
      <c r="O257" s="3">
        <f t="shared" si="247"/>
        <v>1</v>
      </c>
      <c r="P257" s="3">
        <f t="shared" si="247"/>
        <v>1</v>
      </c>
      <c r="Q257" s="3">
        <f t="shared" si="247"/>
        <v>1</v>
      </c>
      <c r="R257" s="3">
        <f t="shared" si="247"/>
        <v>1</v>
      </c>
      <c r="S257" s="3">
        <f t="shared" si="247"/>
        <v>1</v>
      </c>
      <c r="T257" s="3">
        <f t="shared" si="247"/>
        <v>1</v>
      </c>
      <c r="U257" s="3">
        <f t="shared" si="247"/>
        <v>1</v>
      </c>
      <c r="V257" s="3">
        <f t="shared" si="247"/>
        <v>1</v>
      </c>
      <c r="W257" s="3">
        <f t="shared" si="247"/>
        <v>1</v>
      </c>
    </row>
    <row r="258" customHeight="1" spans="1:23">
      <c r="A258" s="2">
        <v>245</v>
      </c>
      <c r="B258" s="3">
        <f t="shared" ref="B258:W258" si="248">MIN(1,IF($A258&lt;B$4+B$3,0,IF(B$2=0,1,IF(B$5=0,($A258-B$4)/B$2,IF(MOD($A258-B$4,B$5)=0,($A258-B$4)/B$2,QUOTIENT($A258-B$4,B$5)*B$5/B$2)))))</f>
        <v>1</v>
      </c>
      <c r="C258" s="3">
        <f t="shared" si="248"/>
        <v>1</v>
      </c>
      <c r="D258" s="3">
        <f t="shared" si="248"/>
        <v>1</v>
      </c>
      <c r="E258" s="3" t="e">
        <f t="shared" si="248"/>
        <v>#REF!</v>
      </c>
      <c r="F258" s="3">
        <f t="shared" si="248"/>
        <v>1</v>
      </c>
      <c r="G258" s="3">
        <f t="shared" si="248"/>
        <v>1</v>
      </c>
      <c r="H258" s="3">
        <f t="shared" si="248"/>
        <v>1</v>
      </c>
      <c r="I258" s="3">
        <f t="shared" si="248"/>
        <v>1</v>
      </c>
      <c r="J258" s="3">
        <f t="shared" si="248"/>
        <v>1</v>
      </c>
      <c r="K258" s="3">
        <f t="shared" si="248"/>
        <v>1</v>
      </c>
      <c r="L258" s="3">
        <f t="shared" si="248"/>
        <v>1</v>
      </c>
      <c r="M258" s="3" t="e">
        <f t="shared" si="248"/>
        <v>#REF!</v>
      </c>
      <c r="N258" s="3">
        <f t="shared" si="248"/>
        <v>1</v>
      </c>
      <c r="O258" s="3">
        <f t="shared" si="248"/>
        <v>1</v>
      </c>
      <c r="P258" s="3">
        <f t="shared" si="248"/>
        <v>1</v>
      </c>
      <c r="Q258" s="3">
        <f t="shared" si="248"/>
        <v>1</v>
      </c>
      <c r="R258" s="3">
        <f t="shared" si="248"/>
        <v>1</v>
      </c>
      <c r="S258" s="3">
        <f t="shared" si="248"/>
        <v>1</v>
      </c>
      <c r="T258" s="3">
        <f t="shared" si="248"/>
        <v>1</v>
      </c>
      <c r="U258" s="3">
        <f t="shared" si="248"/>
        <v>1</v>
      </c>
      <c r="V258" s="3">
        <f t="shared" si="248"/>
        <v>1</v>
      </c>
      <c r="W258" s="3">
        <f t="shared" si="248"/>
        <v>1</v>
      </c>
    </row>
    <row r="259" customHeight="1" spans="1:23">
      <c r="A259" s="2">
        <v>246</v>
      </c>
      <c r="B259" s="3">
        <f t="shared" ref="B259:W259" si="249">MIN(1,IF($A259&lt;B$4+B$3,0,IF(B$2=0,1,IF(B$5=0,($A259-B$4)/B$2,IF(MOD($A259-B$4,B$5)=0,($A259-B$4)/B$2,QUOTIENT($A259-B$4,B$5)*B$5/B$2)))))</f>
        <v>1</v>
      </c>
      <c r="C259" s="3">
        <f t="shared" si="249"/>
        <v>1</v>
      </c>
      <c r="D259" s="3">
        <f t="shared" si="249"/>
        <v>1</v>
      </c>
      <c r="E259" s="3" t="e">
        <f t="shared" si="249"/>
        <v>#REF!</v>
      </c>
      <c r="F259" s="3">
        <f t="shared" si="249"/>
        <v>1</v>
      </c>
      <c r="G259" s="3">
        <f t="shared" si="249"/>
        <v>1</v>
      </c>
      <c r="H259" s="3">
        <f t="shared" si="249"/>
        <v>1</v>
      </c>
      <c r="I259" s="3">
        <f t="shared" si="249"/>
        <v>1</v>
      </c>
      <c r="J259" s="3">
        <f t="shared" si="249"/>
        <v>1</v>
      </c>
      <c r="K259" s="3">
        <f t="shared" si="249"/>
        <v>1</v>
      </c>
      <c r="L259" s="3">
        <f t="shared" si="249"/>
        <v>1</v>
      </c>
      <c r="M259" s="3" t="e">
        <f t="shared" si="249"/>
        <v>#REF!</v>
      </c>
      <c r="N259" s="3">
        <f t="shared" si="249"/>
        <v>1</v>
      </c>
      <c r="O259" s="3">
        <f t="shared" si="249"/>
        <v>1</v>
      </c>
      <c r="P259" s="3">
        <f t="shared" si="249"/>
        <v>1</v>
      </c>
      <c r="Q259" s="3">
        <f t="shared" si="249"/>
        <v>1</v>
      </c>
      <c r="R259" s="3">
        <f t="shared" si="249"/>
        <v>1</v>
      </c>
      <c r="S259" s="3">
        <f t="shared" si="249"/>
        <v>1</v>
      </c>
      <c r="T259" s="3">
        <f t="shared" si="249"/>
        <v>1</v>
      </c>
      <c r="U259" s="3">
        <f t="shared" si="249"/>
        <v>1</v>
      </c>
      <c r="V259" s="3">
        <f t="shared" si="249"/>
        <v>1</v>
      </c>
      <c r="W259" s="3">
        <f t="shared" si="249"/>
        <v>1</v>
      </c>
    </row>
    <row r="260" customHeight="1" spans="1:23">
      <c r="A260" s="2">
        <v>247</v>
      </c>
      <c r="B260" s="3">
        <f t="shared" ref="B260:W260" si="250">MIN(1,IF($A260&lt;B$4+B$3,0,IF(B$2=0,1,IF(B$5=0,($A260-B$4)/B$2,IF(MOD($A260-B$4,B$5)=0,($A260-B$4)/B$2,QUOTIENT($A260-B$4,B$5)*B$5/B$2)))))</f>
        <v>1</v>
      </c>
      <c r="C260" s="3">
        <f t="shared" si="250"/>
        <v>1</v>
      </c>
      <c r="D260" s="3">
        <f t="shared" si="250"/>
        <v>1</v>
      </c>
      <c r="E260" s="3" t="e">
        <f t="shared" si="250"/>
        <v>#REF!</v>
      </c>
      <c r="F260" s="3">
        <f t="shared" si="250"/>
        <v>1</v>
      </c>
      <c r="G260" s="3">
        <f t="shared" si="250"/>
        <v>1</v>
      </c>
      <c r="H260" s="3">
        <f t="shared" si="250"/>
        <v>1</v>
      </c>
      <c r="I260" s="3">
        <f t="shared" si="250"/>
        <v>1</v>
      </c>
      <c r="J260" s="3">
        <f t="shared" si="250"/>
        <v>1</v>
      </c>
      <c r="K260" s="3">
        <f t="shared" si="250"/>
        <v>1</v>
      </c>
      <c r="L260" s="3">
        <f t="shared" si="250"/>
        <v>1</v>
      </c>
      <c r="M260" s="3" t="e">
        <f t="shared" si="250"/>
        <v>#REF!</v>
      </c>
      <c r="N260" s="3">
        <f t="shared" si="250"/>
        <v>1</v>
      </c>
      <c r="O260" s="3">
        <f t="shared" si="250"/>
        <v>1</v>
      </c>
      <c r="P260" s="3">
        <f t="shared" si="250"/>
        <v>1</v>
      </c>
      <c r="Q260" s="3">
        <f t="shared" si="250"/>
        <v>1</v>
      </c>
      <c r="R260" s="3">
        <f t="shared" si="250"/>
        <v>1</v>
      </c>
      <c r="S260" s="3">
        <f t="shared" si="250"/>
        <v>1</v>
      </c>
      <c r="T260" s="3">
        <f t="shared" si="250"/>
        <v>1</v>
      </c>
      <c r="U260" s="3">
        <f t="shared" si="250"/>
        <v>1</v>
      </c>
      <c r="V260" s="3">
        <f t="shared" si="250"/>
        <v>1</v>
      </c>
      <c r="W260" s="3">
        <f t="shared" si="250"/>
        <v>1</v>
      </c>
    </row>
    <row r="261" customHeight="1" spans="1:23">
      <c r="A261" s="2">
        <v>248</v>
      </c>
      <c r="B261" s="3">
        <f t="shared" ref="B261:W261" si="251">MIN(1,IF($A261&lt;B$4+B$3,0,IF(B$2=0,1,IF(B$5=0,($A261-B$4)/B$2,IF(MOD($A261-B$4,B$5)=0,($A261-B$4)/B$2,QUOTIENT($A261-B$4,B$5)*B$5/B$2)))))</f>
        <v>1</v>
      </c>
      <c r="C261" s="3">
        <f t="shared" si="251"/>
        <v>1</v>
      </c>
      <c r="D261" s="3">
        <f t="shared" si="251"/>
        <v>1</v>
      </c>
      <c r="E261" s="3" t="e">
        <f t="shared" si="251"/>
        <v>#REF!</v>
      </c>
      <c r="F261" s="3">
        <f t="shared" si="251"/>
        <v>1</v>
      </c>
      <c r="G261" s="3">
        <f t="shared" si="251"/>
        <v>1</v>
      </c>
      <c r="H261" s="3">
        <f t="shared" si="251"/>
        <v>1</v>
      </c>
      <c r="I261" s="3">
        <f t="shared" si="251"/>
        <v>1</v>
      </c>
      <c r="J261" s="3">
        <f t="shared" si="251"/>
        <v>1</v>
      </c>
      <c r="K261" s="3">
        <f t="shared" si="251"/>
        <v>1</v>
      </c>
      <c r="L261" s="3">
        <f t="shared" si="251"/>
        <v>1</v>
      </c>
      <c r="M261" s="3" t="e">
        <f t="shared" si="251"/>
        <v>#REF!</v>
      </c>
      <c r="N261" s="3">
        <f t="shared" si="251"/>
        <v>1</v>
      </c>
      <c r="O261" s="3">
        <f t="shared" si="251"/>
        <v>1</v>
      </c>
      <c r="P261" s="3">
        <f t="shared" si="251"/>
        <v>1</v>
      </c>
      <c r="Q261" s="3">
        <f t="shared" si="251"/>
        <v>1</v>
      </c>
      <c r="R261" s="3">
        <f t="shared" si="251"/>
        <v>1</v>
      </c>
      <c r="S261" s="3">
        <f t="shared" si="251"/>
        <v>1</v>
      </c>
      <c r="T261" s="3">
        <f t="shared" si="251"/>
        <v>1</v>
      </c>
      <c r="U261" s="3">
        <f t="shared" si="251"/>
        <v>1</v>
      </c>
      <c r="V261" s="3">
        <f t="shared" si="251"/>
        <v>1</v>
      </c>
      <c r="W261" s="3">
        <f t="shared" si="251"/>
        <v>1</v>
      </c>
    </row>
    <row r="262" customHeight="1" spans="1:23">
      <c r="A262" s="2">
        <v>249</v>
      </c>
      <c r="B262" s="3">
        <f t="shared" ref="B262:W262" si="252">MIN(1,IF($A262&lt;B$4+B$3,0,IF(B$2=0,1,IF(B$5=0,($A262-B$4)/B$2,IF(MOD($A262-B$4,B$5)=0,($A262-B$4)/B$2,QUOTIENT($A262-B$4,B$5)*B$5/B$2)))))</f>
        <v>1</v>
      </c>
      <c r="C262" s="3">
        <f t="shared" si="252"/>
        <v>1</v>
      </c>
      <c r="D262" s="3">
        <f t="shared" si="252"/>
        <v>1</v>
      </c>
      <c r="E262" s="3" t="e">
        <f t="shared" si="252"/>
        <v>#REF!</v>
      </c>
      <c r="F262" s="3">
        <f t="shared" si="252"/>
        <v>1</v>
      </c>
      <c r="G262" s="3">
        <f t="shared" si="252"/>
        <v>1</v>
      </c>
      <c r="H262" s="3">
        <f t="shared" si="252"/>
        <v>1</v>
      </c>
      <c r="I262" s="3">
        <f t="shared" si="252"/>
        <v>1</v>
      </c>
      <c r="J262" s="3">
        <f t="shared" si="252"/>
        <v>1</v>
      </c>
      <c r="K262" s="3">
        <f t="shared" si="252"/>
        <v>1</v>
      </c>
      <c r="L262" s="3">
        <f t="shared" si="252"/>
        <v>1</v>
      </c>
      <c r="M262" s="3" t="e">
        <f t="shared" si="252"/>
        <v>#REF!</v>
      </c>
      <c r="N262" s="3">
        <f t="shared" si="252"/>
        <v>1</v>
      </c>
      <c r="O262" s="3">
        <f t="shared" si="252"/>
        <v>1</v>
      </c>
      <c r="P262" s="3">
        <f t="shared" si="252"/>
        <v>1</v>
      </c>
      <c r="Q262" s="3">
        <f t="shared" si="252"/>
        <v>1</v>
      </c>
      <c r="R262" s="3">
        <f t="shared" si="252"/>
        <v>1</v>
      </c>
      <c r="S262" s="3">
        <f t="shared" si="252"/>
        <v>1</v>
      </c>
      <c r="T262" s="3">
        <f t="shared" si="252"/>
        <v>1</v>
      </c>
      <c r="U262" s="3">
        <f t="shared" si="252"/>
        <v>1</v>
      </c>
      <c r="V262" s="3">
        <f t="shared" si="252"/>
        <v>1</v>
      </c>
      <c r="W262" s="3">
        <f t="shared" si="252"/>
        <v>1</v>
      </c>
    </row>
    <row r="263" customHeight="1" spans="1:23">
      <c r="A263" s="2">
        <v>250</v>
      </c>
      <c r="B263" s="3">
        <f t="shared" ref="B263:W263" si="253">MIN(1,IF($A263&lt;B$4+B$3,0,IF(B$2=0,1,IF(B$5=0,($A263-B$4)/B$2,IF(MOD($A263-B$4,B$5)=0,($A263-B$4)/B$2,QUOTIENT($A263-B$4,B$5)*B$5/B$2)))))</f>
        <v>1</v>
      </c>
      <c r="C263" s="3">
        <f t="shared" si="253"/>
        <v>1</v>
      </c>
      <c r="D263" s="3">
        <f t="shared" si="253"/>
        <v>1</v>
      </c>
      <c r="E263" s="3" t="e">
        <f t="shared" si="253"/>
        <v>#REF!</v>
      </c>
      <c r="F263" s="3">
        <f t="shared" si="253"/>
        <v>1</v>
      </c>
      <c r="G263" s="3">
        <f t="shared" si="253"/>
        <v>1</v>
      </c>
      <c r="H263" s="3">
        <f t="shared" si="253"/>
        <v>1</v>
      </c>
      <c r="I263" s="3">
        <f t="shared" si="253"/>
        <v>1</v>
      </c>
      <c r="J263" s="3">
        <f t="shared" si="253"/>
        <v>1</v>
      </c>
      <c r="K263" s="3">
        <f t="shared" si="253"/>
        <v>1</v>
      </c>
      <c r="L263" s="3">
        <f t="shared" si="253"/>
        <v>1</v>
      </c>
      <c r="M263" s="3" t="e">
        <f t="shared" si="253"/>
        <v>#REF!</v>
      </c>
      <c r="N263" s="3">
        <f t="shared" si="253"/>
        <v>1</v>
      </c>
      <c r="O263" s="3">
        <f t="shared" si="253"/>
        <v>1</v>
      </c>
      <c r="P263" s="3">
        <f t="shared" si="253"/>
        <v>1</v>
      </c>
      <c r="Q263" s="3">
        <f t="shared" si="253"/>
        <v>1</v>
      </c>
      <c r="R263" s="3">
        <f t="shared" si="253"/>
        <v>1</v>
      </c>
      <c r="S263" s="3">
        <f t="shared" si="253"/>
        <v>1</v>
      </c>
      <c r="T263" s="3">
        <f t="shared" si="253"/>
        <v>1</v>
      </c>
      <c r="U263" s="3">
        <f t="shared" si="253"/>
        <v>1</v>
      </c>
      <c r="V263" s="3">
        <f t="shared" si="253"/>
        <v>1</v>
      </c>
      <c r="W263" s="3">
        <f t="shared" si="253"/>
        <v>1</v>
      </c>
    </row>
    <row r="264" customHeight="1" spans="1:23">
      <c r="A264" s="2">
        <v>251</v>
      </c>
      <c r="B264" s="3">
        <f t="shared" ref="B264:W264" si="254">MIN(1,IF($A264&lt;B$4+B$3,0,IF(B$2=0,1,IF(B$5=0,($A264-B$4)/B$2,IF(MOD($A264-B$4,B$5)=0,($A264-B$4)/B$2,QUOTIENT($A264-B$4,B$5)*B$5/B$2)))))</f>
        <v>1</v>
      </c>
      <c r="C264" s="3">
        <f t="shared" si="254"/>
        <v>1</v>
      </c>
      <c r="D264" s="3">
        <f t="shared" si="254"/>
        <v>1</v>
      </c>
      <c r="E264" s="3" t="e">
        <f t="shared" si="254"/>
        <v>#REF!</v>
      </c>
      <c r="F264" s="3">
        <f t="shared" si="254"/>
        <v>1</v>
      </c>
      <c r="G264" s="3">
        <f t="shared" si="254"/>
        <v>1</v>
      </c>
      <c r="H264" s="3">
        <f t="shared" si="254"/>
        <v>1</v>
      </c>
      <c r="I264" s="3">
        <f t="shared" si="254"/>
        <v>1</v>
      </c>
      <c r="J264" s="3">
        <f t="shared" si="254"/>
        <v>1</v>
      </c>
      <c r="K264" s="3">
        <f t="shared" si="254"/>
        <v>1</v>
      </c>
      <c r="L264" s="3">
        <f t="shared" si="254"/>
        <v>1</v>
      </c>
      <c r="M264" s="3" t="e">
        <f t="shared" si="254"/>
        <v>#REF!</v>
      </c>
      <c r="N264" s="3">
        <f t="shared" si="254"/>
        <v>1</v>
      </c>
      <c r="O264" s="3">
        <f t="shared" si="254"/>
        <v>1</v>
      </c>
      <c r="P264" s="3">
        <f t="shared" si="254"/>
        <v>1</v>
      </c>
      <c r="Q264" s="3">
        <f t="shared" si="254"/>
        <v>1</v>
      </c>
      <c r="R264" s="3">
        <f t="shared" si="254"/>
        <v>1</v>
      </c>
      <c r="S264" s="3">
        <f t="shared" si="254"/>
        <v>1</v>
      </c>
      <c r="T264" s="3">
        <f t="shared" si="254"/>
        <v>1</v>
      </c>
      <c r="U264" s="3">
        <f t="shared" si="254"/>
        <v>1</v>
      </c>
      <c r="V264" s="3">
        <f t="shared" si="254"/>
        <v>1</v>
      </c>
      <c r="W264" s="3">
        <f t="shared" si="254"/>
        <v>1</v>
      </c>
    </row>
    <row r="265" customHeight="1" spans="1:23">
      <c r="A265" s="2">
        <v>252</v>
      </c>
      <c r="B265" s="3">
        <f t="shared" ref="B265:W265" si="255">MIN(1,IF($A265&lt;B$4+B$3,0,IF(B$2=0,1,IF(B$5=0,($A265-B$4)/B$2,IF(MOD($A265-B$4,B$5)=0,($A265-B$4)/B$2,QUOTIENT($A265-B$4,B$5)*B$5/B$2)))))</f>
        <v>1</v>
      </c>
      <c r="C265" s="3">
        <f t="shared" si="255"/>
        <v>1</v>
      </c>
      <c r="D265" s="3">
        <f t="shared" si="255"/>
        <v>1</v>
      </c>
      <c r="E265" s="3" t="e">
        <f t="shared" si="255"/>
        <v>#REF!</v>
      </c>
      <c r="F265" s="3">
        <f t="shared" si="255"/>
        <v>1</v>
      </c>
      <c r="G265" s="3">
        <f t="shared" si="255"/>
        <v>1</v>
      </c>
      <c r="H265" s="3">
        <f t="shared" si="255"/>
        <v>1</v>
      </c>
      <c r="I265" s="3">
        <f t="shared" si="255"/>
        <v>1</v>
      </c>
      <c r="J265" s="3">
        <f t="shared" si="255"/>
        <v>1</v>
      </c>
      <c r="K265" s="3">
        <f t="shared" si="255"/>
        <v>1</v>
      </c>
      <c r="L265" s="3">
        <f t="shared" si="255"/>
        <v>1</v>
      </c>
      <c r="M265" s="3" t="e">
        <f t="shared" si="255"/>
        <v>#REF!</v>
      </c>
      <c r="N265" s="3">
        <f t="shared" si="255"/>
        <v>1</v>
      </c>
      <c r="O265" s="3">
        <f t="shared" si="255"/>
        <v>1</v>
      </c>
      <c r="P265" s="3">
        <f t="shared" si="255"/>
        <v>1</v>
      </c>
      <c r="Q265" s="3">
        <f t="shared" si="255"/>
        <v>1</v>
      </c>
      <c r="R265" s="3">
        <f t="shared" si="255"/>
        <v>1</v>
      </c>
      <c r="S265" s="3">
        <f t="shared" si="255"/>
        <v>1</v>
      </c>
      <c r="T265" s="3">
        <f t="shared" si="255"/>
        <v>1</v>
      </c>
      <c r="U265" s="3">
        <f t="shared" si="255"/>
        <v>1</v>
      </c>
      <c r="V265" s="3">
        <f t="shared" si="255"/>
        <v>1</v>
      </c>
      <c r="W265" s="3">
        <f t="shared" si="255"/>
        <v>1</v>
      </c>
    </row>
    <row r="266" customHeight="1" spans="1:23">
      <c r="A266" s="2">
        <v>253</v>
      </c>
      <c r="B266" s="3">
        <f t="shared" ref="B266:W266" si="256">MIN(1,IF($A266&lt;B$4+B$3,0,IF(B$2=0,1,IF(B$5=0,($A266-B$4)/B$2,IF(MOD($A266-B$4,B$5)=0,($A266-B$4)/B$2,QUOTIENT($A266-B$4,B$5)*B$5/B$2)))))</f>
        <v>1</v>
      </c>
      <c r="C266" s="3">
        <f t="shared" si="256"/>
        <v>1</v>
      </c>
      <c r="D266" s="3">
        <f t="shared" si="256"/>
        <v>1</v>
      </c>
      <c r="E266" s="3" t="e">
        <f t="shared" si="256"/>
        <v>#REF!</v>
      </c>
      <c r="F266" s="3">
        <f t="shared" si="256"/>
        <v>1</v>
      </c>
      <c r="G266" s="3">
        <f t="shared" si="256"/>
        <v>1</v>
      </c>
      <c r="H266" s="3">
        <f t="shared" si="256"/>
        <v>1</v>
      </c>
      <c r="I266" s="3">
        <f t="shared" si="256"/>
        <v>1</v>
      </c>
      <c r="J266" s="3">
        <f t="shared" si="256"/>
        <v>1</v>
      </c>
      <c r="K266" s="3">
        <f t="shared" si="256"/>
        <v>1</v>
      </c>
      <c r="L266" s="3">
        <f t="shared" si="256"/>
        <v>1</v>
      </c>
      <c r="M266" s="3" t="e">
        <f t="shared" si="256"/>
        <v>#REF!</v>
      </c>
      <c r="N266" s="3">
        <f t="shared" si="256"/>
        <v>1</v>
      </c>
      <c r="O266" s="3">
        <f t="shared" si="256"/>
        <v>1</v>
      </c>
      <c r="P266" s="3">
        <f t="shared" si="256"/>
        <v>1</v>
      </c>
      <c r="Q266" s="3">
        <f t="shared" si="256"/>
        <v>1</v>
      </c>
      <c r="R266" s="3">
        <f t="shared" si="256"/>
        <v>1</v>
      </c>
      <c r="S266" s="3">
        <f t="shared" si="256"/>
        <v>1</v>
      </c>
      <c r="T266" s="3">
        <f t="shared" si="256"/>
        <v>1</v>
      </c>
      <c r="U266" s="3">
        <f t="shared" si="256"/>
        <v>1</v>
      </c>
      <c r="V266" s="3">
        <f t="shared" si="256"/>
        <v>1</v>
      </c>
      <c r="W266" s="3">
        <f t="shared" si="256"/>
        <v>1</v>
      </c>
    </row>
    <row r="267" customHeight="1" spans="1:23">
      <c r="A267" s="2">
        <v>254</v>
      </c>
      <c r="B267" s="3">
        <f t="shared" ref="B267:W267" si="257">MIN(1,IF($A267&lt;B$4+B$3,0,IF(B$2=0,1,IF(B$5=0,($A267-B$4)/B$2,IF(MOD($A267-B$4,B$5)=0,($A267-B$4)/B$2,QUOTIENT($A267-B$4,B$5)*B$5/B$2)))))</f>
        <v>1</v>
      </c>
      <c r="C267" s="3">
        <f t="shared" si="257"/>
        <v>1</v>
      </c>
      <c r="D267" s="3">
        <f t="shared" si="257"/>
        <v>1</v>
      </c>
      <c r="E267" s="3" t="e">
        <f t="shared" si="257"/>
        <v>#REF!</v>
      </c>
      <c r="F267" s="3">
        <f t="shared" si="257"/>
        <v>1</v>
      </c>
      <c r="G267" s="3">
        <f t="shared" si="257"/>
        <v>1</v>
      </c>
      <c r="H267" s="3">
        <f t="shared" si="257"/>
        <v>1</v>
      </c>
      <c r="I267" s="3">
        <f t="shared" si="257"/>
        <v>1</v>
      </c>
      <c r="J267" s="3">
        <f t="shared" si="257"/>
        <v>1</v>
      </c>
      <c r="K267" s="3">
        <f t="shared" si="257"/>
        <v>1</v>
      </c>
      <c r="L267" s="3">
        <f t="shared" si="257"/>
        <v>1</v>
      </c>
      <c r="M267" s="3" t="e">
        <f t="shared" si="257"/>
        <v>#REF!</v>
      </c>
      <c r="N267" s="3">
        <f t="shared" si="257"/>
        <v>1</v>
      </c>
      <c r="O267" s="3">
        <f t="shared" si="257"/>
        <v>1</v>
      </c>
      <c r="P267" s="3">
        <f t="shared" si="257"/>
        <v>1</v>
      </c>
      <c r="Q267" s="3">
        <f t="shared" si="257"/>
        <v>1</v>
      </c>
      <c r="R267" s="3">
        <f t="shared" si="257"/>
        <v>1</v>
      </c>
      <c r="S267" s="3">
        <f t="shared" si="257"/>
        <v>1</v>
      </c>
      <c r="T267" s="3">
        <f t="shared" si="257"/>
        <v>1</v>
      </c>
      <c r="U267" s="3">
        <f t="shared" si="257"/>
        <v>1</v>
      </c>
      <c r="V267" s="3">
        <f t="shared" si="257"/>
        <v>1</v>
      </c>
      <c r="W267" s="3">
        <f t="shared" si="257"/>
        <v>1</v>
      </c>
    </row>
    <row r="268" customHeight="1" spans="1:23">
      <c r="A268" s="2">
        <v>255</v>
      </c>
      <c r="B268" s="3">
        <f t="shared" ref="B268:W268" si="258">MIN(1,IF($A268&lt;B$4+B$3,0,IF(B$2=0,1,IF(B$5=0,($A268-B$4)/B$2,IF(MOD($A268-B$4,B$5)=0,($A268-B$4)/B$2,QUOTIENT($A268-B$4,B$5)*B$5/B$2)))))</f>
        <v>1</v>
      </c>
      <c r="C268" s="3">
        <f t="shared" si="258"/>
        <v>1</v>
      </c>
      <c r="D268" s="3">
        <f t="shared" si="258"/>
        <v>1</v>
      </c>
      <c r="E268" s="3" t="e">
        <f t="shared" si="258"/>
        <v>#REF!</v>
      </c>
      <c r="F268" s="3">
        <f t="shared" si="258"/>
        <v>1</v>
      </c>
      <c r="G268" s="3">
        <f t="shared" si="258"/>
        <v>1</v>
      </c>
      <c r="H268" s="3">
        <f t="shared" si="258"/>
        <v>1</v>
      </c>
      <c r="I268" s="3">
        <f t="shared" si="258"/>
        <v>1</v>
      </c>
      <c r="J268" s="3">
        <f t="shared" si="258"/>
        <v>1</v>
      </c>
      <c r="K268" s="3">
        <f t="shared" si="258"/>
        <v>1</v>
      </c>
      <c r="L268" s="3">
        <f t="shared" si="258"/>
        <v>1</v>
      </c>
      <c r="M268" s="3" t="e">
        <f t="shared" si="258"/>
        <v>#REF!</v>
      </c>
      <c r="N268" s="3">
        <f t="shared" si="258"/>
        <v>1</v>
      </c>
      <c r="O268" s="3">
        <f t="shared" si="258"/>
        <v>1</v>
      </c>
      <c r="P268" s="3">
        <f t="shared" si="258"/>
        <v>1</v>
      </c>
      <c r="Q268" s="3">
        <f t="shared" si="258"/>
        <v>1</v>
      </c>
      <c r="R268" s="3">
        <f t="shared" si="258"/>
        <v>1</v>
      </c>
      <c r="S268" s="3">
        <f t="shared" si="258"/>
        <v>1</v>
      </c>
      <c r="T268" s="3">
        <f t="shared" si="258"/>
        <v>1</v>
      </c>
      <c r="U268" s="3">
        <f t="shared" si="258"/>
        <v>1</v>
      </c>
      <c r="V268" s="3">
        <f t="shared" si="258"/>
        <v>1</v>
      </c>
      <c r="W268" s="3">
        <f t="shared" si="258"/>
        <v>1</v>
      </c>
    </row>
    <row r="269" customHeight="1" spans="1:23">
      <c r="A269" s="2">
        <v>256</v>
      </c>
      <c r="B269" s="3">
        <f t="shared" ref="B269:W269" si="259">MIN(1,IF($A269&lt;B$4+B$3,0,IF(B$2=0,1,IF(B$5=0,($A269-B$4)/B$2,IF(MOD($A269-B$4,B$5)=0,($A269-B$4)/B$2,QUOTIENT($A269-B$4,B$5)*B$5/B$2)))))</f>
        <v>1</v>
      </c>
      <c r="C269" s="3">
        <f t="shared" si="259"/>
        <v>1</v>
      </c>
      <c r="D269" s="3">
        <f t="shared" si="259"/>
        <v>1</v>
      </c>
      <c r="E269" s="3" t="e">
        <f t="shared" si="259"/>
        <v>#REF!</v>
      </c>
      <c r="F269" s="3">
        <f t="shared" si="259"/>
        <v>1</v>
      </c>
      <c r="G269" s="3">
        <f t="shared" si="259"/>
        <v>1</v>
      </c>
      <c r="H269" s="3">
        <f t="shared" si="259"/>
        <v>1</v>
      </c>
      <c r="I269" s="3">
        <f t="shared" si="259"/>
        <v>1</v>
      </c>
      <c r="J269" s="3">
        <f t="shared" si="259"/>
        <v>1</v>
      </c>
      <c r="K269" s="3">
        <f t="shared" si="259"/>
        <v>1</v>
      </c>
      <c r="L269" s="3">
        <f t="shared" si="259"/>
        <v>1</v>
      </c>
      <c r="M269" s="3" t="e">
        <f t="shared" si="259"/>
        <v>#REF!</v>
      </c>
      <c r="N269" s="3">
        <f t="shared" si="259"/>
        <v>1</v>
      </c>
      <c r="O269" s="3">
        <f t="shared" si="259"/>
        <v>1</v>
      </c>
      <c r="P269" s="3">
        <f t="shared" si="259"/>
        <v>1</v>
      </c>
      <c r="Q269" s="3">
        <f t="shared" si="259"/>
        <v>1</v>
      </c>
      <c r="R269" s="3">
        <f t="shared" si="259"/>
        <v>1</v>
      </c>
      <c r="S269" s="3">
        <f t="shared" si="259"/>
        <v>1</v>
      </c>
      <c r="T269" s="3">
        <f t="shared" si="259"/>
        <v>1</v>
      </c>
      <c r="U269" s="3">
        <f t="shared" si="259"/>
        <v>1</v>
      </c>
      <c r="V269" s="3">
        <f t="shared" si="259"/>
        <v>1</v>
      </c>
      <c r="W269" s="3">
        <f t="shared" si="259"/>
        <v>1</v>
      </c>
    </row>
    <row r="270" customHeight="1" spans="1:23">
      <c r="A270" s="2">
        <v>257</v>
      </c>
      <c r="B270" s="3">
        <f t="shared" ref="B270:W270" si="260">MIN(1,IF($A270&lt;B$4+B$3,0,IF(B$2=0,1,IF(B$5=0,($A270-B$4)/B$2,IF(MOD($A270-B$4,B$5)=0,($A270-B$4)/B$2,QUOTIENT($A270-B$4,B$5)*B$5/B$2)))))</f>
        <v>1</v>
      </c>
      <c r="C270" s="3">
        <f t="shared" si="260"/>
        <v>1</v>
      </c>
      <c r="D270" s="3">
        <f t="shared" si="260"/>
        <v>1</v>
      </c>
      <c r="E270" s="3" t="e">
        <f t="shared" si="260"/>
        <v>#REF!</v>
      </c>
      <c r="F270" s="3">
        <f t="shared" si="260"/>
        <v>1</v>
      </c>
      <c r="G270" s="3">
        <f t="shared" si="260"/>
        <v>1</v>
      </c>
      <c r="H270" s="3">
        <f t="shared" si="260"/>
        <v>1</v>
      </c>
      <c r="I270" s="3">
        <f t="shared" si="260"/>
        <v>1</v>
      </c>
      <c r="J270" s="3">
        <f t="shared" si="260"/>
        <v>1</v>
      </c>
      <c r="K270" s="3">
        <f t="shared" si="260"/>
        <v>1</v>
      </c>
      <c r="L270" s="3">
        <f t="shared" si="260"/>
        <v>1</v>
      </c>
      <c r="M270" s="3" t="e">
        <f t="shared" si="260"/>
        <v>#REF!</v>
      </c>
      <c r="N270" s="3">
        <f t="shared" si="260"/>
        <v>1</v>
      </c>
      <c r="O270" s="3">
        <f t="shared" si="260"/>
        <v>1</v>
      </c>
      <c r="P270" s="3">
        <f t="shared" si="260"/>
        <v>1</v>
      </c>
      <c r="Q270" s="3">
        <f t="shared" si="260"/>
        <v>1</v>
      </c>
      <c r="R270" s="3">
        <f t="shared" si="260"/>
        <v>1</v>
      </c>
      <c r="S270" s="3">
        <f t="shared" si="260"/>
        <v>1</v>
      </c>
      <c r="T270" s="3">
        <f t="shared" si="260"/>
        <v>1</v>
      </c>
      <c r="U270" s="3">
        <f t="shared" si="260"/>
        <v>1</v>
      </c>
      <c r="V270" s="3">
        <f t="shared" si="260"/>
        <v>1</v>
      </c>
      <c r="W270" s="3">
        <f t="shared" si="260"/>
        <v>1</v>
      </c>
    </row>
    <row r="271" customHeight="1" spans="1:23">
      <c r="A271" s="2">
        <v>258</v>
      </c>
      <c r="B271" s="3">
        <f t="shared" ref="B271:W271" si="261">MIN(1,IF($A271&lt;B$4+B$3,0,IF(B$2=0,1,IF(B$5=0,($A271-B$4)/B$2,IF(MOD($A271-B$4,B$5)=0,($A271-B$4)/B$2,QUOTIENT($A271-B$4,B$5)*B$5/B$2)))))</f>
        <v>1</v>
      </c>
      <c r="C271" s="3">
        <f t="shared" si="261"/>
        <v>1</v>
      </c>
      <c r="D271" s="3">
        <f t="shared" si="261"/>
        <v>1</v>
      </c>
      <c r="E271" s="3" t="e">
        <f t="shared" si="261"/>
        <v>#REF!</v>
      </c>
      <c r="F271" s="3">
        <f t="shared" si="261"/>
        <v>1</v>
      </c>
      <c r="G271" s="3">
        <f t="shared" si="261"/>
        <v>1</v>
      </c>
      <c r="H271" s="3">
        <f t="shared" si="261"/>
        <v>1</v>
      </c>
      <c r="I271" s="3">
        <f t="shared" si="261"/>
        <v>1</v>
      </c>
      <c r="J271" s="3">
        <f t="shared" si="261"/>
        <v>1</v>
      </c>
      <c r="K271" s="3">
        <f t="shared" si="261"/>
        <v>1</v>
      </c>
      <c r="L271" s="3">
        <f t="shared" si="261"/>
        <v>1</v>
      </c>
      <c r="M271" s="3" t="e">
        <f t="shared" si="261"/>
        <v>#REF!</v>
      </c>
      <c r="N271" s="3">
        <f t="shared" si="261"/>
        <v>1</v>
      </c>
      <c r="O271" s="3">
        <f t="shared" si="261"/>
        <v>1</v>
      </c>
      <c r="P271" s="3">
        <f t="shared" si="261"/>
        <v>1</v>
      </c>
      <c r="Q271" s="3">
        <f t="shared" si="261"/>
        <v>1</v>
      </c>
      <c r="R271" s="3">
        <f t="shared" si="261"/>
        <v>1</v>
      </c>
      <c r="S271" s="3">
        <f t="shared" si="261"/>
        <v>1</v>
      </c>
      <c r="T271" s="3">
        <f t="shared" si="261"/>
        <v>1</v>
      </c>
      <c r="U271" s="3">
        <f t="shared" si="261"/>
        <v>1</v>
      </c>
      <c r="V271" s="3">
        <f t="shared" si="261"/>
        <v>1</v>
      </c>
      <c r="W271" s="3">
        <f t="shared" si="261"/>
        <v>1</v>
      </c>
    </row>
    <row r="272" customHeight="1" spans="1:23">
      <c r="A272" s="2">
        <v>259</v>
      </c>
      <c r="B272" s="3">
        <f t="shared" ref="B272:W272" si="262">MIN(1,IF($A272&lt;B$4+B$3,0,IF(B$2=0,1,IF(B$5=0,($A272-B$4)/B$2,IF(MOD($A272-B$4,B$5)=0,($A272-B$4)/B$2,QUOTIENT($A272-B$4,B$5)*B$5/B$2)))))</f>
        <v>1</v>
      </c>
      <c r="C272" s="3">
        <f t="shared" si="262"/>
        <v>1</v>
      </c>
      <c r="D272" s="3">
        <f t="shared" si="262"/>
        <v>1</v>
      </c>
      <c r="E272" s="3" t="e">
        <f t="shared" si="262"/>
        <v>#REF!</v>
      </c>
      <c r="F272" s="3">
        <f t="shared" si="262"/>
        <v>1</v>
      </c>
      <c r="G272" s="3">
        <f t="shared" si="262"/>
        <v>1</v>
      </c>
      <c r="H272" s="3">
        <f t="shared" si="262"/>
        <v>1</v>
      </c>
      <c r="I272" s="3">
        <f t="shared" si="262"/>
        <v>1</v>
      </c>
      <c r="J272" s="3">
        <f t="shared" si="262"/>
        <v>1</v>
      </c>
      <c r="K272" s="3">
        <f t="shared" si="262"/>
        <v>1</v>
      </c>
      <c r="L272" s="3">
        <f t="shared" si="262"/>
        <v>1</v>
      </c>
      <c r="M272" s="3" t="e">
        <f t="shared" si="262"/>
        <v>#REF!</v>
      </c>
      <c r="N272" s="3">
        <f t="shared" si="262"/>
        <v>1</v>
      </c>
      <c r="O272" s="3">
        <f t="shared" si="262"/>
        <v>1</v>
      </c>
      <c r="P272" s="3">
        <f t="shared" si="262"/>
        <v>1</v>
      </c>
      <c r="Q272" s="3">
        <f t="shared" si="262"/>
        <v>1</v>
      </c>
      <c r="R272" s="3">
        <f t="shared" si="262"/>
        <v>1</v>
      </c>
      <c r="S272" s="3">
        <f t="shared" si="262"/>
        <v>1</v>
      </c>
      <c r="T272" s="3">
        <f t="shared" si="262"/>
        <v>1</v>
      </c>
      <c r="U272" s="3">
        <f t="shared" si="262"/>
        <v>1</v>
      </c>
      <c r="V272" s="3">
        <f t="shared" si="262"/>
        <v>1</v>
      </c>
      <c r="W272" s="3">
        <f t="shared" si="262"/>
        <v>1</v>
      </c>
    </row>
    <row r="273" customHeight="1" spans="1:23">
      <c r="A273" s="2">
        <v>260</v>
      </c>
      <c r="B273" s="3">
        <f t="shared" ref="B273:W273" si="263">MIN(1,IF($A273&lt;B$4+B$3,0,IF(B$2=0,1,IF(B$5=0,($A273-B$4)/B$2,IF(MOD($A273-B$4,B$5)=0,($A273-B$4)/B$2,QUOTIENT($A273-B$4,B$5)*B$5/B$2)))))</f>
        <v>1</v>
      </c>
      <c r="C273" s="3">
        <f t="shared" si="263"/>
        <v>1</v>
      </c>
      <c r="D273" s="3">
        <f t="shared" si="263"/>
        <v>1</v>
      </c>
      <c r="E273" s="3" t="e">
        <f t="shared" si="263"/>
        <v>#REF!</v>
      </c>
      <c r="F273" s="3">
        <f t="shared" si="263"/>
        <v>1</v>
      </c>
      <c r="G273" s="3">
        <f t="shared" si="263"/>
        <v>1</v>
      </c>
      <c r="H273" s="3">
        <f t="shared" si="263"/>
        <v>1</v>
      </c>
      <c r="I273" s="3">
        <f t="shared" si="263"/>
        <v>1</v>
      </c>
      <c r="J273" s="3">
        <f t="shared" si="263"/>
        <v>1</v>
      </c>
      <c r="K273" s="3">
        <f t="shared" si="263"/>
        <v>1</v>
      </c>
      <c r="L273" s="3">
        <f t="shared" si="263"/>
        <v>1</v>
      </c>
      <c r="M273" s="3" t="e">
        <f t="shared" si="263"/>
        <v>#REF!</v>
      </c>
      <c r="N273" s="3">
        <f t="shared" si="263"/>
        <v>1</v>
      </c>
      <c r="O273" s="3">
        <f t="shared" si="263"/>
        <v>1</v>
      </c>
      <c r="P273" s="3">
        <f t="shared" si="263"/>
        <v>1</v>
      </c>
      <c r="Q273" s="3">
        <f t="shared" si="263"/>
        <v>1</v>
      </c>
      <c r="R273" s="3">
        <f t="shared" si="263"/>
        <v>1</v>
      </c>
      <c r="S273" s="3">
        <f t="shared" si="263"/>
        <v>1</v>
      </c>
      <c r="T273" s="3">
        <f t="shared" si="263"/>
        <v>1</v>
      </c>
      <c r="U273" s="3">
        <f t="shared" si="263"/>
        <v>1</v>
      </c>
      <c r="V273" s="3">
        <f t="shared" si="263"/>
        <v>1</v>
      </c>
      <c r="W273" s="3">
        <f t="shared" si="263"/>
        <v>1</v>
      </c>
    </row>
    <row r="274" customHeight="1" spans="1:23">
      <c r="A274" s="2">
        <v>261</v>
      </c>
      <c r="B274" s="3">
        <f t="shared" ref="B274:W274" si="264">MIN(1,IF($A274&lt;B$4+B$3,0,IF(B$2=0,1,IF(B$5=0,($A274-B$4)/B$2,IF(MOD($A274-B$4,B$5)=0,($A274-B$4)/B$2,QUOTIENT($A274-B$4,B$5)*B$5/B$2)))))</f>
        <v>1</v>
      </c>
      <c r="C274" s="3">
        <f t="shared" si="264"/>
        <v>1</v>
      </c>
      <c r="D274" s="3">
        <f t="shared" si="264"/>
        <v>1</v>
      </c>
      <c r="E274" s="3" t="e">
        <f t="shared" si="264"/>
        <v>#REF!</v>
      </c>
      <c r="F274" s="3">
        <f t="shared" si="264"/>
        <v>1</v>
      </c>
      <c r="G274" s="3">
        <f t="shared" si="264"/>
        <v>1</v>
      </c>
      <c r="H274" s="3">
        <f t="shared" si="264"/>
        <v>1</v>
      </c>
      <c r="I274" s="3">
        <f t="shared" si="264"/>
        <v>1</v>
      </c>
      <c r="J274" s="3">
        <f t="shared" si="264"/>
        <v>1</v>
      </c>
      <c r="K274" s="3">
        <f t="shared" si="264"/>
        <v>1</v>
      </c>
      <c r="L274" s="3">
        <f t="shared" si="264"/>
        <v>1</v>
      </c>
      <c r="M274" s="3" t="e">
        <f t="shared" si="264"/>
        <v>#REF!</v>
      </c>
      <c r="N274" s="3">
        <f t="shared" si="264"/>
        <v>1</v>
      </c>
      <c r="O274" s="3">
        <f t="shared" si="264"/>
        <v>1</v>
      </c>
      <c r="P274" s="3">
        <f t="shared" si="264"/>
        <v>1</v>
      </c>
      <c r="Q274" s="3">
        <f t="shared" si="264"/>
        <v>1</v>
      </c>
      <c r="R274" s="3">
        <f t="shared" si="264"/>
        <v>1</v>
      </c>
      <c r="S274" s="3">
        <f t="shared" si="264"/>
        <v>1</v>
      </c>
      <c r="T274" s="3">
        <f t="shared" si="264"/>
        <v>1</v>
      </c>
      <c r="U274" s="3">
        <f t="shared" si="264"/>
        <v>1</v>
      </c>
      <c r="V274" s="3">
        <f t="shared" si="264"/>
        <v>1</v>
      </c>
      <c r="W274" s="3">
        <f t="shared" si="264"/>
        <v>1</v>
      </c>
    </row>
    <row r="275" customHeight="1" spans="1:23">
      <c r="A275" s="2">
        <v>262</v>
      </c>
      <c r="B275" s="3">
        <f t="shared" ref="B275:W275" si="265">MIN(1,IF($A275&lt;B$4+B$3,0,IF(B$2=0,1,IF(B$5=0,($A275-B$4)/B$2,IF(MOD($A275-B$4,B$5)=0,($A275-B$4)/B$2,QUOTIENT($A275-B$4,B$5)*B$5/B$2)))))</f>
        <v>1</v>
      </c>
      <c r="C275" s="3">
        <f t="shared" si="265"/>
        <v>1</v>
      </c>
      <c r="D275" s="3">
        <f t="shared" si="265"/>
        <v>1</v>
      </c>
      <c r="E275" s="3" t="e">
        <f t="shared" si="265"/>
        <v>#REF!</v>
      </c>
      <c r="F275" s="3">
        <f t="shared" si="265"/>
        <v>1</v>
      </c>
      <c r="G275" s="3">
        <f t="shared" si="265"/>
        <v>1</v>
      </c>
      <c r="H275" s="3">
        <f t="shared" si="265"/>
        <v>1</v>
      </c>
      <c r="I275" s="3">
        <f t="shared" si="265"/>
        <v>1</v>
      </c>
      <c r="J275" s="3">
        <f t="shared" si="265"/>
        <v>1</v>
      </c>
      <c r="K275" s="3">
        <f t="shared" si="265"/>
        <v>1</v>
      </c>
      <c r="L275" s="3">
        <f t="shared" si="265"/>
        <v>1</v>
      </c>
      <c r="M275" s="3" t="e">
        <f t="shared" si="265"/>
        <v>#REF!</v>
      </c>
      <c r="N275" s="3">
        <f t="shared" si="265"/>
        <v>1</v>
      </c>
      <c r="O275" s="3">
        <f t="shared" si="265"/>
        <v>1</v>
      </c>
      <c r="P275" s="3">
        <f t="shared" si="265"/>
        <v>1</v>
      </c>
      <c r="Q275" s="3">
        <f t="shared" si="265"/>
        <v>1</v>
      </c>
      <c r="R275" s="3">
        <f t="shared" si="265"/>
        <v>1</v>
      </c>
      <c r="S275" s="3">
        <f t="shared" si="265"/>
        <v>1</v>
      </c>
      <c r="T275" s="3">
        <f t="shared" si="265"/>
        <v>1</v>
      </c>
      <c r="U275" s="3">
        <f t="shared" si="265"/>
        <v>1</v>
      </c>
      <c r="V275" s="3">
        <f t="shared" si="265"/>
        <v>1</v>
      </c>
      <c r="W275" s="3">
        <f t="shared" si="265"/>
        <v>1</v>
      </c>
    </row>
    <row r="276" customHeight="1" spans="1:23">
      <c r="A276" s="2">
        <v>263</v>
      </c>
      <c r="B276" s="3">
        <f t="shared" ref="B276:W276" si="266">MIN(1,IF($A276&lt;B$4+B$3,0,IF(B$2=0,1,IF(B$5=0,($A276-B$4)/B$2,IF(MOD($A276-B$4,B$5)=0,($A276-B$4)/B$2,QUOTIENT($A276-B$4,B$5)*B$5/B$2)))))</f>
        <v>1</v>
      </c>
      <c r="C276" s="3">
        <f t="shared" si="266"/>
        <v>1</v>
      </c>
      <c r="D276" s="3">
        <f t="shared" si="266"/>
        <v>1</v>
      </c>
      <c r="E276" s="3" t="e">
        <f t="shared" si="266"/>
        <v>#REF!</v>
      </c>
      <c r="F276" s="3">
        <f t="shared" si="266"/>
        <v>1</v>
      </c>
      <c r="G276" s="3">
        <f t="shared" si="266"/>
        <v>1</v>
      </c>
      <c r="H276" s="3">
        <f t="shared" si="266"/>
        <v>1</v>
      </c>
      <c r="I276" s="3">
        <f t="shared" si="266"/>
        <v>1</v>
      </c>
      <c r="J276" s="3">
        <f t="shared" si="266"/>
        <v>1</v>
      </c>
      <c r="K276" s="3">
        <f t="shared" si="266"/>
        <v>1</v>
      </c>
      <c r="L276" s="3">
        <f t="shared" si="266"/>
        <v>1</v>
      </c>
      <c r="M276" s="3" t="e">
        <f t="shared" si="266"/>
        <v>#REF!</v>
      </c>
      <c r="N276" s="3">
        <f t="shared" si="266"/>
        <v>1</v>
      </c>
      <c r="O276" s="3">
        <f t="shared" si="266"/>
        <v>1</v>
      </c>
      <c r="P276" s="3">
        <f t="shared" si="266"/>
        <v>1</v>
      </c>
      <c r="Q276" s="3">
        <f t="shared" si="266"/>
        <v>1</v>
      </c>
      <c r="R276" s="3">
        <f t="shared" si="266"/>
        <v>1</v>
      </c>
      <c r="S276" s="3">
        <f t="shared" si="266"/>
        <v>1</v>
      </c>
      <c r="T276" s="3">
        <f t="shared" si="266"/>
        <v>1</v>
      </c>
      <c r="U276" s="3">
        <f t="shared" si="266"/>
        <v>1</v>
      </c>
      <c r="V276" s="3">
        <f t="shared" si="266"/>
        <v>1</v>
      </c>
      <c r="W276" s="3">
        <f t="shared" si="266"/>
        <v>1</v>
      </c>
    </row>
    <row r="277" customHeight="1" spans="1:23">
      <c r="A277" s="2">
        <v>264</v>
      </c>
      <c r="B277" s="3">
        <f t="shared" ref="B277:W277" si="267">MIN(1,IF($A277&lt;B$4+B$3,0,IF(B$2=0,1,IF(B$5=0,($A277-B$4)/B$2,IF(MOD($A277-B$4,B$5)=0,($A277-B$4)/B$2,QUOTIENT($A277-B$4,B$5)*B$5/B$2)))))</f>
        <v>1</v>
      </c>
      <c r="C277" s="3">
        <f t="shared" si="267"/>
        <v>1</v>
      </c>
      <c r="D277" s="3">
        <f t="shared" si="267"/>
        <v>1</v>
      </c>
      <c r="E277" s="3" t="e">
        <f t="shared" si="267"/>
        <v>#REF!</v>
      </c>
      <c r="F277" s="3">
        <f t="shared" si="267"/>
        <v>1</v>
      </c>
      <c r="G277" s="3">
        <f t="shared" si="267"/>
        <v>1</v>
      </c>
      <c r="H277" s="3">
        <f t="shared" si="267"/>
        <v>1</v>
      </c>
      <c r="I277" s="3">
        <f t="shared" si="267"/>
        <v>1</v>
      </c>
      <c r="J277" s="3">
        <f t="shared" si="267"/>
        <v>1</v>
      </c>
      <c r="K277" s="3">
        <f t="shared" si="267"/>
        <v>1</v>
      </c>
      <c r="L277" s="3">
        <f t="shared" si="267"/>
        <v>1</v>
      </c>
      <c r="M277" s="3" t="e">
        <f t="shared" si="267"/>
        <v>#REF!</v>
      </c>
      <c r="N277" s="3">
        <f t="shared" si="267"/>
        <v>1</v>
      </c>
      <c r="O277" s="3">
        <f t="shared" si="267"/>
        <v>1</v>
      </c>
      <c r="P277" s="3">
        <f t="shared" si="267"/>
        <v>1</v>
      </c>
      <c r="Q277" s="3">
        <f t="shared" si="267"/>
        <v>1</v>
      </c>
      <c r="R277" s="3">
        <f t="shared" si="267"/>
        <v>1</v>
      </c>
      <c r="S277" s="3">
        <f t="shared" si="267"/>
        <v>1</v>
      </c>
      <c r="T277" s="3">
        <f t="shared" si="267"/>
        <v>1</v>
      </c>
      <c r="U277" s="3">
        <f t="shared" si="267"/>
        <v>1</v>
      </c>
      <c r="V277" s="3">
        <f t="shared" si="267"/>
        <v>1</v>
      </c>
      <c r="W277" s="3">
        <f t="shared" si="267"/>
        <v>1</v>
      </c>
    </row>
    <row r="278" customHeight="1" spans="1:23">
      <c r="A278" s="2">
        <v>265</v>
      </c>
      <c r="B278" s="3">
        <f t="shared" ref="B278:W278" si="268">MIN(1,IF($A278&lt;B$4+B$3,0,IF(B$2=0,1,IF(B$5=0,($A278-B$4)/B$2,IF(MOD($A278-B$4,B$5)=0,($A278-B$4)/B$2,QUOTIENT($A278-B$4,B$5)*B$5/B$2)))))</f>
        <v>1</v>
      </c>
      <c r="C278" s="3">
        <f t="shared" si="268"/>
        <v>1</v>
      </c>
      <c r="D278" s="3">
        <f t="shared" si="268"/>
        <v>1</v>
      </c>
      <c r="E278" s="3" t="e">
        <f t="shared" si="268"/>
        <v>#REF!</v>
      </c>
      <c r="F278" s="3">
        <f t="shared" si="268"/>
        <v>1</v>
      </c>
      <c r="G278" s="3">
        <f t="shared" si="268"/>
        <v>1</v>
      </c>
      <c r="H278" s="3">
        <f t="shared" si="268"/>
        <v>1</v>
      </c>
      <c r="I278" s="3">
        <f t="shared" si="268"/>
        <v>1</v>
      </c>
      <c r="J278" s="3">
        <f t="shared" si="268"/>
        <v>1</v>
      </c>
      <c r="K278" s="3">
        <f t="shared" si="268"/>
        <v>1</v>
      </c>
      <c r="L278" s="3">
        <f t="shared" si="268"/>
        <v>1</v>
      </c>
      <c r="M278" s="3" t="e">
        <f t="shared" si="268"/>
        <v>#REF!</v>
      </c>
      <c r="N278" s="3">
        <f t="shared" si="268"/>
        <v>1</v>
      </c>
      <c r="O278" s="3">
        <f t="shared" si="268"/>
        <v>1</v>
      </c>
      <c r="P278" s="3">
        <f t="shared" si="268"/>
        <v>1</v>
      </c>
      <c r="Q278" s="3">
        <f t="shared" si="268"/>
        <v>1</v>
      </c>
      <c r="R278" s="3">
        <f t="shared" si="268"/>
        <v>1</v>
      </c>
      <c r="S278" s="3">
        <f t="shared" si="268"/>
        <v>1</v>
      </c>
      <c r="T278" s="3">
        <f t="shared" si="268"/>
        <v>1</v>
      </c>
      <c r="U278" s="3">
        <f t="shared" si="268"/>
        <v>1</v>
      </c>
      <c r="V278" s="3">
        <f t="shared" si="268"/>
        <v>1</v>
      </c>
      <c r="W278" s="3">
        <f t="shared" si="268"/>
        <v>1</v>
      </c>
    </row>
    <row r="279" customHeight="1" spans="1:23">
      <c r="A279" s="2">
        <v>266</v>
      </c>
      <c r="B279" s="3">
        <f t="shared" ref="B279:W279" si="269">MIN(1,IF($A279&lt;B$4+B$3,0,IF(B$2=0,1,IF(B$5=0,($A279-B$4)/B$2,IF(MOD($A279-B$4,B$5)=0,($A279-B$4)/B$2,QUOTIENT($A279-B$4,B$5)*B$5/B$2)))))</f>
        <v>1</v>
      </c>
      <c r="C279" s="3">
        <f t="shared" si="269"/>
        <v>1</v>
      </c>
      <c r="D279" s="3">
        <f t="shared" si="269"/>
        <v>1</v>
      </c>
      <c r="E279" s="3" t="e">
        <f t="shared" si="269"/>
        <v>#REF!</v>
      </c>
      <c r="F279" s="3">
        <f t="shared" si="269"/>
        <v>1</v>
      </c>
      <c r="G279" s="3">
        <f t="shared" si="269"/>
        <v>1</v>
      </c>
      <c r="H279" s="3">
        <f t="shared" si="269"/>
        <v>1</v>
      </c>
      <c r="I279" s="3">
        <f t="shared" si="269"/>
        <v>1</v>
      </c>
      <c r="J279" s="3">
        <f t="shared" si="269"/>
        <v>1</v>
      </c>
      <c r="K279" s="3">
        <f t="shared" si="269"/>
        <v>1</v>
      </c>
      <c r="L279" s="3">
        <f t="shared" si="269"/>
        <v>1</v>
      </c>
      <c r="M279" s="3" t="e">
        <f t="shared" si="269"/>
        <v>#REF!</v>
      </c>
      <c r="N279" s="3">
        <f t="shared" si="269"/>
        <v>1</v>
      </c>
      <c r="O279" s="3">
        <f t="shared" si="269"/>
        <v>1</v>
      </c>
      <c r="P279" s="3">
        <f t="shared" si="269"/>
        <v>1</v>
      </c>
      <c r="Q279" s="3">
        <f t="shared" si="269"/>
        <v>1</v>
      </c>
      <c r="R279" s="3">
        <f t="shared" si="269"/>
        <v>1</v>
      </c>
      <c r="S279" s="3">
        <f t="shared" si="269"/>
        <v>1</v>
      </c>
      <c r="T279" s="3">
        <f t="shared" si="269"/>
        <v>1</v>
      </c>
      <c r="U279" s="3">
        <f t="shared" si="269"/>
        <v>1</v>
      </c>
      <c r="V279" s="3">
        <f t="shared" si="269"/>
        <v>1</v>
      </c>
      <c r="W279" s="3">
        <f t="shared" si="269"/>
        <v>1</v>
      </c>
    </row>
    <row r="280" customHeight="1" spans="1:23">
      <c r="A280" s="2">
        <v>267</v>
      </c>
      <c r="B280" s="3">
        <f t="shared" ref="B280:W280" si="270">MIN(1,IF($A280&lt;B$4+B$3,0,IF(B$2=0,1,IF(B$5=0,($A280-B$4)/B$2,IF(MOD($A280-B$4,B$5)=0,($A280-B$4)/B$2,QUOTIENT($A280-B$4,B$5)*B$5/B$2)))))</f>
        <v>1</v>
      </c>
      <c r="C280" s="3">
        <f t="shared" si="270"/>
        <v>1</v>
      </c>
      <c r="D280" s="3">
        <f t="shared" si="270"/>
        <v>1</v>
      </c>
      <c r="E280" s="3" t="e">
        <f t="shared" si="270"/>
        <v>#REF!</v>
      </c>
      <c r="F280" s="3">
        <f t="shared" si="270"/>
        <v>1</v>
      </c>
      <c r="G280" s="3">
        <f t="shared" si="270"/>
        <v>1</v>
      </c>
      <c r="H280" s="3">
        <f t="shared" si="270"/>
        <v>1</v>
      </c>
      <c r="I280" s="3">
        <f t="shared" si="270"/>
        <v>1</v>
      </c>
      <c r="J280" s="3">
        <f t="shared" si="270"/>
        <v>1</v>
      </c>
      <c r="K280" s="3">
        <f t="shared" si="270"/>
        <v>1</v>
      </c>
      <c r="L280" s="3">
        <f t="shared" si="270"/>
        <v>1</v>
      </c>
      <c r="M280" s="3" t="e">
        <f t="shared" si="270"/>
        <v>#REF!</v>
      </c>
      <c r="N280" s="3">
        <f t="shared" si="270"/>
        <v>1</v>
      </c>
      <c r="O280" s="3">
        <f t="shared" si="270"/>
        <v>1</v>
      </c>
      <c r="P280" s="3">
        <f t="shared" si="270"/>
        <v>1</v>
      </c>
      <c r="Q280" s="3">
        <f t="shared" si="270"/>
        <v>1</v>
      </c>
      <c r="R280" s="3">
        <f t="shared" si="270"/>
        <v>1</v>
      </c>
      <c r="S280" s="3">
        <f t="shared" si="270"/>
        <v>1</v>
      </c>
      <c r="T280" s="3">
        <f t="shared" si="270"/>
        <v>1</v>
      </c>
      <c r="U280" s="3">
        <f t="shared" si="270"/>
        <v>1</v>
      </c>
      <c r="V280" s="3">
        <f t="shared" si="270"/>
        <v>1</v>
      </c>
      <c r="W280" s="3">
        <f t="shared" si="270"/>
        <v>1</v>
      </c>
    </row>
    <row r="281" customHeight="1" spans="1:23">
      <c r="A281" s="2">
        <v>268</v>
      </c>
      <c r="B281" s="3">
        <f t="shared" ref="B281:W281" si="271">MIN(1,IF($A281&lt;B$4+B$3,0,IF(B$2=0,1,IF(B$5=0,($A281-B$4)/B$2,IF(MOD($A281-B$4,B$5)=0,($A281-B$4)/B$2,QUOTIENT($A281-B$4,B$5)*B$5/B$2)))))</f>
        <v>1</v>
      </c>
      <c r="C281" s="3">
        <f t="shared" si="271"/>
        <v>1</v>
      </c>
      <c r="D281" s="3">
        <f t="shared" si="271"/>
        <v>1</v>
      </c>
      <c r="E281" s="3" t="e">
        <f t="shared" si="271"/>
        <v>#REF!</v>
      </c>
      <c r="F281" s="3">
        <f t="shared" si="271"/>
        <v>1</v>
      </c>
      <c r="G281" s="3">
        <f t="shared" si="271"/>
        <v>1</v>
      </c>
      <c r="H281" s="3">
        <f t="shared" si="271"/>
        <v>1</v>
      </c>
      <c r="I281" s="3">
        <f t="shared" si="271"/>
        <v>1</v>
      </c>
      <c r="J281" s="3">
        <f t="shared" si="271"/>
        <v>1</v>
      </c>
      <c r="K281" s="3">
        <f t="shared" si="271"/>
        <v>1</v>
      </c>
      <c r="L281" s="3">
        <f t="shared" si="271"/>
        <v>1</v>
      </c>
      <c r="M281" s="3" t="e">
        <f t="shared" si="271"/>
        <v>#REF!</v>
      </c>
      <c r="N281" s="3">
        <f t="shared" si="271"/>
        <v>1</v>
      </c>
      <c r="O281" s="3">
        <f t="shared" si="271"/>
        <v>1</v>
      </c>
      <c r="P281" s="3">
        <f t="shared" si="271"/>
        <v>1</v>
      </c>
      <c r="Q281" s="3">
        <f t="shared" si="271"/>
        <v>1</v>
      </c>
      <c r="R281" s="3">
        <f t="shared" si="271"/>
        <v>1</v>
      </c>
      <c r="S281" s="3">
        <f t="shared" si="271"/>
        <v>1</v>
      </c>
      <c r="T281" s="3">
        <f t="shared" si="271"/>
        <v>1</v>
      </c>
      <c r="U281" s="3">
        <f t="shared" si="271"/>
        <v>1</v>
      </c>
      <c r="V281" s="3">
        <f t="shared" si="271"/>
        <v>1</v>
      </c>
      <c r="W281" s="3">
        <f t="shared" si="271"/>
        <v>1</v>
      </c>
    </row>
    <row r="282" customHeight="1" spans="1:23">
      <c r="A282" s="2">
        <v>269</v>
      </c>
      <c r="B282" s="3">
        <f t="shared" ref="B282:W282" si="272">MIN(1,IF($A282&lt;B$4+B$3,0,IF(B$2=0,1,IF(B$5=0,($A282-B$4)/B$2,IF(MOD($A282-B$4,B$5)=0,($A282-B$4)/B$2,QUOTIENT($A282-B$4,B$5)*B$5/B$2)))))</f>
        <v>1</v>
      </c>
      <c r="C282" s="3">
        <f t="shared" si="272"/>
        <v>1</v>
      </c>
      <c r="D282" s="3">
        <f t="shared" si="272"/>
        <v>1</v>
      </c>
      <c r="E282" s="3" t="e">
        <f t="shared" si="272"/>
        <v>#REF!</v>
      </c>
      <c r="F282" s="3">
        <f t="shared" si="272"/>
        <v>1</v>
      </c>
      <c r="G282" s="3">
        <f t="shared" si="272"/>
        <v>1</v>
      </c>
      <c r="H282" s="3">
        <f t="shared" si="272"/>
        <v>1</v>
      </c>
      <c r="I282" s="3">
        <f t="shared" si="272"/>
        <v>1</v>
      </c>
      <c r="J282" s="3">
        <f t="shared" si="272"/>
        <v>1</v>
      </c>
      <c r="K282" s="3">
        <f t="shared" si="272"/>
        <v>1</v>
      </c>
      <c r="L282" s="3">
        <f t="shared" si="272"/>
        <v>1</v>
      </c>
      <c r="M282" s="3" t="e">
        <f t="shared" si="272"/>
        <v>#REF!</v>
      </c>
      <c r="N282" s="3">
        <f t="shared" si="272"/>
        <v>1</v>
      </c>
      <c r="O282" s="3">
        <f t="shared" si="272"/>
        <v>1</v>
      </c>
      <c r="P282" s="3">
        <f t="shared" si="272"/>
        <v>1</v>
      </c>
      <c r="Q282" s="3">
        <f t="shared" si="272"/>
        <v>1</v>
      </c>
      <c r="R282" s="3">
        <f t="shared" si="272"/>
        <v>1</v>
      </c>
      <c r="S282" s="3">
        <f t="shared" si="272"/>
        <v>1</v>
      </c>
      <c r="T282" s="3">
        <f t="shared" si="272"/>
        <v>1</v>
      </c>
      <c r="U282" s="3">
        <f t="shared" si="272"/>
        <v>1</v>
      </c>
      <c r="V282" s="3">
        <f t="shared" si="272"/>
        <v>1</v>
      </c>
      <c r="W282" s="3">
        <f t="shared" si="272"/>
        <v>1</v>
      </c>
    </row>
    <row r="283" customHeight="1" spans="1:23">
      <c r="A283" s="2">
        <v>270</v>
      </c>
      <c r="B283" s="3">
        <f t="shared" ref="B283:W283" si="273">MIN(1,IF($A283&lt;B$4+B$3,0,IF(B$2=0,1,IF(B$5=0,($A283-B$4)/B$2,IF(MOD($A283-B$4,B$5)=0,($A283-B$4)/B$2,QUOTIENT($A283-B$4,B$5)*B$5/B$2)))))</f>
        <v>1</v>
      </c>
      <c r="C283" s="3">
        <f t="shared" si="273"/>
        <v>1</v>
      </c>
      <c r="D283" s="3">
        <f t="shared" si="273"/>
        <v>1</v>
      </c>
      <c r="E283" s="3" t="e">
        <f t="shared" si="273"/>
        <v>#REF!</v>
      </c>
      <c r="F283" s="3">
        <f t="shared" si="273"/>
        <v>1</v>
      </c>
      <c r="G283" s="3">
        <f t="shared" si="273"/>
        <v>1</v>
      </c>
      <c r="H283" s="3">
        <f t="shared" si="273"/>
        <v>1</v>
      </c>
      <c r="I283" s="3">
        <f t="shared" si="273"/>
        <v>1</v>
      </c>
      <c r="J283" s="3">
        <f t="shared" si="273"/>
        <v>1</v>
      </c>
      <c r="K283" s="3">
        <f t="shared" si="273"/>
        <v>1</v>
      </c>
      <c r="L283" s="3">
        <f t="shared" si="273"/>
        <v>1</v>
      </c>
      <c r="M283" s="3" t="e">
        <f t="shared" si="273"/>
        <v>#REF!</v>
      </c>
      <c r="N283" s="3">
        <f t="shared" si="273"/>
        <v>1</v>
      </c>
      <c r="O283" s="3">
        <f t="shared" si="273"/>
        <v>1</v>
      </c>
      <c r="P283" s="3">
        <f t="shared" si="273"/>
        <v>1</v>
      </c>
      <c r="Q283" s="3">
        <f t="shared" si="273"/>
        <v>1</v>
      </c>
      <c r="R283" s="3">
        <f t="shared" si="273"/>
        <v>1</v>
      </c>
      <c r="S283" s="3">
        <f t="shared" si="273"/>
        <v>1</v>
      </c>
      <c r="T283" s="3">
        <f t="shared" si="273"/>
        <v>1</v>
      </c>
      <c r="U283" s="3">
        <f t="shared" si="273"/>
        <v>1</v>
      </c>
      <c r="V283" s="3">
        <f t="shared" si="273"/>
        <v>1</v>
      </c>
      <c r="W283" s="3">
        <f t="shared" si="273"/>
        <v>1</v>
      </c>
    </row>
    <row r="284" customHeight="1" spans="1:23">
      <c r="A284" s="2">
        <v>271</v>
      </c>
      <c r="B284" s="3">
        <f t="shared" ref="B284:W284" si="274">MIN(1,IF($A284&lt;B$4+B$3,0,IF(B$2=0,1,IF(B$5=0,($A284-B$4)/B$2,IF(MOD($A284-B$4,B$5)=0,($A284-B$4)/B$2,QUOTIENT($A284-B$4,B$5)*B$5/B$2)))))</f>
        <v>1</v>
      </c>
      <c r="C284" s="3">
        <f t="shared" si="274"/>
        <v>1</v>
      </c>
      <c r="D284" s="3">
        <f t="shared" si="274"/>
        <v>1</v>
      </c>
      <c r="E284" s="3" t="e">
        <f t="shared" si="274"/>
        <v>#REF!</v>
      </c>
      <c r="F284" s="3">
        <f t="shared" si="274"/>
        <v>1</v>
      </c>
      <c r="G284" s="3">
        <f t="shared" si="274"/>
        <v>1</v>
      </c>
      <c r="H284" s="3">
        <f t="shared" si="274"/>
        <v>1</v>
      </c>
      <c r="I284" s="3">
        <f t="shared" si="274"/>
        <v>1</v>
      </c>
      <c r="J284" s="3">
        <f t="shared" si="274"/>
        <v>1</v>
      </c>
      <c r="K284" s="3">
        <f t="shared" si="274"/>
        <v>1</v>
      </c>
      <c r="L284" s="3">
        <f t="shared" si="274"/>
        <v>1</v>
      </c>
      <c r="M284" s="3" t="e">
        <f t="shared" si="274"/>
        <v>#REF!</v>
      </c>
      <c r="N284" s="3">
        <f t="shared" si="274"/>
        <v>1</v>
      </c>
      <c r="O284" s="3">
        <f t="shared" si="274"/>
        <v>1</v>
      </c>
      <c r="P284" s="3">
        <f t="shared" si="274"/>
        <v>1</v>
      </c>
      <c r="Q284" s="3">
        <f t="shared" si="274"/>
        <v>1</v>
      </c>
      <c r="R284" s="3">
        <f t="shared" si="274"/>
        <v>1</v>
      </c>
      <c r="S284" s="3">
        <f t="shared" si="274"/>
        <v>1</v>
      </c>
      <c r="T284" s="3">
        <f t="shared" si="274"/>
        <v>1</v>
      </c>
      <c r="U284" s="3">
        <f t="shared" si="274"/>
        <v>1</v>
      </c>
      <c r="V284" s="3">
        <f t="shared" si="274"/>
        <v>1</v>
      </c>
      <c r="W284" s="3">
        <f t="shared" si="274"/>
        <v>1</v>
      </c>
    </row>
    <row r="285" customHeight="1" spans="1:23">
      <c r="A285" s="2">
        <v>272</v>
      </c>
      <c r="B285" s="3">
        <f t="shared" ref="B285:W285" si="275">MIN(1,IF($A285&lt;B$4+B$3,0,IF(B$2=0,1,IF(B$5=0,($A285-B$4)/B$2,IF(MOD($A285-B$4,B$5)=0,($A285-B$4)/B$2,QUOTIENT($A285-B$4,B$5)*B$5/B$2)))))</f>
        <v>1</v>
      </c>
      <c r="C285" s="3">
        <f t="shared" si="275"/>
        <v>1</v>
      </c>
      <c r="D285" s="3">
        <f t="shared" si="275"/>
        <v>1</v>
      </c>
      <c r="E285" s="3" t="e">
        <f t="shared" si="275"/>
        <v>#REF!</v>
      </c>
      <c r="F285" s="3">
        <f t="shared" si="275"/>
        <v>1</v>
      </c>
      <c r="G285" s="3">
        <f t="shared" si="275"/>
        <v>1</v>
      </c>
      <c r="H285" s="3">
        <f t="shared" si="275"/>
        <v>1</v>
      </c>
      <c r="I285" s="3">
        <f t="shared" si="275"/>
        <v>1</v>
      </c>
      <c r="J285" s="3">
        <f t="shared" si="275"/>
        <v>1</v>
      </c>
      <c r="K285" s="3">
        <f t="shared" si="275"/>
        <v>1</v>
      </c>
      <c r="L285" s="3">
        <f t="shared" si="275"/>
        <v>1</v>
      </c>
      <c r="M285" s="3" t="e">
        <f t="shared" si="275"/>
        <v>#REF!</v>
      </c>
      <c r="N285" s="3">
        <f t="shared" si="275"/>
        <v>1</v>
      </c>
      <c r="O285" s="3">
        <f t="shared" si="275"/>
        <v>1</v>
      </c>
      <c r="P285" s="3">
        <f t="shared" si="275"/>
        <v>1</v>
      </c>
      <c r="Q285" s="3">
        <f t="shared" si="275"/>
        <v>1</v>
      </c>
      <c r="R285" s="3">
        <f t="shared" si="275"/>
        <v>1</v>
      </c>
      <c r="S285" s="3">
        <f t="shared" si="275"/>
        <v>1</v>
      </c>
      <c r="T285" s="3">
        <f t="shared" si="275"/>
        <v>1</v>
      </c>
      <c r="U285" s="3">
        <f t="shared" si="275"/>
        <v>1</v>
      </c>
      <c r="V285" s="3">
        <f t="shared" si="275"/>
        <v>1</v>
      </c>
      <c r="W285" s="3">
        <f t="shared" si="275"/>
        <v>1</v>
      </c>
    </row>
    <row r="286" customHeight="1" spans="1:23">
      <c r="A286" s="2">
        <v>273</v>
      </c>
      <c r="B286" s="3">
        <f t="shared" ref="B286:W286" si="276">MIN(1,IF($A286&lt;B$4+B$3,0,IF(B$2=0,1,IF(B$5=0,($A286-B$4)/B$2,IF(MOD($A286-B$4,B$5)=0,($A286-B$4)/B$2,QUOTIENT($A286-B$4,B$5)*B$5/B$2)))))</f>
        <v>1</v>
      </c>
      <c r="C286" s="3">
        <f t="shared" si="276"/>
        <v>1</v>
      </c>
      <c r="D286" s="3">
        <f t="shared" si="276"/>
        <v>1</v>
      </c>
      <c r="E286" s="3" t="e">
        <f t="shared" si="276"/>
        <v>#REF!</v>
      </c>
      <c r="F286" s="3">
        <f t="shared" si="276"/>
        <v>1</v>
      </c>
      <c r="G286" s="3">
        <f t="shared" si="276"/>
        <v>1</v>
      </c>
      <c r="H286" s="3">
        <f t="shared" si="276"/>
        <v>1</v>
      </c>
      <c r="I286" s="3">
        <f t="shared" si="276"/>
        <v>1</v>
      </c>
      <c r="J286" s="3">
        <f t="shared" si="276"/>
        <v>1</v>
      </c>
      <c r="K286" s="3">
        <f t="shared" si="276"/>
        <v>1</v>
      </c>
      <c r="L286" s="3">
        <f t="shared" si="276"/>
        <v>1</v>
      </c>
      <c r="M286" s="3" t="e">
        <f t="shared" si="276"/>
        <v>#REF!</v>
      </c>
      <c r="N286" s="3">
        <f t="shared" si="276"/>
        <v>1</v>
      </c>
      <c r="O286" s="3">
        <f t="shared" si="276"/>
        <v>1</v>
      </c>
      <c r="P286" s="3">
        <f t="shared" si="276"/>
        <v>1</v>
      </c>
      <c r="Q286" s="3">
        <f t="shared" si="276"/>
        <v>1</v>
      </c>
      <c r="R286" s="3">
        <f t="shared" si="276"/>
        <v>1</v>
      </c>
      <c r="S286" s="3">
        <f t="shared" si="276"/>
        <v>1</v>
      </c>
      <c r="T286" s="3">
        <f t="shared" si="276"/>
        <v>1</v>
      </c>
      <c r="U286" s="3">
        <f t="shared" si="276"/>
        <v>1</v>
      </c>
      <c r="V286" s="3">
        <f t="shared" si="276"/>
        <v>1</v>
      </c>
      <c r="W286" s="3">
        <f t="shared" si="276"/>
        <v>1</v>
      </c>
    </row>
    <row r="287" customHeight="1" spans="1:23">
      <c r="A287" s="2">
        <v>274</v>
      </c>
      <c r="B287" s="3">
        <f t="shared" ref="B287:W287" si="277">MIN(1,IF($A287&lt;B$4+B$3,0,IF(B$2=0,1,IF(B$5=0,($A287-B$4)/B$2,IF(MOD($A287-B$4,B$5)=0,($A287-B$4)/B$2,QUOTIENT($A287-B$4,B$5)*B$5/B$2)))))</f>
        <v>1</v>
      </c>
      <c r="C287" s="3">
        <f t="shared" si="277"/>
        <v>1</v>
      </c>
      <c r="D287" s="3">
        <f t="shared" si="277"/>
        <v>1</v>
      </c>
      <c r="E287" s="3" t="e">
        <f t="shared" si="277"/>
        <v>#REF!</v>
      </c>
      <c r="F287" s="3">
        <f t="shared" si="277"/>
        <v>1</v>
      </c>
      <c r="G287" s="3">
        <f t="shared" si="277"/>
        <v>1</v>
      </c>
      <c r="H287" s="3">
        <f t="shared" si="277"/>
        <v>1</v>
      </c>
      <c r="I287" s="3">
        <f t="shared" si="277"/>
        <v>1</v>
      </c>
      <c r="J287" s="3">
        <f t="shared" si="277"/>
        <v>1</v>
      </c>
      <c r="K287" s="3">
        <f t="shared" si="277"/>
        <v>1</v>
      </c>
      <c r="L287" s="3">
        <f t="shared" si="277"/>
        <v>1</v>
      </c>
      <c r="M287" s="3" t="e">
        <f t="shared" si="277"/>
        <v>#REF!</v>
      </c>
      <c r="N287" s="3">
        <f t="shared" si="277"/>
        <v>1</v>
      </c>
      <c r="O287" s="3">
        <f t="shared" si="277"/>
        <v>1</v>
      </c>
      <c r="P287" s="3">
        <f t="shared" si="277"/>
        <v>1</v>
      </c>
      <c r="Q287" s="3">
        <f t="shared" si="277"/>
        <v>1</v>
      </c>
      <c r="R287" s="3">
        <f t="shared" si="277"/>
        <v>1</v>
      </c>
      <c r="S287" s="3">
        <f t="shared" si="277"/>
        <v>1</v>
      </c>
      <c r="T287" s="3">
        <f t="shared" si="277"/>
        <v>1</v>
      </c>
      <c r="U287" s="3">
        <f t="shared" si="277"/>
        <v>1</v>
      </c>
      <c r="V287" s="3">
        <f t="shared" si="277"/>
        <v>1</v>
      </c>
      <c r="W287" s="3">
        <f t="shared" si="277"/>
        <v>1</v>
      </c>
    </row>
    <row r="288" customHeight="1" spans="1:23">
      <c r="A288" s="2">
        <v>275</v>
      </c>
      <c r="B288" s="3">
        <f t="shared" ref="B288:W288" si="278">MIN(1,IF($A288&lt;B$4+B$3,0,IF(B$2=0,1,IF(B$5=0,($A288-B$4)/B$2,IF(MOD($A288-B$4,B$5)=0,($A288-B$4)/B$2,QUOTIENT($A288-B$4,B$5)*B$5/B$2)))))</f>
        <v>1</v>
      </c>
      <c r="C288" s="3">
        <f t="shared" si="278"/>
        <v>1</v>
      </c>
      <c r="D288" s="3">
        <f t="shared" si="278"/>
        <v>1</v>
      </c>
      <c r="E288" s="3" t="e">
        <f t="shared" si="278"/>
        <v>#REF!</v>
      </c>
      <c r="F288" s="3">
        <f t="shared" si="278"/>
        <v>1</v>
      </c>
      <c r="G288" s="3">
        <f t="shared" si="278"/>
        <v>1</v>
      </c>
      <c r="H288" s="3">
        <f t="shared" si="278"/>
        <v>1</v>
      </c>
      <c r="I288" s="3">
        <f t="shared" si="278"/>
        <v>1</v>
      </c>
      <c r="J288" s="3">
        <f t="shared" si="278"/>
        <v>1</v>
      </c>
      <c r="K288" s="3">
        <f t="shared" si="278"/>
        <v>1</v>
      </c>
      <c r="L288" s="3">
        <f t="shared" si="278"/>
        <v>1</v>
      </c>
      <c r="M288" s="3" t="e">
        <f t="shared" si="278"/>
        <v>#REF!</v>
      </c>
      <c r="N288" s="3">
        <f t="shared" si="278"/>
        <v>1</v>
      </c>
      <c r="O288" s="3">
        <f t="shared" si="278"/>
        <v>1</v>
      </c>
      <c r="P288" s="3">
        <f t="shared" si="278"/>
        <v>1</v>
      </c>
      <c r="Q288" s="3">
        <f t="shared" si="278"/>
        <v>1</v>
      </c>
      <c r="R288" s="3">
        <f t="shared" si="278"/>
        <v>1</v>
      </c>
      <c r="S288" s="3">
        <f t="shared" si="278"/>
        <v>1</v>
      </c>
      <c r="T288" s="3">
        <f t="shared" si="278"/>
        <v>1</v>
      </c>
      <c r="U288" s="3">
        <f t="shared" si="278"/>
        <v>1</v>
      </c>
      <c r="V288" s="3">
        <f t="shared" si="278"/>
        <v>1</v>
      </c>
      <c r="W288" s="3">
        <f t="shared" si="278"/>
        <v>1</v>
      </c>
    </row>
    <row r="289" customHeight="1" spans="1:23">
      <c r="A289" s="2">
        <v>276</v>
      </c>
      <c r="B289" s="3">
        <f t="shared" ref="B289:W289" si="279">MIN(1,IF($A289&lt;B$4+B$3,0,IF(B$2=0,1,IF(B$5=0,($A289-B$4)/B$2,IF(MOD($A289-B$4,B$5)=0,($A289-B$4)/B$2,QUOTIENT($A289-B$4,B$5)*B$5/B$2)))))</f>
        <v>1</v>
      </c>
      <c r="C289" s="3">
        <f t="shared" si="279"/>
        <v>1</v>
      </c>
      <c r="D289" s="3">
        <f t="shared" si="279"/>
        <v>1</v>
      </c>
      <c r="E289" s="3" t="e">
        <f t="shared" si="279"/>
        <v>#REF!</v>
      </c>
      <c r="F289" s="3">
        <f t="shared" si="279"/>
        <v>1</v>
      </c>
      <c r="G289" s="3">
        <f t="shared" si="279"/>
        <v>1</v>
      </c>
      <c r="H289" s="3">
        <f t="shared" si="279"/>
        <v>1</v>
      </c>
      <c r="I289" s="3">
        <f t="shared" si="279"/>
        <v>1</v>
      </c>
      <c r="J289" s="3">
        <f t="shared" si="279"/>
        <v>1</v>
      </c>
      <c r="K289" s="3">
        <f t="shared" si="279"/>
        <v>1</v>
      </c>
      <c r="L289" s="3">
        <f t="shared" si="279"/>
        <v>1</v>
      </c>
      <c r="M289" s="3" t="e">
        <f t="shared" si="279"/>
        <v>#REF!</v>
      </c>
      <c r="N289" s="3">
        <f t="shared" si="279"/>
        <v>1</v>
      </c>
      <c r="O289" s="3">
        <f t="shared" si="279"/>
        <v>1</v>
      </c>
      <c r="P289" s="3">
        <f t="shared" si="279"/>
        <v>1</v>
      </c>
      <c r="Q289" s="3">
        <f t="shared" si="279"/>
        <v>1</v>
      </c>
      <c r="R289" s="3">
        <f t="shared" si="279"/>
        <v>1</v>
      </c>
      <c r="S289" s="3">
        <f t="shared" si="279"/>
        <v>1</v>
      </c>
      <c r="T289" s="3">
        <f t="shared" si="279"/>
        <v>1</v>
      </c>
      <c r="U289" s="3">
        <f t="shared" si="279"/>
        <v>1</v>
      </c>
      <c r="V289" s="3">
        <f t="shared" si="279"/>
        <v>1</v>
      </c>
      <c r="W289" s="3">
        <f t="shared" si="279"/>
        <v>1</v>
      </c>
    </row>
    <row r="290" customHeight="1" spans="1:23">
      <c r="A290" s="2">
        <v>277</v>
      </c>
      <c r="B290" s="3">
        <f t="shared" ref="B290:W290" si="280">MIN(1,IF($A290&lt;B$4+B$3,0,IF(B$2=0,1,IF(B$5=0,($A290-B$4)/B$2,IF(MOD($A290-B$4,B$5)=0,($A290-B$4)/B$2,QUOTIENT($A290-B$4,B$5)*B$5/B$2)))))</f>
        <v>1</v>
      </c>
      <c r="C290" s="3">
        <f t="shared" si="280"/>
        <v>1</v>
      </c>
      <c r="D290" s="3">
        <f t="shared" si="280"/>
        <v>1</v>
      </c>
      <c r="E290" s="3" t="e">
        <f t="shared" si="280"/>
        <v>#REF!</v>
      </c>
      <c r="F290" s="3">
        <f t="shared" si="280"/>
        <v>1</v>
      </c>
      <c r="G290" s="3">
        <f t="shared" si="280"/>
        <v>1</v>
      </c>
      <c r="H290" s="3">
        <f t="shared" si="280"/>
        <v>1</v>
      </c>
      <c r="I290" s="3">
        <f t="shared" si="280"/>
        <v>1</v>
      </c>
      <c r="J290" s="3">
        <f t="shared" si="280"/>
        <v>1</v>
      </c>
      <c r="K290" s="3">
        <f t="shared" si="280"/>
        <v>1</v>
      </c>
      <c r="L290" s="3">
        <f t="shared" si="280"/>
        <v>1</v>
      </c>
      <c r="M290" s="3" t="e">
        <f t="shared" si="280"/>
        <v>#REF!</v>
      </c>
      <c r="N290" s="3">
        <f t="shared" si="280"/>
        <v>1</v>
      </c>
      <c r="O290" s="3">
        <f t="shared" si="280"/>
        <v>1</v>
      </c>
      <c r="P290" s="3">
        <f t="shared" si="280"/>
        <v>1</v>
      </c>
      <c r="Q290" s="3">
        <f t="shared" si="280"/>
        <v>1</v>
      </c>
      <c r="R290" s="3">
        <f t="shared" si="280"/>
        <v>1</v>
      </c>
      <c r="S290" s="3">
        <f t="shared" si="280"/>
        <v>1</v>
      </c>
      <c r="T290" s="3">
        <f t="shared" si="280"/>
        <v>1</v>
      </c>
      <c r="U290" s="3">
        <f t="shared" si="280"/>
        <v>1</v>
      </c>
      <c r="V290" s="3">
        <f t="shared" si="280"/>
        <v>1</v>
      </c>
      <c r="W290" s="3">
        <f t="shared" si="280"/>
        <v>1</v>
      </c>
    </row>
    <row r="291" customHeight="1" spans="1:23">
      <c r="A291" s="2">
        <v>278</v>
      </c>
      <c r="B291" s="3">
        <f t="shared" ref="B291:W291" si="281">MIN(1,IF($A291&lt;B$4+B$3,0,IF(B$2=0,1,IF(B$5=0,($A291-B$4)/B$2,IF(MOD($A291-B$4,B$5)=0,($A291-B$4)/B$2,QUOTIENT($A291-B$4,B$5)*B$5/B$2)))))</f>
        <v>1</v>
      </c>
      <c r="C291" s="3">
        <f t="shared" si="281"/>
        <v>1</v>
      </c>
      <c r="D291" s="3">
        <f t="shared" si="281"/>
        <v>1</v>
      </c>
      <c r="E291" s="3" t="e">
        <f t="shared" si="281"/>
        <v>#REF!</v>
      </c>
      <c r="F291" s="3">
        <f t="shared" si="281"/>
        <v>1</v>
      </c>
      <c r="G291" s="3">
        <f t="shared" si="281"/>
        <v>1</v>
      </c>
      <c r="H291" s="3">
        <f t="shared" si="281"/>
        <v>1</v>
      </c>
      <c r="I291" s="3">
        <f t="shared" si="281"/>
        <v>1</v>
      </c>
      <c r="J291" s="3">
        <f t="shared" si="281"/>
        <v>1</v>
      </c>
      <c r="K291" s="3">
        <f t="shared" si="281"/>
        <v>1</v>
      </c>
      <c r="L291" s="3">
        <f t="shared" si="281"/>
        <v>1</v>
      </c>
      <c r="M291" s="3" t="e">
        <f t="shared" si="281"/>
        <v>#REF!</v>
      </c>
      <c r="N291" s="3">
        <f t="shared" si="281"/>
        <v>1</v>
      </c>
      <c r="O291" s="3">
        <f t="shared" si="281"/>
        <v>1</v>
      </c>
      <c r="P291" s="3">
        <f t="shared" si="281"/>
        <v>1</v>
      </c>
      <c r="Q291" s="3">
        <f t="shared" si="281"/>
        <v>1</v>
      </c>
      <c r="R291" s="3">
        <f t="shared" si="281"/>
        <v>1</v>
      </c>
      <c r="S291" s="3">
        <f t="shared" si="281"/>
        <v>1</v>
      </c>
      <c r="T291" s="3">
        <f t="shared" si="281"/>
        <v>1</v>
      </c>
      <c r="U291" s="3">
        <f t="shared" si="281"/>
        <v>1</v>
      </c>
      <c r="V291" s="3">
        <f t="shared" si="281"/>
        <v>1</v>
      </c>
      <c r="W291" s="3">
        <f t="shared" si="281"/>
        <v>1</v>
      </c>
    </row>
    <row r="292" customHeight="1" spans="1:23">
      <c r="A292" s="2">
        <v>279</v>
      </c>
      <c r="B292" s="3">
        <f t="shared" ref="B292:W292" si="282">MIN(1,IF($A292&lt;B$4+B$3,0,IF(B$2=0,1,IF(B$5=0,($A292-B$4)/B$2,IF(MOD($A292-B$4,B$5)=0,($A292-B$4)/B$2,QUOTIENT($A292-B$4,B$5)*B$5/B$2)))))</f>
        <v>1</v>
      </c>
      <c r="C292" s="3">
        <f t="shared" si="282"/>
        <v>1</v>
      </c>
      <c r="D292" s="3">
        <f t="shared" si="282"/>
        <v>1</v>
      </c>
      <c r="E292" s="3" t="e">
        <f t="shared" si="282"/>
        <v>#REF!</v>
      </c>
      <c r="F292" s="3">
        <f t="shared" si="282"/>
        <v>1</v>
      </c>
      <c r="G292" s="3">
        <f t="shared" si="282"/>
        <v>1</v>
      </c>
      <c r="H292" s="3">
        <f t="shared" si="282"/>
        <v>1</v>
      </c>
      <c r="I292" s="3">
        <f t="shared" si="282"/>
        <v>1</v>
      </c>
      <c r="J292" s="3">
        <f t="shared" si="282"/>
        <v>1</v>
      </c>
      <c r="K292" s="3">
        <f t="shared" si="282"/>
        <v>1</v>
      </c>
      <c r="L292" s="3">
        <f t="shared" si="282"/>
        <v>1</v>
      </c>
      <c r="M292" s="3" t="e">
        <f t="shared" si="282"/>
        <v>#REF!</v>
      </c>
      <c r="N292" s="3">
        <f t="shared" si="282"/>
        <v>1</v>
      </c>
      <c r="O292" s="3">
        <f t="shared" si="282"/>
        <v>1</v>
      </c>
      <c r="P292" s="3">
        <f t="shared" si="282"/>
        <v>1</v>
      </c>
      <c r="Q292" s="3">
        <f t="shared" si="282"/>
        <v>1</v>
      </c>
      <c r="R292" s="3">
        <f t="shared" si="282"/>
        <v>1</v>
      </c>
      <c r="S292" s="3">
        <f t="shared" si="282"/>
        <v>1</v>
      </c>
      <c r="T292" s="3">
        <f t="shared" si="282"/>
        <v>1</v>
      </c>
      <c r="U292" s="3">
        <f t="shared" si="282"/>
        <v>1</v>
      </c>
      <c r="V292" s="3">
        <f t="shared" si="282"/>
        <v>1</v>
      </c>
      <c r="W292" s="3">
        <f t="shared" si="282"/>
        <v>1</v>
      </c>
    </row>
    <row r="293" customHeight="1" spans="1:23">
      <c r="A293" s="2">
        <v>280</v>
      </c>
      <c r="B293" s="3">
        <f t="shared" ref="B293:W293" si="283">MIN(1,IF($A293&lt;B$4+B$3,0,IF(B$2=0,1,IF(B$5=0,($A293-B$4)/B$2,IF(MOD($A293-B$4,B$5)=0,($A293-B$4)/B$2,QUOTIENT($A293-B$4,B$5)*B$5/B$2)))))</f>
        <v>1</v>
      </c>
      <c r="C293" s="3">
        <f t="shared" si="283"/>
        <v>1</v>
      </c>
      <c r="D293" s="3">
        <f t="shared" si="283"/>
        <v>1</v>
      </c>
      <c r="E293" s="3" t="e">
        <f t="shared" si="283"/>
        <v>#REF!</v>
      </c>
      <c r="F293" s="3">
        <f t="shared" si="283"/>
        <v>1</v>
      </c>
      <c r="G293" s="3">
        <f t="shared" si="283"/>
        <v>1</v>
      </c>
      <c r="H293" s="3">
        <f t="shared" si="283"/>
        <v>1</v>
      </c>
      <c r="I293" s="3">
        <f t="shared" si="283"/>
        <v>1</v>
      </c>
      <c r="J293" s="3">
        <f t="shared" si="283"/>
        <v>1</v>
      </c>
      <c r="K293" s="3">
        <f t="shared" si="283"/>
        <v>1</v>
      </c>
      <c r="L293" s="3">
        <f t="shared" si="283"/>
        <v>1</v>
      </c>
      <c r="M293" s="3" t="e">
        <f t="shared" si="283"/>
        <v>#REF!</v>
      </c>
      <c r="N293" s="3">
        <f t="shared" si="283"/>
        <v>1</v>
      </c>
      <c r="O293" s="3">
        <f t="shared" si="283"/>
        <v>1</v>
      </c>
      <c r="P293" s="3">
        <f t="shared" si="283"/>
        <v>1</v>
      </c>
      <c r="Q293" s="3">
        <f t="shared" si="283"/>
        <v>1</v>
      </c>
      <c r="R293" s="3">
        <f t="shared" si="283"/>
        <v>1</v>
      </c>
      <c r="S293" s="3">
        <f t="shared" si="283"/>
        <v>1</v>
      </c>
      <c r="T293" s="3">
        <f t="shared" si="283"/>
        <v>1</v>
      </c>
      <c r="U293" s="3">
        <f t="shared" si="283"/>
        <v>1</v>
      </c>
      <c r="V293" s="3">
        <f t="shared" si="283"/>
        <v>1</v>
      </c>
      <c r="W293" s="3">
        <f t="shared" si="283"/>
        <v>1</v>
      </c>
    </row>
    <row r="294" customHeight="1" spans="1:23">
      <c r="A294" s="2">
        <v>281</v>
      </c>
      <c r="B294" s="3">
        <f t="shared" ref="B294:W294" si="284">MIN(1,IF($A294&lt;B$4+B$3,0,IF(B$2=0,1,IF(B$5=0,($A294-B$4)/B$2,IF(MOD($A294-B$4,B$5)=0,($A294-B$4)/B$2,QUOTIENT($A294-B$4,B$5)*B$5/B$2)))))</f>
        <v>1</v>
      </c>
      <c r="C294" s="3">
        <f t="shared" si="284"/>
        <v>1</v>
      </c>
      <c r="D294" s="3">
        <f t="shared" si="284"/>
        <v>1</v>
      </c>
      <c r="E294" s="3" t="e">
        <f t="shared" si="284"/>
        <v>#REF!</v>
      </c>
      <c r="F294" s="3">
        <f t="shared" si="284"/>
        <v>1</v>
      </c>
      <c r="G294" s="3">
        <f t="shared" si="284"/>
        <v>1</v>
      </c>
      <c r="H294" s="3">
        <f t="shared" si="284"/>
        <v>1</v>
      </c>
      <c r="I294" s="3">
        <f t="shared" si="284"/>
        <v>1</v>
      </c>
      <c r="J294" s="3">
        <f t="shared" si="284"/>
        <v>1</v>
      </c>
      <c r="K294" s="3">
        <f t="shared" si="284"/>
        <v>1</v>
      </c>
      <c r="L294" s="3">
        <f t="shared" si="284"/>
        <v>1</v>
      </c>
      <c r="M294" s="3" t="e">
        <f t="shared" si="284"/>
        <v>#REF!</v>
      </c>
      <c r="N294" s="3">
        <f t="shared" si="284"/>
        <v>1</v>
      </c>
      <c r="O294" s="3">
        <f t="shared" si="284"/>
        <v>1</v>
      </c>
      <c r="P294" s="3">
        <f t="shared" si="284"/>
        <v>1</v>
      </c>
      <c r="Q294" s="3">
        <f t="shared" si="284"/>
        <v>1</v>
      </c>
      <c r="R294" s="3">
        <f t="shared" si="284"/>
        <v>1</v>
      </c>
      <c r="S294" s="3">
        <f t="shared" si="284"/>
        <v>1</v>
      </c>
      <c r="T294" s="3">
        <f t="shared" si="284"/>
        <v>1</v>
      </c>
      <c r="U294" s="3">
        <f t="shared" si="284"/>
        <v>1</v>
      </c>
      <c r="V294" s="3">
        <f t="shared" si="284"/>
        <v>1</v>
      </c>
      <c r="W294" s="3">
        <f t="shared" si="284"/>
        <v>1</v>
      </c>
    </row>
    <row r="295" customHeight="1" spans="1:23">
      <c r="A295" s="2">
        <v>282</v>
      </c>
      <c r="B295" s="3">
        <f t="shared" ref="B295:W295" si="285">MIN(1,IF($A295&lt;B$4+B$3,0,IF(B$2=0,1,IF(B$5=0,($A295-B$4)/B$2,IF(MOD($A295-B$4,B$5)=0,($A295-B$4)/B$2,QUOTIENT($A295-B$4,B$5)*B$5/B$2)))))</f>
        <v>1</v>
      </c>
      <c r="C295" s="3">
        <f t="shared" si="285"/>
        <v>1</v>
      </c>
      <c r="D295" s="3">
        <f t="shared" si="285"/>
        <v>1</v>
      </c>
      <c r="E295" s="3" t="e">
        <f t="shared" si="285"/>
        <v>#REF!</v>
      </c>
      <c r="F295" s="3">
        <f t="shared" si="285"/>
        <v>1</v>
      </c>
      <c r="G295" s="3">
        <f t="shared" si="285"/>
        <v>1</v>
      </c>
      <c r="H295" s="3">
        <f t="shared" si="285"/>
        <v>1</v>
      </c>
      <c r="I295" s="3">
        <f t="shared" si="285"/>
        <v>1</v>
      </c>
      <c r="J295" s="3">
        <f t="shared" si="285"/>
        <v>1</v>
      </c>
      <c r="K295" s="3">
        <f t="shared" si="285"/>
        <v>1</v>
      </c>
      <c r="L295" s="3">
        <f t="shared" si="285"/>
        <v>1</v>
      </c>
      <c r="M295" s="3" t="e">
        <f t="shared" si="285"/>
        <v>#REF!</v>
      </c>
      <c r="N295" s="3">
        <f t="shared" si="285"/>
        <v>1</v>
      </c>
      <c r="O295" s="3">
        <f t="shared" si="285"/>
        <v>1</v>
      </c>
      <c r="P295" s="3">
        <f t="shared" si="285"/>
        <v>1</v>
      </c>
      <c r="Q295" s="3">
        <f t="shared" si="285"/>
        <v>1</v>
      </c>
      <c r="R295" s="3">
        <f t="shared" si="285"/>
        <v>1</v>
      </c>
      <c r="S295" s="3">
        <f t="shared" si="285"/>
        <v>1</v>
      </c>
      <c r="T295" s="3">
        <f t="shared" si="285"/>
        <v>1</v>
      </c>
      <c r="U295" s="3">
        <f t="shared" si="285"/>
        <v>1</v>
      </c>
      <c r="V295" s="3">
        <f t="shared" si="285"/>
        <v>1</v>
      </c>
      <c r="W295" s="3">
        <f t="shared" si="285"/>
        <v>1</v>
      </c>
    </row>
    <row r="296" customHeight="1" spans="1:23">
      <c r="A296" s="2">
        <v>283</v>
      </c>
      <c r="B296" s="3">
        <f t="shared" ref="B296:W296" si="286">MIN(1,IF($A296&lt;B$4+B$3,0,IF(B$2=0,1,IF(B$5=0,($A296-B$4)/B$2,IF(MOD($A296-B$4,B$5)=0,($A296-B$4)/B$2,QUOTIENT($A296-B$4,B$5)*B$5/B$2)))))</f>
        <v>1</v>
      </c>
      <c r="C296" s="3">
        <f t="shared" si="286"/>
        <v>1</v>
      </c>
      <c r="D296" s="3">
        <f t="shared" si="286"/>
        <v>1</v>
      </c>
      <c r="E296" s="3" t="e">
        <f t="shared" si="286"/>
        <v>#REF!</v>
      </c>
      <c r="F296" s="3">
        <f t="shared" si="286"/>
        <v>1</v>
      </c>
      <c r="G296" s="3">
        <f t="shared" si="286"/>
        <v>1</v>
      </c>
      <c r="H296" s="3">
        <f t="shared" si="286"/>
        <v>1</v>
      </c>
      <c r="I296" s="3">
        <f t="shared" si="286"/>
        <v>1</v>
      </c>
      <c r="J296" s="3">
        <f t="shared" si="286"/>
        <v>1</v>
      </c>
      <c r="K296" s="3">
        <f t="shared" si="286"/>
        <v>1</v>
      </c>
      <c r="L296" s="3">
        <f t="shared" si="286"/>
        <v>1</v>
      </c>
      <c r="M296" s="3" t="e">
        <f t="shared" si="286"/>
        <v>#REF!</v>
      </c>
      <c r="N296" s="3">
        <f t="shared" si="286"/>
        <v>1</v>
      </c>
      <c r="O296" s="3">
        <f t="shared" si="286"/>
        <v>1</v>
      </c>
      <c r="P296" s="3">
        <f t="shared" si="286"/>
        <v>1</v>
      </c>
      <c r="Q296" s="3">
        <f t="shared" si="286"/>
        <v>1</v>
      </c>
      <c r="R296" s="3">
        <f t="shared" si="286"/>
        <v>1</v>
      </c>
      <c r="S296" s="3">
        <f t="shared" si="286"/>
        <v>1</v>
      </c>
      <c r="T296" s="3">
        <f t="shared" si="286"/>
        <v>1</v>
      </c>
      <c r="U296" s="3">
        <f t="shared" si="286"/>
        <v>1</v>
      </c>
      <c r="V296" s="3">
        <f t="shared" si="286"/>
        <v>1</v>
      </c>
      <c r="W296" s="3">
        <f t="shared" si="286"/>
        <v>1</v>
      </c>
    </row>
    <row r="297" customHeight="1" spans="1:23">
      <c r="A297" s="2">
        <v>284</v>
      </c>
      <c r="B297" s="3">
        <f t="shared" ref="B297:W297" si="287">MIN(1,IF($A297&lt;B$4+B$3,0,IF(B$2=0,1,IF(B$5=0,($A297-B$4)/B$2,IF(MOD($A297-B$4,B$5)=0,($A297-B$4)/B$2,QUOTIENT($A297-B$4,B$5)*B$5/B$2)))))</f>
        <v>1</v>
      </c>
      <c r="C297" s="3">
        <f t="shared" si="287"/>
        <v>1</v>
      </c>
      <c r="D297" s="3">
        <f t="shared" si="287"/>
        <v>1</v>
      </c>
      <c r="E297" s="3" t="e">
        <f t="shared" si="287"/>
        <v>#REF!</v>
      </c>
      <c r="F297" s="3">
        <f t="shared" si="287"/>
        <v>1</v>
      </c>
      <c r="G297" s="3">
        <f t="shared" si="287"/>
        <v>1</v>
      </c>
      <c r="H297" s="3">
        <f t="shared" si="287"/>
        <v>1</v>
      </c>
      <c r="I297" s="3">
        <f t="shared" si="287"/>
        <v>1</v>
      </c>
      <c r="J297" s="3">
        <f t="shared" si="287"/>
        <v>1</v>
      </c>
      <c r="K297" s="3">
        <f t="shared" si="287"/>
        <v>1</v>
      </c>
      <c r="L297" s="3">
        <f t="shared" si="287"/>
        <v>1</v>
      </c>
      <c r="M297" s="3" t="e">
        <f t="shared" si="287"/>
        <v>#REF!</v>
      </c>
      <c r="N297" s="3">
        <f t="shared" si="287"/>
        <v>1</v>
      </c>
      <c r="O297" s="3">
        <f t="shared" si="287"/>
        <v>1</v>
      </c>
      <c r="P297" s="3">
        <f t="shared" si="287"/>
        <v>1</v>
      </c>
      <c r="Q297" s="3">
        <f t="shared" si="287"/>
        <v>1</v>
      </c>
      <c r="R297" s="3">
        <f t="shared" si="287"/>
        <v>1</v>
      </c>
      <c r="S297" s="3">
        <f t="shared" si="287"/>
        <v>1</v>
      </c>
      <c r="T297" s="3">
        <f t="shared" si="287"/>
        <v>1</v>
      </c>
      <c r="U297" s="3">
        <f t="shared" si="287"/>
        <v>1</v>
      </c>
      <c r="V297" s="3">
        <f t="shared" si="287"/>
        <v>1</v>
      </c>
      <c r="W297" s="3">
        <f t="shared" si="287"/>
        <v>1</v>
      </c>
    </row>
    <row r="298" customHeight="1" spans="1:23">
      <c r="A298" s="2">
        <v>285</v>
      </c>
      <c r="B298" s="3">
        <f t="shared" ref="B298:W298" si="288">MIN(1,IF($A298&lt;B$4+B$3,0,IF(B$2=0,1,IF(B$5=0,($A298-B$4)/B$2,IF(MOD($A298-B$4,B$5)=0,($A298-B$4)/B$2,QUOTIENT($A298-B$4,B$5)*B$5/B$2)))))</f>
        <v>1</v>
      </c>
      <c r="C298" s="3">
        <f t="shared" si="288"/>
        <v>1</v>
      </c>
      <c r="D298" s="3">
        <f t="shared" si="288"/>
        <v>1</v>
      </c>
      <c r="E298" s="3" t="e">
        <f t="shared" si="288"/>
        <v>#REF!</v>
      </c>
      <c r="F298" s="3">
        <f t="shared" si="288"/>
        <v>1</v>
      </c>
      <c r="G298" s="3">
        <f t="shared" si="288"/>
        <v>1</v>
      </c>
      <c r="H298" s="3">
        <f t="shared" si="288"/>
        <v>1</v>
      </c>
      <c r="I298" s="3">
        <f t="shared" si="288"/>
        <v>1</v>
      </c>
      <c r="J298" s="3">
        <f t="shared" si="288"/>
        <v>1</v>
      </c>
      <c r="K298" s="3">
        <f t="shared" si="288"/>
        <v>1</v>
      </c>
      <c r="L298" s="3">
        <f t="shared" si="288"/>
        <v>1</v>
      </c>
      <c r="M298" s="3" t="e">
        <f t="shared" si="288"/>
        <v>#REF!</v>
      </c>
      <c r="N298" s="3">
        <f t="shared" si="288"/>
        <v>1</v>
      </c>
      <c r="O298" s="3">
        <f t="shared" si="288"/>
        <v>1</v>
      </c>
      <c r="P298" s="3">
        <f t="shared" si="288"/>
        <v>1</v>
      </c>
      <c r="Q298" s="3">
        <f t="shared" si="288"/>
        <v>1</v>
      </c>
      <c r="R298" s="3">
        <f t="shared" si="288"/>
        <v>1</v>
      </c>
      <c r="S298" s="3">
        <f t="shared" si="288"/>
        <v>1</v>
      </c>
      <c r="T298" s="3">
        <f t="shared" si="288"/>
        <v>1</v>
      </c>
      <c r="U298" s="3">
        <f t="shared" si="288"/>
        <v>1</v>
      </c>
      <c r="V298" s="3">
        <f t="shared" si="288"/>
        <v>1</v>
      </c>
      <c r="W298" s="3">
        <f t="shared" si="288"/>
        <v>1</v>
      </c>
    </row>
    <row r="299" customHeight="1" spans="1:23">
      <c r="A299" s="2">
        <v>286</v>
      </c>
      <c r="B299" s="3">
        <f t="shared" ref="B299:W299" si="289">MIN(1,IF($A299&lt;B$4+B$3,0,IF(B$2=0,1,IF(B$5=0,($A299-B$4)/B$2,IF(MOD($A299-B$4,B$5)=0,($A299-B$4)/B$2,QUOTIENT($A299-B$4,B$5)*B$5/B$2)))))</f>
        <v>1</v>
      </c>
      <c r="C299" s="3">
        <f t="shared" si="289"/>
        <v>1</v>
      </c>
      <c r="D299" s="3">
        <f t="shared" si="289"/>
        <v>1</v>
      </c>
      <c r="E299" s="3" t="e">
        <f t="shared" si="289"/>
        <v>#REF!</v>
      </c>
      <c r="F299" s="3">
        <f t="shared" si="289"/>
        <v>1</v>
      </c>
      <c r="G299" s="3">
        <f t="shared" si="289"/>
        <v>1</v>
      </c>
      <c r="H299" s="3">
        <f t="shared" si="289"/>
        <v>1</v>
      </c>
      <c r="I299" s="3">
        <f t="shared" si="289"/>
        <v>1</v>
      </c>
      <c r="J299" s="3">
        <f t="shared" si="289"/>
        <v>1</v>
      </c>
      <c r="K299" s="3">
        <f t="shared" si="289"/>
        <v>1</v>
      </c>
      <c r="L299" s="3">
        <f t="shared" si="289"/>
        <v>1</v>
      </c>
      <c r="M299" s="3" t="e">
        <f t="shared" si="289"/>
        <v>#REF!</v>
      </c>
      <c r="N299" s="3">
        <f t="shared" si="289"/>
        <v>1</v>
      </c>
      <c r="O299" s="3">
        <f t="shared" si="289"/>
        <v>1</v>
      </c>
      <c r="P299" s="3">
        <f t="shared" si="289"/>
        <v>1</v>
      </c>
      <c r="Q299" s="3">
        <f t="shared" si="289"/>
        <v>1</v>
      </c>
      <c r="R299" s="3">
        <f t="shared" si="289"/>
        <v>1</v>
      </c>
      <c r="S299" s="3">
        <f t="shared" si="289"/>
        <v>1</v>
      </c>
      <c r="T299" s="3">
        <f t="shared" si="289"/>
        <v>1</v>
      </c>
      <c r="U299" s="3">
        <f t="shared" si="289"/>
        <v>1</v>
      </c>
      <c r="V299" s="3">
        <f t="shared" si="289"/>
        <v>1</v>
      </c>
      <c r="W299" s="3">
        <f t="shared" si="289"/>
        <v>1</v>
      </c>
    </row>
    <row r="300" customHeight="1" spans="1:23">
      <c r="A300" s="2">
        <v>287</v>
      </c>
      <c r="B300" s="3">
        <f t="shared" ref="B300:W300" si="290">MIN(1,IF($A300&lt;B$4+B$3,0,IF(B$2=0,1,IF(B$5=0,($A300-B$4)/B$2,IF(MOD($A300-B$4,B$5)=0,($A300-B$4)/B$2,QUOTIENT($A300-B$4,B$5)*B$5/B$2)))))</f>
        <v>1</v>
      </c>
      <c r="C300" s="3">
        <f t="shared" si="290"/>
        <v>1</v>
      </c>
      <c r="D300" s="3">
        <f t="shared" si="290"/>
        <v>1</v>
      </c>
      <c r="E300" s="3" t="e">
        <f t="shared" si="290"/>
        <v>#REF!</v>
      </c>
      <c r="F300" s="3">
        <f t="shared" si="290"/>
        <v>1</v>
      </c>
      <c r="G300" s="3">
        <f t="shared" si="290"/>
        <v>1</v>
      </c>
      <c r="H300" s="3">
        <f t="shared" si="290"/>
        <v>1</v>
      </c>
      <c r="I300" s="3">
        <f t="shared" si="290"/>
        <v>1</v>
      </c>
      <c r="J300" s="3">
        <f t="shared" si="290"/>
        <v>1</v>
      </c>
      <c r="K300" s="3">
        <f t="shared" si="290"/>
        <v>1</v>
      </c>
      <c r="L300" s="3">
        <f t="shared" si="290"/>
        <v>1</v>
      </c>
      <c r="M300" s="3" t="e">
        <f t="shared" si="290"/>
        <v>#REF!</v>
      </c>
      <c r="N300" s="3">
        <f t="shared" si="290"/>
        <v>1</v>
      </c>
      <c r="O300" s="3">
        <f t="shared" si="290"/>
        <v>1</v>
      </c>
      <c r="P300" s="3">
        <f t="shared" si="290"/>
        <v>1</v>
      </c>
      <c r="Q300" s="3">
        <f t="shared" si="290"/>
        <v>1</v>
      </c>
      <c r="R300" s="3">
        <f t="shared" si="290"/>
        <v>1</v>
      </c>
      <c r="S300" s="3">
        <f t="shared" si="290"/>
        <v>1</v>
      </c>
      <c r="T300" s="3">
        <f t="shared" si="290"/>
        <v>1</v>
      </c>
      <c r="U300" s="3">
        <f t="shared" si="290"/>
        <v>1</v>
      </c>
      <c r="V300" s="3">
        <f t="shared" si="290"/>
        <v>1</v>
      </c>
      <c r="W300" s="3">
        <f t="shared" si="290"/>
        <v>1</v>
      </c>
    </row>
    <row r="301" customHeight="1" spans="1:23">
      <c r="A301" s="2">
        <v>288</v>
      </c>
      <c r="B301" s="3">
        <f t="shared" ref="B301:W301" si="291">MIN(1,IF($A301&lt;B$4+B$3,0,IF(B$2=0,1,IF(B$5=0,($A301-B$4)/B$2,IF(MOD($A301-B$4,B$5)=0,($A301-B$4)/B$2,QUOTIENT($A301-B$4,B$5)*B$5/B$2)))))</f>
        <v>1</v>
      </c>
      <c r="C301" s="3">
        <f t="shared" si="291"/>
        <v>1</v>
      </c>
      <c r="D301" s="3">
        <f t="shared" si="291"/>
        <v>1</v>
      </c>
      <c r="E301" s="3" t="e">
        <f t="shared" si="291"/>
        <v>#REF!</v>
      </c>
      <c r="F301" s="3">
        <f t="shared" si="291"/>
        <v>1</v>
      </c>
      <c r="G301" s="3">
        <f t="shared" si="291"/>
        <v>1</v>
      </c>
      <c r="H301" s="3">
        <f t="shared" si="291"/>
        <v>1</v>
      </c>
      <c r="I301" s="3">
        <f t="shared" si="291"/>
        <v>1</v>
      </c>
      <c r="J301" s="3">
        <f t="shared" si="291"/>
        <v>1</v>
      </c>
      <c r="K301" s="3">
        <f t="shared" si="291"/>
        <v>1</v>
      </c>
      <c r="L301" s="3">
        <f t="shared" si="291"/>
        <v>1</v>
      </c>
      <c r="M301" s="3" t="e">
        <f t="shared" si="291"/>
        <v>#REF!</v>
      </c>
      <c r="N301" s="3">
        <f t="shared" si="291"/>
        <v>1</v>
      </c>
      <c r="O301" s="3">
        <f t="shared" si="291"/>
        <v>1</v>
      </c>
      <c r="P301" s="3">
        <f t="shared" si="291"/>
        <v>1</v>
      </c>
      <c r="Q301" s="3">
        <f t="shared" si="291"/>
        <v>1</v>
      </c>
      <c r="R301" s="3">
        <f t="shared" si="291"/>
        <v>1</v>
      </c>
      <c r="S301" s="3">
        <f t="shared" si="291"/>
        <v>1</v>
      </c>
      <c r="T301" s="3">
        <f t="shared" si="291"/>
        <v>1</v>
      </c>
      <c r="U301" s="3">
        <f t="shared" si="291"/>
        <v>1</v>
      </c>
      <c r="V301" s="3">
        <f t="shared" si="291"/>
        <v>1</v>
      </c>
      <c r="W301" s="3">
        <f t="shared" si="291"/>
        <v>1</v>
      </c>
    </row>
    <row r="302" customHeight="1" spans="1:23">
      <c r="A302" s="2">
        <v>289</v>
      </c>
      <c r="B302" s="3">
        <f t="shared" ref="B302:W302" si="292">MIN(1,IF($A302&lt;B$4+B$3,0,IF(B$2=0,1,IF(B$5=0,($A302-B$4)/B$2,IF(MOD($A302-B$4,B$5)=0,($A302-B$4)/B$2,QUOTIENT($A302-B$4,B$5)*B$5/B$2)))))</f>
        <v>1</v>
      </c>
      <c r="C302" s="3">
        <f t="shared" si="292"/>
        <v>1</v>
      </c>
      <c r="D302" s="3">
        <f t="shared" si="292"/>
        <v>1</v>
      </c>
      <c r="E302" s="3" t="e">
        <f t="shared" si="292"/>
        <v>#REF!</v>
      </c>
      <c r="F302" s="3">
        <f t="shared" si="292"/>
        <v>1</v>
      </c>
      <c r="G302" s="3">
        <f t="shared" si="292"/>
        <v>1</v>
      </c>
      <c r="H302" s="3">
        <f t="shared" si="292"/>
        <v>1</v>
      </c>
      <c r="I302" s="3">
        <f t="shared" si="292"/>
        <v>1</v>
      </c>
      <c r="J302" s="3">
        <f t="shared" si="292"/>
        <v>1</v>
      </c>
      <c r="K302" s="3">
        <f t="shared" si="292"/>
        <v>1</v>
      </c>
      <c r="L302" s="3">
        <f t="shared" si="292"/>
        <v>1</v>
      </c>
      <c r="M302" s="3" t="e">
        <f t="shared" si="292"/>
        <v>#REF!</v>
      </c>
      <c r="N302" s="3">
        <f t="shared" si="292"/>
        <v>1</v>
      </c>
      <c r="O302" s="3">
        <f t="shared" si="292"/>
        <v>1</v>
      </c>
      <c r="P302" s="3">
        <f t="shared" si="292"/>
        <v>1</v>
      </c>
      <c r="Q302" s="3">
        <f t="shared" si="292"/>
        <v>1</v>
      </c>
      <c r="R302" s="3">
        <f t="shared" si="292"/>
        <v>1</v>
      </c>
      <c r="S302" s="3">
        <f t="shared" si="292"/>
        <v>1</v>
      </c>
      <c r="T302" s="3">
        <f t="shared" si="292"/>
        <v>1</v>
      </c>
      <c r="U302" s="3">
        <f t="shared" si="292"/>
        <v>1</v>
      </c>
      <c r="V302" s="3">
        <f t="shared" si="292"/>
        <v>1</v>
      </c>
      <c r="W302" s="3">
        <f t="shared" si="292"/>
        <v>1</v>
      </c>
    </row>
    <row r="303" customHeight="1" spans="1:23">
      <c r="A303" s="2">
        <v>290</v>
      </c>
      <c r="B303" s="3">
        <f t="shared" ref="B303:W303" si="293">MIN(1,IF($A303&lt;B$4+B$3,0,IF(B$2=0,1,IF(B$5=0,($A303-B$4)/B$2,IF(MOD($A303-B$4,B$5)=0,($A303-B$4)/B$2,QUOTIENT($A303-B$4,B$5)*B$5/B$2)))))</f>
        <v>1</v>
      </c>
      <c r="C303" s="3">
        <f t="shared" si="293"/>
        <v>1</v>
      </c>
      <c r="D303" s="3">
        <f t="shared" si="293"/>
        <v>1</v>
      </c>
      <c r="E303" s="3" t="e">
        <f t="shared" si="293"/>
        <v>#REF!</v>
      </c>
      <c r="F303" s="3">
        <f t="shared" si="293"/>
        <v>1</v>
      </c>
      <c r="G303" s="3">
        <f t="shared" si="293"/>
        <v>1</v>
      </c>
      <c r="H303" s="3">
        <f t="shared" si="293"/>
        <v>1</v>
      </c>
      <c r="I303" s="3">
        <f t="shared" si="293"/>
        <v>1</v>
      </c>
      <c r="J303" s="3">
        <f t="shared" si="293"/>
        <v>1</v>
      </c>
      <c r="K303" s="3">
        <f t="shared" si="293"/>
        <v>1</v>
      </c>
      <c r="L303" s="3">
        <f t="shared" si="293"/>
        <v>1</v>
      </c>
      <c r="M303" s="3" t="e">
        <f t="shared" si="293"/>
        <v>#REF!</v>
      </c>
      <c r="N303" s="3">
        <f t="shared" si="293"/>
        <v>1</v>
      </c>
      <c r="O303" s="3">
        <f t="shared" si="293"/>
        <v>1</v>
      </c>
      <c r="P303" s="3">
        <f t="shared" si="293"/>
        <v>1</v>
      </c>
      <c r="Q303" s="3">
        <f t="shared" si="293"/>
        <v>1</v>
      </c>
      <c r="R303" s="3">
        <f t="shared" si="293"/>
        <v>1</v>
      </c>
      <c r="S303" s="3">
        <f t="shared" si="293"/>
        <v>1</v>
      </c>
      <c r="T303" s="3">
        <f t="shared" si="293"/>
        <v>1</v>
      </c>
      <c r="U303" s="3">
        <f t="shared" si="293"/>
        <v>1</v>
      </c>
      <c r="V303" s="3">
        <f t="shared" si="293"/>
        <v>1</v>
      </c>
      <c r="W303" s="3">
        <f t="shared" si="293"/>
        <v>1</v>
      </c>
    </row>
    <row r="304" customHeight="1" spans="1:23">
      <c r="A304" s="2">
        <v>291</v>
      </c>
      <c r="B304" s="3">
        <f t="shared" ref="B304:W304" si="294">MIN(1,IF($A304&lt;B$4+B$3,0,IF(B$2=0,1,IF(B$5=0,($A304-B$4)/B$2,IF(MOD($A304-B$4,B$5)=0,($A304-B$4)/B$2,QUOTIENT($A304-B$4,B$5)*B$5/B$2)))))</f>
        <v>1</v>
      </c>
      <c r="C304" s="3">
        <f t="shared" si="294"/>
        <v>1</v>
      </c>
      <c r="D304" s="3">
        <f t="shared" si="294"/>
        <v>1</v>
      </c>
      <c r="E304" s="3" t="e">
        <f t="shared" si="294"/>
        <v>#REF!</v>
      </c>
      <c r="F304" s="3">
        <f t="shared" si="294"/>
        <v>1</v>
      </c>
      <c r="G304" s="3">
        <f t="shared" si="294"/>
        <v>1</v>
      </c>
      <c r="H304" s="3">
        <f t="shared" si="294"/>
        <v>1</v>
      </c>
      <c r="I304" s="3">
        <f t="shared" si="294"/>
        <v>1</v>
      </c>
      <c r="J304" s="3">
        <f t="shared" si="294"/>
        <v>1</v>
      </c>
      <c r="K304" s="3">
        <f t="shared" si="294"/>
        <v>1</v>
      </c>
      <c r="L304" s="3">
        <f t="shared" si="294"/>
        <v>1</v>
      </c>
      <c r="M304" s="3" t="e">
        <f t="shared" si="294"/>
        <v>#REF!</v>
      </c>
      <c r="N304" s="3">
        <f t="shared" si="294"/>
        <v>1</v>
      </c>
      <c r="O304" s="3">
        <f t="shared" si="294"/>
        <v>1</v>
      </c>
      <c r="P304" s="3">
        <f t="shared" si="294"/>
        <v>1</v>
      </c>
      <c r="Q304" s="3">
        <f t="shared" si="294"/>
        <v>1</v>
      </c>
      <c r="R304" s="3">
        <f t="shared" si="294"/>
        <v>1</v>
      </c>
      <c r="S304" s="3">
        <f t="shared" si="294"/>
        <v>1</v>
      </c>
      <c r="T304" s="3">
        <f t="shared" si="294"/>
        <v>1</v>
      </c>
      <c r="U304" s="3">
        <f t="shared" si="294"/>
        <v>1</v>
      </c>
      <c r="V304" s="3">
        <f t="shared" si="294"/>
        <v>1</v>
      </c>
      <c r="W304" s="3">
        <f t="shared" si="294"/>
        <v>1</v>
      </c>
    </row>
    <row r="305" customHeight="1" spans="1:23">
      <c r="A305" s="2">
        <v>292</v>
      </c>
      <c r="B305" s="3">
        <f t="shared" ref="B305:W305" si="295">MIN(1,IF($A305&lt;B$4+B$3,0,IF(B$2=0,1,IF(B$5=0,($A305-B$4)/B$2,IF(MOD($A305-B$4,B$5)=0,($A305-B$4)/B$2,QUOTIENT($A305-B$4,B$5)*B$5/B$2)))))</f>
        <v>1</v>
      </c>
      <c r="C305" s="3">
        <f t="shared" si="295"/>
        <v>1</v>
      </c>
      <c r="D305" s="3">
        <f t="shared" si="295"/>
        <v>1</v>
      </c>
      <c r="E305" s="3" t="e">
        <f t="shared" si="295"/>
        <v>#REF!</v>
      </c>
      <c r="F305" s="3">
        <f t="shared" si="295"/>
        <v>1</v>
      </c>
      <c r="G305" s="3">
        <f t="shared" si="295"/>
        <v>1</v>
      </c>
      <c r="H305" s="3">
        <f t="shared" si="295"/>
        <v>1</v>
      </c>
      <c r="I305" s="3">
        <f t="shared" si="295"/>
        <v>1</v>
      </c>
      <c r="J305" s="3">
        <f t="shared" si="295"/>
        <v>1</v>
      </c>
      <c r="K305" s="3">
        <f t="shared" si="295"/>
        <v>1</v>
      </c>
      <c r="L305" s="3">
        <f t="shared" si="295"/>
        <v>1</v>
      </c>
      <c r="M305" s="3" t="e">
        <f t="shared" si="295"/>
        <v>#REF!</v>
      </c>
      <c r="N305" s="3">
        <f t="shared" si="295"/>
        <v>1</v>
      </c>
      <c r="O305" s="3">
        <f t="shared" si="295"/>
        <v>1</v>
      </c>
      <c r="P305" s="3">
        <f t="shared" si="295"/>
        <v>1</v>
      </c>
      <c r="Q305" s="3">
        <f t="shared" si="295"/>
        <v>1</v>
      </c>
      <c r="R305" s="3">
        <f t="shared" si="295"/>
        <v>1</v>
      </c>
      <c r="S305" s="3">
        <f t="shared" si="295"/>
        <v>1</v>
      </c>
      <c r="T305" s="3">
        <f t="shared" si="295"/>
        <v>1</v>
      </c>
      <c r="U305" s="3">
        <f t="shared" si="295"/>
        <v>1</v>
      </c>
      <c r="V305" s="3">
        <f t="shared" si="295"/>
        <v>1</v>
      </c>
      <c r="W305" s="3">
        <f t="shared" si="295"/>
        <v>1</v>
      </c>
    </row>
    <row r="306" customHeight="1" spans="1:23">
      <c r="A306" s="2">
        <v>293</v>
      </c>
      <c r="B306" s="3">
        <f t="shared" ref="B306:W306" si="296">MIN(1,IF($A306&lt;B$4+B$3,0,IF(B$2=0,1,IF(B$5=0,($A306-B$4)/B$2,IF(MOD($A306-B$4,B$5)=0,($A306-B$4)/B$2,QUOTIENT($A306-B$4,B$5)*B$5/B$2)))))</f>
        <v>1</v>
      </c>
      <c r="C306" s="3">
        <f t="shared" si="296"/>
        <v>1</v>
      </c>
      <c r="D306" s="3">
        <f t="shared" si="296"/>
        <v>1</v>
      </c>
      <c r="E306" s="3" t="e">
        <f t="shared" si="296"/>
        <v>#REF!</v>
      </c>
      <c r="F306" s="3">
        <f t="shared" si="296"/>
        <v>1</v>
      </c>
      <c r="G306" s="3">
        <f t="shared" si="296"/>
        <v>1</v>
      </c>
      <c r="H306" s="3">
        <f t="shared" si="296"/>
        <v>1</v>
      </c>
      <c r="I306" s="3">
        <f t="shared" si="296"/>
        <v>1</v>
      </c>
      <c r="J306" s="3">
        <f t="shared" si="296"/>
        <v>1</v>
      </c>
      <c r="K306" s="3">
        <f t="shared" si="296"/>
        <v>1</v>
      </c>
      <c r="L306" s="3">
        <f t="shared" si="296"/>
        <v>1</v>
      </c>
      <c r="M306" s="3" t="e">
        <f t="shared" si="296"/>
        <v>#REF!</v>
      </c>
      <c r="N306" s="3">
        <f t="shared" si="296"/>
        <v>1</v>
      </c>
      <c r="O306" s="3">
        <f t="shared" si="296"/>
        <v>1</v>
      </c>
      <c r="P306" s="3">
        <f t="shared" si="296"/>
        <v>1</v>
      </c>
      <c r="Q306" s="3">
        <f t="shared" si="296"/>
        <v>1</v>
      </c>
      <c r="R306" s="3">
        <f t="shared" si="296"/>
        <v>1</v>
      </c>
      <c r="S306" s="3">
        <f t="shared" si="296"/>
        <v>1</v>
      </c>
      <c r="T306" s="3">
        <f t="shared" si="296"/>
        <v>1</v>
      </c>
      <c r="U306" s="3">
        <f t="shared" si="296"/>
        <v>1</v>
      </c>
      <c r="V306" s="3">
        <f t="shared" si="296"/>
        <v>1</v>
      </c>
      <c r="W306" s="3">
        <f t="shared" si="296"/>
        <v>1</v>
      </c>
    </row>
    <row r="307" customHeight="1" spans="1:23">
      <c r="A307" s="2">
        <v>294</v>
      </c>
      <c r="B307" s="3">
        <f t="shared" ref="B307:W307" si="297">MIN(1,IF($A307&lt;B$4+B$3,0,IF(B$2=0,1,IF(B$5=0,($A307-B$4)/B$2,IF(MOD($A307-B$4,B$5)=0,($A307-B$4)/B$2,QUOTIENT($A307-B$4,B$5)*B$5/B$2)))))</f>
        <v>1</v>
      </c>
      <c r="C307" s="3">
        <f t="shared" si="297"/>
        <v>1</v>
      </c>
      <c r="D307" s="3">
        <f t="shared" si="297"/>
        <v>1</v>
      </c>
      <c r="E307" s="3" t="e">
        <f t="shared" si="297"/>
        <v>#REF!</v>
      </c>
      <c r="F307" s="3">
        <f t="shared" si="297"/>
        <v>1</v>
      </c>
      <c r="G307" s="3">
        <f t="shared" si="297"/>
        <v>1</v>
      </c>
      <c r="H307" s="3">
        <f t="shared" si="297"/>
        <v>1</v>
      </c>
      <c r="I307" s="3">
        <f t="shared" si="297"/>
        <v>1</v>
      </c>
      <c r="J307" s="3">
        <f t="shared" si="297"/>
        <v>1</v>
      </c>
      <c r="K307" s="3">
        <f t="shared" si="297"/>
        <v>1</v>
      </c>
      <c r="L307" s="3">
        <f t="shared" si="297"/>
        <v>1</v>
      </c>
      <c r="M307" s="3" t="e">
        <f t="shared" si="297"/>
        <v>#REF!</v>
      </c>
      <c r="N307" s="3">
        <f t="shared" si="297"/>
        <v>1</v>
      </c>
      <c r="O307" s="3">
        <f t="shared" si="297"/>
        <v>1</v>
      </c>
      <c r="P307" s="3">
        <f t="shared" si="297"/>
        <v>1</v>
      </c>
      <c r="Q307" s="3">
        <f t="shared" si="297"/>
        <v>1</v>
      </c>
      <c r="R307" s="3">
        <f t="shared" si="297"/>
        <v>1</v>
      </c>
      <c r="S307" s="3">
        <f t="shared" si="297"/>
        <v>1</v>
      </c>
      <c r="T307" s="3">
        <f t="shared" si="297"/>
        <v>1</v>
      </c>
      <c r="U307" s="3">
        <f t="shared" si="297"/>
        <v>1</v>
      </c>
      <c r="V307" s="3">
        <f t="shared" si="297"/>
        <v>1</v>
      </c>
      <c r="W307" s="3">
        <f t="shared" si="297"/>
        <v>1</v>
      </c>
    </row>
    <row r="308" customHeight="1" spans="1:23">
      <c r="A308" s="2">
        <v>295</v>
      </c>
      <c r="B308" s="3">
        <f t="shared" ref="B308:W308" si="298">MIN(1,IF($A308&lt;B$4+B$3,0,IF(B$2=0,1,IF(B$5=0,($A308-B$4)/B$2,IF(MOD($A308-B$4,B$5)=0,($A308-B$4)/B$2,QUOTIENT($A308-B$4,B$5)*B$5/B$2)))))</f>
        <v>1</v>
      </c>
      <c r="C308" s="3">
        <f t="shared" si="298"/>
        <v>1</v>
      </c>
      <c r="D308" s="3">
        <f t="shared" si="298"/>
        <v>1</v>
      </c>
      <c r="E308" s="3" t="e">
        <f t="shared" si="298"/>
        <v>#REF!</v>
      </c>
      <c r="F308" s="3">
        <f t="shared" si="298"/>
        <v>1</v>
      </c>
      <c r="G308" s="3">
        <f t="shared" si="298"/>
        <v>1</v>
      </c>
      <c r="H308" s="3">
        <f t="shared" si="298"/>
        <v>1</v>
      </c>
      <c r="I308" s="3">
        <f t="shared" si="298"/>
        <v>1</v>
      </c>
      <c r="J308" s="3">
        <f t="shared" si="298"/>
        <v>1</v>
      </c>
      <c r="K308" s="3">
        <f t="shared" si="298"/>
        <v>1</v>
      </c>
      <c r="L308" s="3">
        <f t="shared" si="298"/>
        <v>1</v>
      </c>
      <c r="M308" s="3" t="e">
        <f t="shared" si="298"/>
        <v>#REF!</v>
      </c>
      <c r="N308" s="3">
        <f t="shared" si="298"/>
        <v>1</v>
      </c>
      <c r="O308" s="3">
        <f t="shared" si="298"/>
        <v>1</v>
      </c>
      <c r="P308" s="3">
        <f t="shared" si="298"/>
        <v>1</v>
      </c>
      <c r="Q308" s="3">
        <f t="shared" si="298"/>
        <v>1</v>
      </c>
      <c r="R308" s="3">
        <f t="shared" si="298"/>
        <v>1</v>
      </c>
      <c r="S308" s="3">
        <f t="shared" si="298"/>
        <v>1</v>
      </c>
      <c r="T308" s="3">
        <f t="shared" si="298"/>
        <v>1</v>
      </c>
      <c r="U308" s="3">
        <f t="shared" si="298"/>
        <v>1</v>
      </c>
      <c r="V308" s="3">
        <f t="shared" si="298"/>
        <v>1</v>
      </c>
      <c r="W308" s="3">
        <f t="shared" si="298"/>
        <v>1</v>
      </c>
    </row>
    <row r="309" customHeight="1" spans="1:23">
      <c r="A309" s="2">
        <v>296</v>
      </c>
      <c r="B309" s="3">
        <f t="shared" ref="B309:W309" si="299">MIN(1,IF($A309&lt;B$4+B$3,0,IF(B$2=0,1,IF(B$5=0,($A309-B$4)/B$2,IF(MOD($A309-B$4,B$5)=0,($A309-B$4)/B$2,QUOTIENT($A309-B$4,B$5)*B$5/B$2)))))</f>
        <v>1</v>
      </c>
      <c r="C309" s="3">
        <f t="shared" si="299"/>
        <v>1</v>
      </c>
      <c r="D309" s="3">
        <f t="shared" si="299"/>
        <v>1</v>
      </c>
      <c r="E309" s="3" t="e">
        <f t="shared" si="299"/>
        <v>#REF!</v>
      </c>
      <c r="F309" s="3">
        <f t="shared" si="299"/>
        <v>1</v>
      </c>
      <c r="G309" s="3">
        <f t="shared" si="299"/>
        <v>1</v>
      </c>
      <c r="H309" s="3">
        <f t="shared" si="299"/>
        <v>1</v>
      </c>
      <c r="I309" s="3">
        <f t="shared" si="299"/>
        <v>1</v>
      </c>
      <c r="J309" s="3">
        <f t="shared" si="299"/>
        <v>1</v>
      </c>
      <c r="K309" s="3">
        <f t="shared" si="299"/>
        <v>1</v>
      </c>
      <c r="L309" s="3">
        <f t="shared" si="299"/>
        <v>1</v>
      </c>
      <c r="M309" s="3" t="e">
        <f t="shared" si="299"/>
        <v>#REF!</v>
      </c>
      <c r="N309" s="3">
        <f t="shared" si="299"/>
        <v>1</v>
      </c>
      <c r="O309" s="3">
        <f t="shared" si="299"/>
        <v>1</v>
      </c>
      <c r="P309" s="3">
        <f t="shared" si="299"/>
        <v>1</v>
      </c>
      <c r="Q309" s="3">
        <f t="shared" si="299"/>
        <v>1</v>
      </c>
      <c r="R309" s="3">
        <f t="shared" si="299"/>
        <v>1</v>
      </c>
      <c r="S309" s="3">
        <f t="shared" si="299"/>
        <v>1</v>
      </c>
      <c r="T309" s="3">
        <f t="shared" si="299"/>
        <v>1</v>
      </c>
      <c r="U309" s="3">
        <f t="shared" si="299"/>
        <v>1</v>
      </c>
      <c r="V309" s="3">
        <f t="shared" si="299"/>
        <v>1</v>
      </c>
      <c r="W309" s="3">
        <f t="shared" si="299"/>
        <v>1</v>
      </c>
    </row>
    <row r="310" customHeight="1" spans="1:23">
      <c r="A310" s="2">
        <v>297</v>
      </c>
      <c r="B310" s="3">
        <f t="shared" ref="B310:W310" si="300">MIN(1,IF($A310&lt;B$4+B$3,0,IF(B$2=0,1,IF(B$5=0,($A310-B$4)/B$2,IF(MOD($A310-B$4,B$5)=0,($A310-B$4)/B$2,QUOTIENT($A310-B$4,B$5)*B$5/B$2)))))</f>
        <v>1</v>
      </c>
      <c r="C310" s="3">
        <f t="shared" si="300"/>
        <v>1</v>
      </c>
      <c r="D310" s="3">
        <f t="shared" si="300"/>
        <v>1</v>
      </c>
      <c r="E310" s="3" t="e">
        <f t="shared" si="300"/>
        <v>#REF!</v>
      </c>
      <c r="F310" s="3">
        <f t="shared" si="300"/>
        <v>1</v>
      </c>
      <c r="G310" s="3">
        <f t="shared" si="300"/>
        <v>1</v>
      </c>
      <c r="H310" s="3">
        <f t="shared" si="300"/>
        <v>1</v>
      </c>
      <c r="I310" s="3">
        <f t="shared" si="300"/>
        <v>1</v>
      </c>
      <c r="J310" s="3">
        <f t="shared" si="300"/>
        <v>1</v>
      </c>
      <c r="K310" s="3">
        <f t="shared" si="300"/>
        <v>1</v>
      </c>
      <c r="L310" s="3">
        <f t="shared" si="300"/>
        <v>1</v>
      </c>
      <c r="M310" s="3" t="e">
        <f t="shared" si="300"/>
        <v>#REF!</v>
      </c>
      <c r="N310" s="3">
        <f t="shared" si="300"/>
        <v>1</v>
      </c>
      <c r="O310" s="3">
        <f t="shared" si="300"/>
        <v>1</v>
      </c>
      <c r="P310" s="3">
        <f t="shared" si="300"/>
        <v>1</v>
      </c>
      <c r="Q310" s="3">
        <f t="shared" si="300"/>
        <v>1</v>
      </c>
      <c r="R310" s="3">
        <f t="shared" si="300"/>
        <v>1</v>
      </c>
      <c r="S310" s="3">
        <f t="shared" si="300"/>
        <v>1</v>
      </c>
      <c r="T310" s="3">
        <f t="shared" si="300"/>
        <v>1</v>
      </c>
      <c r="U310" s="3">
        <f t="shared" si="300"/>
        <v>1</v>
      </c>
      <c r="V310" s="3">
        <f t="shared" si="300"/>
        <v>1</v>
      </c>
      <c r="W310" s="3">
        <f t="shared" si="300"/>
        <v>1</v>
      </c>
    </row>
    <row r="311" customHeight="1" spans="1:23">
      <c r="A311" s="2">
        <v>298</v>
      </c>
      <c r="B311" s="3">
        <f t="shared" ref="B311:W311" si="301">MIN(1,IF($A311&lt;B$4+B$3,0,IF(B$2=0,1,IF(B$5=0,($A311-B$4)/B$2,IF(MOD($A311-B$4,B$5)=0,($A311-B$4)/B$2,QUOTIENT($A311-B$4,B$5)*B$5/B$2)))))</f>
        <v>1</v>
      </c>
      <c r="C311" s="3">
        <f t="shared" si="301"/>
        <v>1</v>
      </c>
      <c r="D311" s="3">
        <f t="shared" si="301"/>
        <v>1</v>
      </c>
      <c r="E311" s="3" t="e">
        <f t="shared" si="301"/>
        <v>#REF!</v>
      </c>
      <c r="F311" s="3">
        <f t="shared" si="301"/>
        <v>1</v>
      </c>
      <c r="G311" s="3">
        <f t="shared" si="301"/>
        <v>1</v>
      </c>
      <c r="H311" s="3">
        <f t="shared" si="301"/>
        <v>1</v>
      </c>
      <c r="I311" s="3">
        <f t="shared" si="301"/>
        <v>1</v>
      </c>
      <c r="J311" s="3">
        <f t="shared" si="301"/>
        <v>1</v>
      </c>
      <c r="K311" s="3">
        <f t="shared" si="301"/>
        <v>1</v>
      </c>
      <c r="L311" s="3">
        <f t="shared" si="301"/>
        <v>1</v>
      </c>
      <c r="M311" s="3" t="e">
        <f t="shared" si="301"/>
        <v>#REF!</v>
      </c>
      <c r="N311" s="3">
        <f t="shared" si="301"/>
        <v>1</v>
      </c>
      <c r="O311" s="3">
        <f t="shared" si="301"/>
        <v>1</v>
      </c>
      <c r="P311" s="3">
        <f t="shared" si="301"/>
        <v>1</v>
      </c>
      <c r="Q311" s="3">
        <f t="shared" si="301"/>
        <v>1</v>
      </c>
      <c r="R311" s="3">
        <f t="shared" si="301"/>
        <v>1</v>
      </c>
      <c r="S311" s="3">
        <f t="shared" si="301"/>
        <v>1</v>
      </c>
      <c r="T311" s="3">
        <f t="shared" si="301"/>
        <v>1</v>
      </c>
      <c r="U311" s="3">
        <f t="shared" si="301"/>
        <v>1</v>
      </c>
      <c r="V311" s="3">
        <f t="shared" si="301"/>
        <v>1</v>
      </c>
      <c r="W311" s="3">
        <f t="shared" si="301"/>
        <v>1</v>
      </c>
    </row>
    <row r="312" customHeight="1" spans="1:23">
      <c r="A312" s="2">
        <v>299</v>
      </c>
      <c r="B312" s="3">
        <f t="shared" ref="B312:W312" si="302">MIN(1,IF($A312&lt;B$4+B$3,0,IF(B$2=0,1,IF(B$5=0,($A312-B$4)/B$2,IF(MOD($A312-B$4,B$5)=0,($A312-B$4)/B$2,QUOTIENT($A312-B$4,B$5)*B$5/B$2)))))</f>
        <v>1</v>
      </c>
      <c r="C312" s="3">
        <f t="shared" si="302"/>
        <v>1</v>
      </c>
      <c r="D312" s="3">
        <f t="shared" si="302"/>
        <v>1</v>
      </c>
      <c r="E312" s="3" t="e">
        <f t="shared" si="302"/>
        <v>#REF!</v>
      </c>
      <c r="F312" s="3">
        <f t="shared" si="302"/>
        <v>1</v>
      </c>
      <c r="G312" s="3">
        <f t="shared" si="302"/>
        <v>1</v>
      </c>
      <c r="H312" s="3">
        <f t="shared" si="302"/>
        <v>1</v>
      </c>
      <c r="I312" s="3">
        <f t="shared" si="302"/>
        <v>1</v>
      </c>
      <c r="J312" s="3">
        <f t="shared" si="302"/>
        <v>1</v>
      </c>
      <c r="K312" s="3">
        <f t="shared" si="302"/>
        <v>1</v>
      </c>
      <c r="L312" s="3">
        <f t="shared" si="302"/>
        <v>1</v>
      </c>
      <c r="M312" s="3" t="e">
        <f t="shared" si="302"/>
        <v>#REF!</v>
      </c>
      <c r="N312" s="3">
        <f t="shared" si="302"/>
        <v>1</v>
      </c>
      <c r="O312" s="3">
        <f t="shared" si="302"/>
        <v>1</v>
      </c>
      <c r="P312" s="3">
        <f t="shared" si="302"/>
        <v>1</v>
      </c>
      <c r="Q312" s="3">
        <f t="shared" si="302"/>
        <v>1</v>
      </c>
      <c r="R312" s="3">
        <f t="shared" si="302"/>
        <v>1</v>
      </c>
      <c r="S312" s="3">
        <f t="shared" si="302"/>
        <v>1</v>
      </c>
      <c r="T312" s="3">
        <f t="shared" si="302"/>
        <v>1</v>
      </c>
      <c r="U312" s="3">
        <f t="shared" si="302"/>
        <v>1</v>
      </c>
      <c r="V312" s="3">
        <f t="shared" si="302"/>
        <v>1</v>
      </c>
      <c r="W312" s="3">
        <f t="shared" si="302"/>
        <v>1</v>
      </c>
    </row>
    <row r="313" customHeight="1" spans="1:23">
      <c r="A313" s="2">
        <v>300</v>
      </c>
      <c r="B313" s="3">
        <f t="shared" ref="B313:W313" si="303">MIN(1,IF($A313&lt;B$4+B$3,0,IF(B$2=0,1,IF(B$5=0,($A313-B$4)/B$2,IF(MOD($A313-B$4,B$5)=0,($A313-B$4)/B$2,QUOTIENT($A313-B$4,B$5)*B$5/B$2)))))</f>
        <v>1</v>
      </c>
      <c r="C313" s="3">
        <f t="shared" si="303"/>
        <v>1</v>
      </c>
      <c r="D313" s="3">
        <f t="shared" si="303"/>
        <v>1</v>
      </c>
      <c r="E313" s="3" t="e">
        <f t="shared" si="303"/>
        <v>#REF!</v>
      </c>
      <c r="F313" s="3">
        <f t="shared" si="303"/>
        <v>1</v>
      </c>
      <c r="G313" s="3">
        <f t="shared" si="303"/>
        <v>1</v>
      </c>
      <c r="H313" s="3">
        <f t="shared" si="303"/>
        <v>1</v>
      </c>
      <c r="I313" s="3">
        <f t="shared" si="303"/>
        <v>1</v>
      </c>
      <c r="J313" s="3">
        <f t="shared" si="303"/>
        <v>1</v>
      </c>
      <c r="K313" s="3">
        <f t="shared" si="303"/>
        <v>1</v>
      </c>
      <c r="L313" s="3">
        <f t="shared" si="303"/>
        <v>1</v>
      </c>
      <c r="M313" s="3" t="e">
        <f t="shared" si="303"/>
        <v>#REF!</v>
      </c>
      <c r="N313" s="3">
        <f t="shared" si="303"/>
        <v>1</v>
      </c>
      <c r="O313" s="3">
        <f t="shared" si="303"/>
        <v>1</v>
      </c>
      <c r="P313" s="3">
        <f t="shared" si="303"/>
        <v>1</v>
      </c>
      <c r="Q313" s="3">
        <f t="shared" si="303"/>
        <v>1</v>
      </c>
      <c r="R313" s="3">
        <f t="shared" si="303"/>
        <v>1</v>
      </c>
      <c r="S313" s="3">
        <f t="shared" si="303"/>
        <v>1</v>
      </c>
      <c r="T313" s="3">
        <f t="shared" si="303"/>
        <v>1</v>
      </c>
      <c r="U313" s="3">
        <f t="shared" si="303"/>
        <v>1</v>
      </c>
      <c r="V313" s="3">
        <f t="shared" si="303"/>
        <v>1</v>
      </c>
      <c r="W313" s="3">
        <f t="shared" si="303"/>
        <v>1</v>
      </c>
    </row>
    <row r="314" customHeight="1" spans="1:23">
      <c r="A314" s="2">
        <v>301</v>
      </c>
      <c r="B314" s="3">
        <f t="shared" ref="B314:W314" si="304">MIN(1,IF($A314&lt;B$4+B$3,0,IF(B$2=0,1,IF(B$5=0,($A314-B$4)/B$2,IF(MOD($A314-B$4,B$5)=0,($A314-B$4)/B$2,QUOTIENT($A314-B$4,B$5)*B$5/B$2)))))</f>
        <v>1</v>
      </c>
      <c r="C314" s="3">
        <f t="shared" si="304"/>
        <v>1</v>
      </c>
      <c r="D314" s="3">
        <f t="shared" si="304"/>
        <v>1</v>
      </c>
      <c r="E314" s="3" t="e">
        <f t="shared" si="304"/>
        <v>#REF!</v>
      </c>
      <c r="F314" s="3">
        <f t="shared" si="304"/>
        <v>1</v>
      </c>
      <c r="G314" s="3">
        <f t="shared" si="304"/>
        <v>1</v>
      </c>
      <c r="H314" s="3">
        <f t="shared" si="304"/>
        <v>1</v>
      </c>
      <c r="I314" s="3">
        <f t="shared" si="304"/>
        <v>1</v>
      </c>
      <c r="J314" s="3">
        <f t="shared" si="304"/>
        <v>1</v>
      </c>
      <c r="K314" s="3">
        <f t="shared" si="304"/>
        <v>1</v>
      </c>
      <c r="L314" s="3">
        <f t="shared" si="304"/>
        <v>1</v>
      </c>
      <c r="M314" s="3" t="e">
        <f t="shared" si="304"/>
        <v>#REF!</v>
      </c>
      <c r="N314" s="3">
        <f t="shared" si="304"/>
        <v>1</v>
      </c>
      <c r="O314" s="3">
        <f t="shared" si="304"/>
        <v>1</v>
      </c>
      <c r="P314" s="3">
        <f t="shared" si="304"/>
        <v>1</v>
      </c>
      <c r="Q314" s="3">
        <f t="shared" si="304"/>
        <v>1</v>
      </c>
      <c r="R314" s="3">
        <f t="shared" si="304"/>
        <v>1</v>
      </c>
      <c r="S314" s="3">
        <f t="shared" si="304"/>
        <v>1</v>
      </c>
      <c r="T314" s="3">
        <f t="shared" si="304"/>
        <v>1</v>
      </c>
      <c r="U314" s="3">
        <f t="shared" si="304"/>
        <v>1</v>
      </c>
      <c r="V314" s="3">
        <f t="shared" si="304"/>
        <v>1</v>
      </c>
      <c r="W314" s="3">
        <f t="shared" si="304"/>
        <v>1</v>
      </c>
    </row>
    <row r="315" customHeight="1" spans="1:23">
      <c r="A315" s="2">
        <v>302</v>
      </c>
      <c r="B315" s="3">
        <f t="shared" ref="B315:W315" si="305">MIN(1,IF($A315&lt;B$4+B$3,0,IF(B$2=0,1,IF(B$5=0,($A315-B$4)/B$2,IF(MOD($A315-B$4,B$5)=0,($A315-B$4)/B$2,QUOTIENT($A315-B$4,B$5)*B$5/B$2)))))</f>
        <v>1</v>
      </c>
      <c r="C315" s="3">
        <f t="shared" si="305"/>
        <v>1</v>
      </c>
      <c r="D315" s="3">
        <f t="shared" si="305"/>
        <v>1</v>
      </c>
      <c r="E315" s="3" t="e">
        <f t="shared" si="305"/>
        <v>#REF!</v>
      </c>
      <c r="F315" s="3">
        <f t="shared" si="305"/>
        <v>1</v>
      </c>
      <c r="G315" s="3">
        <f t="shared" si="305"/>
        <v>1</v>
      </c>
      <c r="H315" s="3">
        <f t="shared" si="305"/>
        <v>1</v>
      </c>
      <c r="I315" s="3">
        <f t="shared" si="305"/>
        <v>1</v>
      </c>
      <c r="J315" s="3">
        <f t="shared" si="305"/>
        <v>1</v>
      </c>
      <c r="K315" s="3">
        <f t="shared" si="305"/>
        <v>1</v>
      </c>
      <c r="L315" s="3">
        <f t="shared" si="305"/>
        <v>1</v>
      </c>
      <c r="M315" s="3" t="e">
        <f t="shared" si="305"/>
        <v>#REF!</v>
      </c>
      <c r="N315" s="3">
        <f t="shared" si="305"/>
        <v>1</v>
      </c>
      <c r="O315" s="3">
        <f t="shared" si="305"/>
        <v>1</v>
      </c>
      <c r="P315" s="3">
        <f t="shared" si="305"/>
        <v>1</v>
      </c>
      <c r="Q315" s="3">
        <f t="shared" si="305"/>
        <v>1</v>
      </c>
      <c r="R315" s="3">
        <f t="shared" si="305"/>
        <v>1</v>
      </c>
      <c r="S315" s="3">
        <f t="shared" si="305"/>
        <v>1</v>
      </c>
      <c r="T315" s="3">
        <f t="shared" si="305"/>
        <v>1</v>
      </c>
      <c r="U315" s="3">
        <f t="shared" si="305"/>
        <v>1</v>
      </c>
      <c r="V315" s="3">
        <f t="shared" si="305"/>
        <v>1</v>
      </c>
      <c r="W315" s="3">
        <f t="shared" si="305"/>
        <v>1</v>
      </c>
    </row>
    <row r="316" customHeight="1" spans="1:23">
      <c r="A316" s="2">
        <v>303</v>
      </c>
      <c r="B316" s="3">
        <f t="shared" ref="B316:W316" si="306">MIN(1,IF($A316&lt;B$4+B$3,0,IF(B$2=0,1,IF(B$5=0,($A316-B$4)/B$2,IF(MOD($A316-B$4,B$5)=0,($A316-B$4)/B$2,QUOTIENT($A316-B$4,B$5)*B$5/B$2)))))</f>
        <v>1</v>
      </c>
      <c r="C316" s="3">
        <f t="shared" si="306"/>
        <v>1</v>
      </c>
      <c r="D316" s="3">
        <f t="shared" si="306"/>
        <v>1</v>
      </c>
      <c r="E316" s="3" t="e">
        <f t="shared" si="306"/>
        <v>#REF!</v>
      </c>
      <c r="F316" s="3">
        <f t="shared" si="306"/>
        <v>1</v>
      </c>
      <c r="G316" s="3">
        <f t="shared" si="306"/>
        <v>1</v>
      </c>
      <c r="H316" s="3">
        <f t="shared" si="306"/>
        <v>1</v>
      </c>
      <c r="I316" s="3">
        <f t="shared" si="306"/>
        <v>1</v>
      </c>
      <c r="J316" s="3">
        <f t="shared" si="306"/>
        <v>1</v>
      </c>
      <c r="K316" s="3">
        <f t="shared" si="306"/>
        <v>1</v>
      </c>
      <c r="L316" s="3">
        <f t="shared" si="306"/>
        <v>1</v>
      </c>
      <c r="M316" s="3" t="e">
        <f t="shared" si="306"/>
        <v>#REF!</v>
      </c>
      <c r="N316" s="3">
        <f t="shared" si="306"/>
        <v>1</v>
      </c>
      <c r="O316" s="3">
        <f t="shared" si="306"/>
        <v>1</v>
      </c>
      <c r="P316" s="3">
        <f t="shared" si="306"/>
        <v>1</v>
      </c>
      <c r="Q316" s="3">
        <f t="shared" si="306"/>
        <v>1</v>
      </c>
      <c r="R316" s="3">
        <f t="shared" si="306"/>
        <v>1</v>
      </c>
      <c r="S316" s="3">
        <f t="shared" si="306"/>
        <v>1</v>
      </c>
      <c r="T316" s="3">
        <f t="shared" si="306"/>
        <v>1</v>
      </c>
      <c r="U316" s="3">
        <f t="shared" si="306"/>
        <v>1</v>
      </c>
      <c r="V316" s="3">
        <f t="shared" si="306"/>
        <v>1</v>
      </c>
      <c r="W316" s="3">
        <f t="shared" si="306"/>
        <v>1</v>
      </c>
    </row>
    <row r="317" customHeight="1" spans="1:23">
      <c r="A317" s="2">
        <v>304</v>
      </c>
      <c r="B317" s="3">
        <f t="shared" ref="B317:W317" si="307">MIN(1,IF($A317&lt;B$4+B$3,0,IF(B$2=0,1,IF(B$5=0,($A317-B$4)/B$2,IF(MOD($A317-B$4,B$5)=0,($A317-B$4)/B$2,QUOTIENT($A317-B$4,B$5)*B$5/B$2)))))</f>
        <v>1</v>
      </c>
      <c r="C317" s="3">
        <f t="shared" si="307"/>
        <v>1</v>
      </c>
      <c r="D317" s="3">
        <f t="shared" si="307"/>
        <v>1</v>
      </c>
      <c r="E317" s="3" t="e">
        <f t="shared" si="307"/>
        <v>#REF!</v>
      </c>
      <c r="F317" s="3">
        <f t="shared" si="307"/>
        <v>1</v>
      </c>
      <c r="G317" s="3">
        <f t="shared" si="307"/>
        <v>1</v>
      </c>
      <c r="H317" s="3">
        <f t="shared" si="307"/>
        <v>1</v>
      </c>
      <c r="I317" s="3">
        <f t="shared" si="307"/>
        <v>1</v>
      </c>
      <c r="J317" s="3">
        <f t="shared" si="307"/>
        <v>1</v>
      </c>
      <c r="K317" s="3">
        <f t="shared" si="307"/>
        <v>1</v>
      </c>
      <c r="L317" s="3">
        <f t="shared" si="307"/>
        <v>1</v>
      </c>
      <c r="M317" s="3" t="e">
        <f t="shared" si="307"/>
        <v>#REF!</v>
      </c>
      <c r="N317" s="3">
        <f t="shared" si="307"/>
        <v>1</v>
      </c>
      <c r="O317" s="3">
        <f t="shared" si="307"/>
        <v>1</v>
      </c>
      <c r="P317" s="3">
        <f t="shared" si="307"/>
        <v>1</v>
      </c>
      <c r="Q317" s="3">
        <f t="shared" si="307"/>
        <v>1</v>
      </c>
      <c r="R317" s="3">
        <f t="shared" si="307"/>
        <v>1</v>
      </c>
      <c r="S317" s="3">
        <f t="shared" si="307"/>
        <v>1</v>
      </c>
      <c r="T317" s="3">
        <f t="shared" si="307"/>
        <v>1</v>
      </c>
      <c r="U317" s="3">
        <f t="shared" si="307"/>
        <v>1</v>
      </c>
      <c r="V317" s="3">
        <f t="shared" si="307"/>
        <v>1</v>
      </c>
      <c r="W317" s="3">
        <f t="shared" si="307"/>
        <v>1</v>
      </c>
    </row>
    <row r="318" customHeight="1" spans="1:23">
      <c r="A318" s="2">
        <v>305</v>
      </c>
      <c r="B318" s="3">
        <f t="shared" ref="B318:W318" si="308">MIN(1,IF($A318&lt;B$4+B$3,0,IF(B$2=0,1,IF(B$5=0,($A318-B$4)/B$2,IF(MOD($A318-B$4,B$5)=0,($A318-B$4)/B$2,QUOTIENT($A318-B$4,B$5)*B$5/B$2)))))</f>
        <v>1</v>
      </c>
      <c r="C318" s="3">
        <f t="shared" si="308"/>
        <v>1</v>
      </c>
      <c r="D318" s="3">
        <f t="shared" si="308"/>
        <v>1</v>
      </c>
      <c r="E318" s="3" t="e">
        <f t="shared" si="308"/>
        <v>#REF!</v>
      </c>
      <c r="F318" s="3">
        <f t="shared" si="308"/>
        <v>1</v>
      </c>
      <c r="G318" s="3">
        <f t="shared" si="308"/>
        <v>1</v>
      </c>
      <c r="H318" s="3">
        <f t="shared" si="308"/>
        <v>1</v>
      </c>
      <c r="I318" s="3">
        <f t="shared" si="308"/>
        <v>1</v>
      </c>
      <c r="J318" s="3">
        <f t="shared" si="308"/>
        <v>1</v>
      </c>
      <c r="K318" s="3">
        <f t="shared" si="308"/>
        <v>1</v>
      </c>
      <c r="L318" s="3">
        <f t="shared" si="308"/>
        <v>1</v>
      </c>
      <c r="M318" s="3" t="e">
        <f t="shared" si="308"/>
        <v>#REF!</v>
      </c>
      <c r="N318" s="3">
        <f t="shared" si="308"/>
        <v>1</v>
      </c>
      <c r="O318" s="3">
        <f t="shared" si="308"/>
        <v>1</v>
      </c>
      <c r="P318" s="3">
        <f t="shared" si="308"/>
        <v>1</v>
      </c>
      <c r="Q318" s="3">
        <f t="shared" si="308"/>
        <v>1</v>
      </c>
      <c r="R318" s="3">
        <f t="shared" si="308"/>
        <v>1</v>
      </c>
      <c r="S318" s="3">
        <f t="shared" si="308"/>
        <v>1</v>
      </c>
      <c r="T318" s="3">
        <f t="shared" si="308"/>
        <v>1</v>
      </c>
      <c r="U318" s="3">
        <f t="shared" si="308"/>
        <v>1</v>
      </c>
      <c r="V318" s="3">
        <f t="shared" si="308"/>
        <v>1</v>
      </c>
      <c r="W318" s="3">
        <f t="shared" si="308"/>
        <v>1</v>
      </c>
    </row>
    <row r="319" customHeight="1" spans="1:23">
      <c r="A319" s="2">
        <v>306</v>
      </c>
      <c r="B319" s="3">
        <f t="shared" ref="B319:W319" si="309">MIN(1,IF($A319&lt;B$4+B$3,0,IF(B$2=0,1,IF(B$5=0,($A319-B$4)/B$2,IF(MOD($A319-B$4,B$5)=0,($A319-B$4)/B$2,QUOTIENT($A319-B$4,B$5)*B$5/B$2)))))</f>
        <v>1</v>
      </c>
      <c r="C319" s="3">
        <f t="shared" si="309"/>
        <v>1</v>
      </c>
      <c r="D319" s="3">
        <f t="shared" si="309"/>
        <v>1</v>
      </c>
      <c r="E319" s="3" t="e">
        <f t="shared" si="309"/>
        <v>#REF!</v>
      </c>
      <c r="F319" s="3">
        <f t="shared" si="309"/>
        <v>1</v>
      </c>
      <c r="G319" s="3">
        <f t="shared" si="309"/>
        <v>1</v>
      </c>
      <c r="H319" s="3">
        <f t="shared" si="309"/>
        <v>1</v>
      </c>
      <c r="I319" s="3">
        <f t="shared" si="309"/>
        <v>1</v>
      </c>
      <c r="J319" s="3">
        <f t="shared" si="309"/>
        <v>1</v>
      </c>
      <c r="K319" s="3">
        <f t="shared" si="309"/>
        <v>1</v>
      </c>
      <c r="L319" s="3">
        <f t="shared" si="309"/>
        <v>1</v>
      </c>
      <c r="M319" s="3" t="e">
        <f t="shared" si="309"/>
        <v>#REF!</v>
      </c>
      <c r="N319" s="3">
        <f t="shared" si="309"/>
        <v>1</v>
      </c>
      <c r="O319" s="3">
        <f t="shared" si="309"/>
        <v>1</v>
      </c>
      <c r="P319" s="3">
        <f t="shared" si="309"/>
        <v>1</v>
      </c>
      <c r="Q319" s="3">
        <f t="shared" si="309"/>
        <v>1</v>
      </c>
      <c r="R319" s="3">
        <f t="shared" si="309"/>
        <v>1</v>
      </c>
      <c r="S319" s="3">
        <f t="shared" si="309"/>
        <v>1</v>
      </c>
      <c r="T319" s="3">
        <f t="shared" si="309"/>
        <v>1</v>
      </c>
      <c r="U319" s="3">
        <f t="shared" si="309"/>
        <v>1</v>
      </c>
      <c r="V319" s="3">
        <f t="shared" si="309"/>
        <v>1</v>
      </c>
      <c r="W319" s="3">
        <f t="shared" si="309"/>
        <v>1</v>
      </c>
    </row>
    <row r="320" customHeight="1" spans="1:23">
      <c r="A320" s="2">
        <v>307</v>
      </c>
      <c r="B320" s="3">
        <f t="shared" ref="B320:W320" si="310">MIN(1,IF($A320&lt;B$4+B$3,0,IF(B$2=0,1,IF(B$5=0,($A320-B$4)/B$2,IF(MOD($A320-B$4,B$5)=0,($A320-B$4)/B$2,QUOTIENT($A320-B$4,B$5)*B$5/B$2)))))</f>
        <v>1</v>
      </c>
      <c r="C320" s="3">
        <f t="shared" si="310"/>
        <v>1</v>
      </c>
      <c r="D320" s="3">
        <f t="shared" si="310"/>
        <v>1</v>
      </c>
      <c r="E320" s="3" t="e">
        <f t="shared" si="310"/>
        <v>#REF!</v>
      </c>
      <c r="F320" s="3">
        <f t="shared" si="310"/>
        <v>1</v>
      </c>
      <c r="G320" s="3">
        <f t="shared" si="310"/>
        <v>1</v>
      </c>
      <c r="H320" s="3">
        <f t="shared" si="310"/>
        <v>1</v>
      </c>
      <c r="I320" s="3">
        <f t="shared" si="310"/>
        <v>1</v>
      </c>
      <c r="J320" s="3">
        <f t="shared" si="310"/>
        <v>1</v>
      </c>
      <c r="K320" s="3">
        <f t="shared" si="310"/>
        <v>1</v>
      </c>
      <c r="L320" s="3">
        <f t="shared" si="310"/>
        <v>1</v>
      </c>
      <c r="M320" s="3" t="e">
        <f t="shared" si="310"/>
        <v>#REF!</v>
      </c>
      <c r="N320" s="3">
        <f t="shared" si="310"/>
        <v>1</v>
      </c>
      <c r="O320" s="3">
        <f t="shared" si="310"/>
        <v>1</v>
      </c>
      <c r="P320" s="3">
        <f t="shared" si="310"/>
        <v>1</v>
      </c>
      <c r="Q320" s="3">
        <f t="shared" si="310"/>
        <v>1</v>
      </c>
      <c r="R320" s="3">
        <f t="shared" si="310"/>
        <v>1</v>
      </c>
      <c r="S320" s="3">
        <f t="shared" si="310"/>
        <v>1</v>
      </c>
      <c r="T320" s="3">
        <f t="shared" si="310"/>
        <v>1</v>
      </c>
      <c r="U320" s="3">
        <f t="shared" si="310"/>
        <v>1</v>
      </c>
      <c r="V320" s="3">
        <f t="shared" si="310"/>
        <v>1</v>
      </c>
      <c r="W320" s="3">
        <f t="shared" si="310"/>
        <v>1</v>
      </c>
    </row>
    <row r="321" customHeight="1" spans="1:23">
      <c r="A321" s="2">
        <v>308</v>
      </c>
      <c r="B321" s="3">
        <f t="shared" ref="B321:W321" si="311">MIN(1,IF($A321&lt;B$4+B$3,0,IF(B$2=0,1,IF(B$5=0,($A321-B$4)/B$2,IF(MOD($A321-B$4,B$5)=0,($A321-B$4)/B$2,QUOTIENT($A321-B$4,B$5)*B$5/B$2)))))</f>
        <v>1</v>
      </c>
      <c r="C321" s="3">
        <f t="shared" si="311"/>
        <v>1</v>
      </c>
      <c r="D321" s="3">
        <f t="shared" si="311"/>
        <v>1</v>
      </c>
      <c r="E321" s="3" t="e">
        <f t="shared" si="311"/>
        <v>#REF!</v>
      </c>
      <c r="F321" s="3">
        <f t="shared" si="311"/>
        <v>1</v>
      </c>
      <c r="G321" s="3">
        <f t="shared" si="311"/>
        <v>1</v>
      </c>
      <c r="H321" s="3">
        <f t="shared" si="311"/>
        <v>1</v>
      </c>
      <c r="I321" s="3">
        <f t="shared" si="311"/>
        <v>1</v>
      </c>
      <c r="J321" s="3">
        <f t="shared" si="311"/>
        <v>1</v>
      </c>
      <c r="K321" s="3">
        <f t="shared" si="311"/>
        <v>1</v>
      </c>
      <c r="L321" s="3">
        <f t="shared" si="311"/>
        <v>1</v>
      </c>
      <c r="M321" s="3" t="e">
        <f t="shared" si="311"/>
        <v>#REF!</v>
      </c>
      <c r="N321" s="3">
        <f t="shared" si="311"/>
        <v>1</v>
      </c>
      <c r="O321" s="3">
        <f t="shared" si="311"/>
        <v>1</v>
      </c>
      <c r="P321" s="3">
        <f t="shared" si="311"/>
        <v>1</v>
      </c>
      <c r="Q321" s="3">
        <f t="shared" si="311"/>
        <v>1</v>
      </c>
      <c r="R321" s="3">
        <f t="shared" si="311"/>
        <v>1</v>
      </c>
      <c r="S321" s="3">
        <f t="shared" si="311"/>
        <v>1</v>
      </c>
      <c r="T321" s="3">
        <f t="shared" si="311"/>
        <v>1</v>
      </c>
      <c r="U321" s="3">
        <f t="shared" si="311"/>
        <v>1</v>
      </c>
      <c r="V321" s="3">
        <f t="shared" si="311"/>
        <v>1</v>
      </c>
      <c r="W321" s="3">
        <f t="shared" si="311"/>
        <v>1</v>
      </c>
    </row>
    <row r="322" customHeight="1" spans="1:23">
      <c r="A322" s="2">
        <v>309</v>
      </c>
      <c r="B322" s="3">
        <f t="shared" ref="B322:W322" si="312">MIN(1,IF($A322&lt;B$4+B$3,0,IF(B$2=0,1,IF(B$5=0,($A322-B$4)/B$2,IF(MOD($A322-B$4,B$5)=0,($A322-B$4)/B$2,QUOTIENT($A322-B$4,B$5)*B$5/B$2)))))</f>
        <v>1</v>
      </c>
      <c r="C322" s="3">
        <f t="shared" si="312"/>
        <v>1</v>
      </c>
      <c r="D322" s="3">
        <f t="shared" si="312"/>
        <v>1</v>
      </c>
      <c r="E322" s="3" t="e">
        <f t="shared" si="312"/>
        <v>#REF!</v>
      </c>
      <c r="F322" s="3">
        <f t="shared" si="312"/>
        <v>1</v>
      </c>
      <c r="G322" s="3">
        <f t="shared" si="312"/>
        <v>1</v>
      </c>
      <c r="H322" s="3">
        <f t="shared" si="312"/>
        <v>1</v>
      </c>
      <c r="I322" s="3">
        <f t="shared" si="312"/>
        <v>1</v>
      </c>
      <c r="J322" s="3">
        <f t="shared" si="312"/>
        <v>1</v>
      </c>
      <c r="K322" s="3">
        <f t="shared" si="312"/>
        <v>1</v>
      </c>
      <c r="L322" s="3">
        <f t="shared" si="312"/>
        <v>1</v>
      </c>
      <c r="M322" s="3" t="e">
        <f t="shared" si="312"/>
        <v>#REF!</v>
      </c>
      <c r="N322" s="3">
        <f t="shared" si="312"/>
        <v>1</v>
      </c>
      <c r="O322" s="3">
        <f t="shared" si="312"/>
        <v>1</v>
      </c>
      <c r="P322" s="3">
        <f t="shared" si="312"/>
        <v>1</v>
      </c>
      <c r="Q322" s="3">
        <f t="shared" si="312"/>
        <v>1</v>
      </c>
      <c r="R322" s="3">
        <f t="shared" si="312"/>
        <v>1</v>
      </c>
      <c r="S322" s="3">
        <f t="shared" si="312"/>
        <v>1</v>
      </c>
      <c r="T322" s="3">
        <f t="shared" si="312"/>
        <v>1</v>
      </c>
      <c r="U322" s="3">
        <f t="shared" si="312"/>
        <v>1</v>
      </c>
      <c r="V322" s="3">
        <f t="shared" si="312"/>
        <v>1</v>
      </c>
      <c r="W322" s="3">
        <f t="shared" si="312"/>
        <v>1</v>
      </c>
    </row>
    <row r="323" customHeight="1" spans="1:23">
      <c r="A323" s="2">
        <v>310</v>
      </c>
      <c r="B323" s="3">
        <f t="shared" ref="B323:W323" si="313">MIN(1,IF($A323&lt;B$4+B$3,0,IF(B$2=0,1,IF(B$5=0,($A323-B$4)/B$2,IF(MOD($A323-B$4,B$5)=0,($A323-B$4)/B$2,QUOTIENT($A323-B$4,B$5)*B$5/B$2)))))</f>
        <v>1</v>
      </c>
      <c r="C323" s="3">
        <f t="shared" si="313"/>
        <v>1</v>
      </c>
      <c r="D323" s="3">
        <f t="shared" si="313"/>
        <v>1</v>
      </c>
      <c r="E323" s="3" t="e">
        <f t="shared" si="313"/>
        <v>#REF!</v>
      </c>
      <c r="F323" s="3">
        <f t="shared" si="313"/>
        <v>1</v>
      </c>
      <c r="G323" s="3">
        <f t="shared" si="313"/>
        <v>1</v>
      </c>
      <c r="H323" s="3">
        <f t="shared" si="313"/>
        <v>1</v>
      </c>
      <c r="I323" s="3">
        <f t="shared" si="313"/>
        <v>1</v>
      </c>
      <c r="J323" s="3">
        <f t="shared" si="313"/>
        <v>1</v>
      </c>
      <c r="K323" s="3">
        <f t="shared" si="313"/>
        <v>1</v>
      </c>
      <c r="L323" s="3">
        <f t="shared" si="313"/>
        <v>1</v>
      </c>
      <c r="M323" s="3" t="e">
        <f t="shared" si="313"/>
        <v>#REF!</v>
      </c>
      <c r="N323" s="3">
        <f t="shared" si="313"/>
        <v>1</v>
      </c>
      <c r="O323" s="3">
        <f t="shared" si="313"/>
        <v>1</v>
      </c>
      <c r="P323" s="3">
        <f t="shared" si="313"/>
        <v>1</v>
      </c>
      <c r="Q323" s="3">
        <f t="shared" si="313"/>
        <v>1</v>
      </c>
      <c r="R323" s="3">
        <f t="shared" si="313"/>
        <v>1</v>
      </c>
      <c r="S323" s="3">
        <f t="shared" si="313"/>
        <v>1</v>
      </c>
      <c r="T323" s="3">
        <f t="shared" si="313"/>
        <v>1</v>
      </c>
      <c r="U323" s="3">
        <f t="shared" si="313"/>
        <v>1</v>
      </c>
      <c r="V323" s="3">
        <f t="shared" si="313"/>
        <v>1</v>
      </c>
      <c r="W323" s="3">
        <f t="shared" si="313"/>
        <v>1</v>
      </c>
    </row>
    <row r="324" customHeight="1" spans="1:23">
      <c r="A324" s="2">
        <v>311</v>
      </c>
      <c r="B324" s="3">
        <f t="shared" ref="B324:W324" si="314">MIN(1,IF($A324&lt;B$4+B$3,0,IF(B$2=0,1,IF(B$5=0,($A324-B$4)/B$2,IF(MOD($A324-B$4,B$5)=0,($A324-B$4)/B$2,QUOTIENT($A324-B$4,B$5)*B$5/B$2)))))</f>
        <v>1</v>
      </c>
      <c r="C324" s="3">
        <f t="shared" si="314"/>
        <v>1</v>
      </c>
      <c r="D324" s="3">
        <f t="shared" si="314"/>
        <v>1</v>
      </c>
      <c r="E324" s="3" t="e">
        <f t="shared" si="314"/>
        <v>#REF!</v>
      </c>
      <c r="F324" s="3">
        <f t="shared" si="314"/>
        <v>1</v>
      </c>
      <c r="G324" s="3">
        <f t="shared" si="314"/>
        <v>1</v>
      </c>
      <c r="H324" s="3">
        <f t="shared" si="314"/>
        <v>1</v>
      </c>
      <c r="I324" s="3">
        <f t="shared" si="314"/>
        <v>1</v>
      </c>
      <c r="J324" s="3">
        <f t="shared" si="314"/>
        <v>1</v>
      </c>
      <c r="K324" s="3">
        <f t="shared" si="314"/>
        <v>1</v>
      </c>
      <c r="L324" s="3">
        <f t="shared" si="314"/>
        <v>1</v>
      </c>
      <c r="M324" s="3" t="e">
        <f t="shared" si="314"/>
        <v>#REF!</v>
      </c>
      <c r="N324" s="3">
        <f t="shared" si="314"/>
        <v>1</v>
      </c>
      <c r="O324" s="3">
        <f t="shared" si="314"/>
        <v>1</v>
      </c>
      <c r="P324" s="3">
        <f t="shared" si="314"/>
        <v>1</v>
      </c>
      <c r="Q324" s="3">
        <f t="shared" si="314"/>
        <v>1</v>
      </c>
      <c r="R324" s="3">
        <f t="shared" si="314"/>
        <v>1</v>
      </c>
      <c r="S324" s="3">
        <f t="shared" si="314"/>
        <v>1</v>
      </c>
      <c r="T324" s="3">
        <f t="shared" si="314"/>
        <v>1</v>
      </c>
      <c r="U324" s="3">
        <f t="shared" si="314"/>
        <v>1</v>
      </c>
      <c r="V324" s="3">
        <f t="shared" si="314"/>
        <v>1</v>
      </c>
      <c r="W324" s="3">
        <f t="shared" si="314"/>
        <v>1</v>
      </c>
    </row>
    <row r="325" customHeight="1" spans="1:23">
      <c r="A325" s="2">
        <v>312</v>
      </c>
      <c r="B325" s="3">
        <f t="shared" ref="B325:W325" si="315">MIN(1,IF($A325&lt;B$4+B$3,0,IF(B$2=0,1,IF(B$5=0,($A325-B$4)/B$2,IF(MOD($A325-B$4,B$5)=0,($A325-B$4)/B$2,QUOTIENT($A325-B$4,B$5)*B$5/B$2)))))</f>
        <v>1</v>
      </c>
      <c r="C325" s="3">
        <f t="shared" si="315"/>
        <v>1</v>
      </c>
      <c r="D325" s="3">
        <f t="shared" si="315"/>
        <v>1</v>
      </c>
      <c r="E325" s="3" t="e">
        <f t="shared" si="315"/>
        <v>#REF!</v>
      </c>
      <c r="F325" s="3">
        <f t="shared" si="315"/>
        <v>1</v>
      </c>
      <c r="G325" s="3">
        <f t="shared" si="315"/>
        <v>1</v>
      </c>
      <c r="H325" s="3">
        <f t="shared" si="315"/>
        <v>1</v>
      </c>
      <c r="I325" s="3">
        <f t="shared" si="315"/>
        <v>1</v>
      </c>
      <c r="J325" s="3">
        <f t="shared" si="315"/>
        <v>1</v>
      </c>
      <c r="K325" s="3">
        <f t="shared" si="315"/>
        <v>1</v>
      </c>
      <c r="L325" s="3">
        <f t="shared" si="315"/>
        <v>1</v>
      </c>
      <c r="M325" s="3" t="e">
        <f t="shared" si="315"/>
        <v>#REF!</v>
      </c>
      <c r="N325" s="3">
        <f t="shared" si="315"/>
        <v>1</v>
      </c>
      <c r="O325" s="3">
        <f t="shared" si="315"/>
        <v>1</v>
      </c>
      <c r="P325" s="3">
        <f t="shared" si="315"/>
        <v>1</v>
      </c>
      <c r="Q325" s="3">
        <f t="shared" si="315"/>
        <v>1</v>
      </c>
      <c r="R325" s="3">
        <f t="shared" si="315"/>
        <v>1</v>
      </c>
      <c r="S325" s="3">
        <f t="shared" si="315"/>
        <v>1</v>
      </c>
      <c r="T325" s="3">
        <f t="shared" si="315"/>
        <v>1</v>
      </c>
      <c r="U325" s="3">
        <f t="shared" si="315"/>
        <v>1</v>
      </c>
      <c r="V325" s="3">
        <f t="shared" si="315"/>
        <v>1</v>
      </c>
      <c r="W325" s="3">
        <f t="shared" si="315"/>
        <v>1</v>
      </c>
    </row>
    <row r="326" customHeight="1" spans="1:23">
      <c r="A326" s="2">
        <v>313</v>
      </c>
      <c r="B326" s="3">
        <f t="shared" ref="B326:W326" si="316">MIN(1,IF($A326&lt;B$4+B$3,0,IF(B$2=0,1,IF(B$5=0,($A326-B$4)/B$2,IF(MOD($A326-B$4,B$5)=0,($A326-B$4)/B$2,QUOTIENT($A326-B$4,B$5)*B$5/B$2)))))</f>
        <v>1</v>
      </c>
      <c r="C326" s="3">
        <f t="shared" si="316"/>
        <v>1</v>
      </c>
      <c r="D326" s="3">
        <f t="shared" si="316"/>
        <v>1</v>
      </c>
      <c r="E326" s="3" t="e">
        <f t="shared" si="316"/>
        <v>#REF!</v>
      </c>
      <c r="F326" s="3">
        <f t="shared" si="316"/>
        <v>1</v>
      </c>
      <c r="G326" s="3">
        <f t="shared" si="316"/>
        <v>1</v>
      </c>
      <c r="H326" s="3">
        <f t="shared" si="316"/>
        <v>1</v>
      </c>
      <c r="I326" s="3">
        <f t="shared" si="316"/>
        <v>1</v>
      </c>
      <c r="J326" s="3">
        <f t="shared" si="316"/>
        <v>1</v>
      </c>
      <c r="K326" s="3">
        <f t="shared" si="316"/>
        <v>1</v>
      </c>
      <c r="L326" s="3">
        <f t="shared" si="316"/>
        <v>1</v>
      </c>
      <c r="M326" s="3" t="e">
        <f t="shared" si="316"/>
        <v>#REF!</v>
      </c>
      <c r="N326" s="3">
        <f t="shared" si="316"/>
        <v>1</v>
      </c>
      <c r="O326" s="3">
        <f t="shared" si="316"/>
        <v>1</v>
      </c>
      <c r="P326" s="3">
        <f t="shared" si="316"/>
        <v>1</v>
      </c>
      <c r="Q326" s="3">
        <f t="shared" si="316"/>
        <v>1</v>
      </c>
      <c r="R326" s="3">
        <f t="shared" si="316"/>
        <v>1</v>
      </c>
      <c r="S326" s="3">
        <f t="shared" si="316"/>
        <v>1</v>
      </c>
      <c r="T326" s="3">
        <f t="shared" si="316"/>
        <v>1</v>
      </c>
      <c r="U326" s="3">
        <f t="shared" si="316"/>
        <v>1</v>
      </c>
      <c r="V326" s="3">
        <f t="shared" si="316"/>
        <v>1</v>
      </c>
      <c r="W326" s="3">
        <f t="shared" si="316"/>
        <v>1</v>
      </c>
    </row>
    <row r="327" customHeight="1" spans="1:23">
      <c r="A327" s="2">
        <v>314</v>
      </c>
      <c r="B327" s="3">
        <f t="shared" ref="B327:W327" si="317">MIN(1,IF($A327&lt;B$4+B$3,0,IF(B$2=0,1,IF(B$5=0,($A327-B$4)/B$2,IF(MOD($A327-B$4,B$5)=0,($A327-B$4)/B$2,QUOTIENT($A327-B$4,B$5)*B$5/B$2)))))</f>
        <v>1</v>
      </c>
      <c r="C327" s="3">
        <f t="shared" si="317"/>
        <v>1</v>
      </c>
      <c r="D327" s="3">
        <f t="shared" si="317"/>
        <v>1</v>
      </c>
      <c r="E327" s="3" t="e">
        <f t="shared" si="317"/>
        <v>#REF!</v>
      </c>
      <c r="F327" s="3">
        <f t="shared" si="317"/>
        <v>1</v>
      </c>
      <c r="G327" s="3">
        <f t="shared" si="317"/>
        <v>1</v>
      </c>
      <c r="H327" s="3">
        <f t="shared" si="317"/>
        <v>1</v>
      </c>
      <c r="I327" s="3">
        <f t="shared" si="317"/>
        <v>1</v>
      </c>
      <c r="J327" s="3">
        <f t="shared" si="317"/>
        <v>1</v>
      </c>
      <c r="K327" s="3">
        <f t="shared" si="317"/>
        <v>1</v>
      </c>
      <c r="L327" s="3">
        <f t="shared" si="317"/>
        <v>1</v>
      </c>
      <c r="M327" s="3" t="e">
        <f t="shared" si="317"/>
        <v>#REF!</v>
      </c>
      <c r="N327" s="3">
        <f t="shared" si="317"/>
        <v>1</v>
      </c>
      <c r="O327" s="3">
        <f t="shared" si="317"/>
        <v>1</v>
      </c>
      <c r="P327" s="3">
        <f t="shared" si="317"/>
        <v>1</v>
      </c>
      <c r="Q327" s="3">
        <f t="shared" si="317"/>
        <v>1</v>
      </c>
      <c r="R327" s="3">
        <f t="shared" si="317"/>
        <v>1</v>
      </c>
      <c r="S327" s="3">
        <f t="shared" si="317"/>
        <v>1</v>
      </c>
      <c r="T327" s="3">
        <f t="shared" si="317"/>
        <v>1</v>
      </c>
      <c r="U327" s="3">
        <f t="shared" si="317"/>
        <v>1</v>
      </c>
      <c r="V327" s="3">
        <f t="shared" si="317"/>
        <v>1</v>
      </c>
      <c r="W327" s="3">
        <f t="shared" si="317"/>
        <v>1</v>
      </c>
    </row>
    <row r="328" customHeight="1" spans="1:23">
      <c r="A328" s="2">
        <v>315</v>
      </c>
      <c r="B328" s="3">
        <f t="shared" ref="B328:W328" si="318">MIN(1,IF($A328&lt;B$4+B$3,0,IF(B$2=0,1,IF(B$5=0,($A328-B$4)/B$2,IF(MOD($A328-B$4,B$5)=0,($A328-B$4)/B$2,QUOTIENT($A328-B$4,B$5)*B$5/B$2)))))</f>
        <v>1</v>
      </c>
      <c r="C328" s="3">
        <f t="shared" si="318"/>
        <v>1</v>
      </c>
      <c r="D328" s="3">
        <f t="shared" si="318"/>
        <v>1</v>
      </c>
      <c r="E328" s="3" t="e">
        <f t="shared" si="318"/>
        <v>#REF!</v>
      </c>
      <c r="F328" s="3">
        <f t="shared" si="318"/>
        <v>1</v>
      </c>
      <c r="G328" s="3">
        <f t="shared" si="318"/>
        <v>1</v>
      </c>
      <c r="H328" s="3">
        <f t="shared" si="318"/>
        <v>1</v>
      </c>
      <c r="I328" s="3">
        <f t="shared" si="318"/>
        <v>1</v>
      </c>
      <c r="J328" s="3">
        <f t="shared" si="318"/>
        <v>1</v>
      </c>
      <c r="K328" s="3">
        <f t="shared" si="318"/>
        <v>1</v>
      </c>
      <c r="L328" s="3">
        <f t="shared" si="318"/>
        <v>1</v>
      </c>
      <c r="M328" s="3" t="e">
        <f t="shared" si="318"/>
        <v>#REF!</v>
      </c>
      <c r="N328" s="3">
        <f t="shared" si="318"/>
        <v>1</v>
      </c>
      <c r="O328" s="3">
        <f t="shared" si="318"/>
        <v>1</v>
      </c>
      <c r="P328" s="3">
        <f t="shared" si="318"/>
        <v>1</v>
      </c>
      <c r="Q328" s="3">
        <f t="shared" si="318"/>
        <v>1</v>
      </c>
      <c r="R328" s="3">
        <f t="shared" si="318"/>
        <v>1</v>
      </c>
      <c r="S328" s="3">
        <f t="shared" si="318"/>
        <v>1</v>
      </c>
      <c r="T328" s="3">
        <f t="shared" si="318"/>
        <v>1</v>
      </c>
      <c r="U328" s="3">
        <f t="shared" si="318"/>
        <v>1</v>
      </c>
      <c r="V328" s="3">
        <f t="shared" si="318"/>
        <v>1</v>
      </c>
      <c r="W328" s="3">
        <f t="shared" si="318"/>
        <v>1</v>
      </c>
    </row>
    <row r="329" customHeight="1" spans="1:23">
      <c r="A329" s="2">
        <v>316</v>
      </c>
      <c r="B329" s="3">
        <f t="shared" ref="B329:W329" si="319">MIN(1,IF($A329&lt;B$4+B$3,0,IF(B$2=0,1,IF(B$5=0,($A329-B$4)/B$2,IF(MOD($A329-B$4,B$5)=0,($A329-B$4)/B$2,QUOTIENT($A329-B$4,B$5)*B$5/B$2)))))</f>
        <v>1</v>
      </c>
      <c r="C329" s="3">
        <f t="shared" si="319"/>
        <v>1</v>
      </c>
      <c r="D329" s="3">
        <f t="shared" si="319"/>
        <v>1</v>
      </c>
      <c r="E329" s="3" t="e">
        <f t="shared" si="319"/>
        <v>#REF!</v>
      </c>
      <c r="F329" s="3">
        <f t="shared" si="319"/>
        <v>1</v>
      </c>
      <c r="G329" s="3">
        <f t="shared" si="319"/>
        <v>1</v>
      </c>
      <c r="H329" s="3">
        <f t="shared" si="319"/>
        <v>1</v>
      </c>
      <c r="I329" s="3">
        <f t="shared" si="319"/>
        <v>1</v>
      </c>
      <c r="J329" s="3">
        <f t="shared" si="319"/>
        <v>1</v>
      </c>
      <c r="K329" s="3">
        <f t="shared" si="319"/>
        <v>1</v>
      </c>
      <c r="L329" s="3">
        <f t="shared" si="319"/>
        <v>1</v>
      </c>
      <c r="M329" s="3" t="e">
        <f t="shared" si="319"/>
        <v>#REF!</v>
      </c>
      <c r="N329" s="3">
        <f t="shared" si="319"/>
        <v>1</v>
      </c>
      <c r="O329" s="3">
        <f t="shared" si="319"/>
        <v>1</v>
      </c>
      <c r="P329" s="3">
        <f t="shared" si="319"/>
        <v>1</v>
      </c>
      <c r="Q329" s="3">
        <f t="shared" si="319"/>
        <v>1</v>
      </c>
      <c r="R329" s="3">
        <f t="shared" si="319"/>
        <v>1</v>
      </c>
      <c r="S329" s="3">
        <f t="shared" si="319"/>
        <v>1</v>
      </c>
      <c r="T329" s="3">
        <f t="shared" si="319"/>
        <v>1</v>
      </c>
      <c r="U329" s="3">
        <f t="shared" si="319"/>
        <v>1</v>
      </c>
      <c r="V329" s="3">
        <f t="shared" si="319"/>
        <v>1</v>
      </c>
      <c r="W329" s="3">
        <f t="shared" si="319"/>
        <v>1</v>
      </c>
    </row>
    <row r="330" customHeight="1" spans="1:23">
      <c r="A330" s="2">
        <v>317</v>
      </c>
      <c r="B330" s="3">
        <f t="shared" ref="B330:W330" si="320">MIN(1,IF($A330&lt;B$4+B$3,0,IF(B$2=0,1,IF(B$5=0,($A330-B$4)/B$2,IF(MOD($A330-B$4,B$5)=0,($A330-B$4)/B$2,QUOTIENT($A330-B$4,B$5)*B$5/B$2)))))</f>
        <v>1</v>
      </c>
      <c r="C330" s="3">
        <f t="shared" si="320"/>
        <v>1</v>
      </c>
      <c r="D330" s="3">
        <f t="shared" si="320"/>
        <v>1</v>
      </c>
      <c r="E330" s="3" t="e">
        <f t="shared" si="320"/>
        <v>#REF!</v>
      </c>
      <c r="F330" s="3">
        <f t="shared" si="320"/>
        <v>1</v>
      </c>
      <c r="G330" s="3">
        <f t="shared" si="320"/>
        <v>1</v>
      </c>
      <c r="H330" s="3">
        <f t="shared" si="320"/>
        <v>1</v>
      </c>
      <c r="I330" s="3">
        <f t="shared" si="320"/>
        <v>1</v>
      </c>
      <c r="J330" s="3">
        <f t="shared" si="320"/>
        <v>1</v>
      </c>
      <c r="K330" s="3">
        <f t="shared" si="320"/>
        <v>1</v>
      </c>
      <c r="L330" s="3">
        <f t="shared" si="320"/>
        <v>1</v>
      </c>
      <c r="M330" s="3" t="e">
        <f t="shared" si="320"/>
        <v>#REF!</v>
      </c>
      <c r="N330" s="3">
        <f t="shared" si="320"/>
        <v>1</v>
      </c>
      <c r="O330" s="3">
        <f t="shared" si="320"/>
        <v>1</v>
      </c>
      <c r="P330" s="3">
        <f t="shared" si="320"/>
        <v>1</v>
      </c>
      <c r="Q330" s="3">
        <f t="shared" si="320"/>
        <v>1</v>
      </c>
      <c r="R330" s="3">
        <f t="shared" si="320"/>
        <v>1</v>
      </c>
      <c r="S330" s="3">
        <f t="shared" si="320"/>
        <v>1</v>
      </c>
      <c r="T330" s="3">
        <f t="shared" si="320"/>
        <v>1</v>
      </c>
      <c r="U330" s="3">
        <f t="shared" si="320"/>
        <v>1</v>
      </c>
      <c r="V330" s="3">
        <f t="shared" si="320"/>
        <v>1</v>
      </c>
      <c r="W330" s="3">
        <f t="shared" si="320"/>
        <v>1</v>
      </c>
    </row>
    <row r="331" customHeight="1" spans="1:23">
      <c r="A331" s="2">
        <v>318</v>
      </c>
      <c r="B331" s="3">
        <f t="shared" ref="B331:W331" si="321">MIN(1,IF($A331&lt;B$4+B$3,0,IF(B$2=0,1,IF(B$5=0,($A331-B$4)/B$2,IF(MOD($A331-B$4,B$5)=0,($A331-B$4)/B$2,QUOTIENT($A331-B$4,B$5)*B$5/B$2)))))</f>
        <v>1</v>
      </c>
      <c r="C331" s="3">
        <f t="shared" si="321"/>
        <v>1</v>
      </c>
      <c r="D331" s="3">
        <f t="shared" si="321"/>
        <v>1</v>
      </c>
      <c r="E331" s="3" t="e">
        <f t="shared" si="321"/>
        <v>#REF!</v>
      </c>
      <c r="F331" s="3">
        <f t="shared" si="321"/>
        <v>1</v>
      </c>
      <c r="G331" s="3">
        <f t="shared" si="321"/>
        <v>1</v>
      </c>
      <c r="H331" s="3">
        <f t="shared" si="321"/>
        <v>1</v>
      </c>
      <c r="I331" s="3">
        <f t="shared" si="321"/>
        <v>1</v>
      </c>
      <c r="J331" s="3">
        <f t="shared" si="321"/>
        <v>1</v>
      </c>
      <c r="K331" s="3">
        <f t="shared" si="321"/>
        <v>1</v>
      </c>
      <c r="L331" s="3">
        <f t="shared" si="321"/>
        <v>1</v>
      </c>
      <c r="M331" s="3" t="e">
        <f t="shared" si="321"/>
        <v>#REF!</v>
      </c>
      <c r="N331" s="3">
        <f t="shared" si="321"/>
        <v>1</v>
      </c>
      <c r="O331" s="3">
        <f t="shared" si="321"/>
        <v>1</v>
      </c>
      <c r="P331" s="3">
        <f t="shared" si="321"/>
        <v>1</v>
      </c>
      <c r="Q331" s="3">
        <f t="shared" si="321"/>
        <v>1</v>
      </c>
      <c r="R331" s="3">
        <f t="shared" si="321"/>
        <v>1</v>
      </c>
      <c r="S331" s="3">
        <f t="shared" si="321"/>
        <v>1</v>
      </c>
      <c r="T331" s="3">
        <f t="shared" si="321"/>
        <v>1</v>
      </c>
      <c r="U331" s="3">
        <f t="shared" si="321"/>
        <v>1</v>
      </c>
      <c r="V331" s="3">
        <f t="shared" si="321"/>
        <v>1</v>
      </c>
      <c r="W331" s="3">
        <f t="shared" si="321"/>
        <v>1</v>
      </c>
    </row>
    <row r="332" customHeight="1" spans="1:23">
      <c r="A332" s="2">
        <v>319</v>
      </c>
      <c r="B332" s="3">
        <f t="shared" ref="B332:W332" si="322">MIN(1,IF($A332&lt;B$4+B$3,0,IF(B$2=0,1,IF(B$5=0,($A332-B$4)/B$2,IF(MOD($A332-B$4,B$5)=0,($A332-B$4)/B$2,QUOTIENT($A332-B$4,B$5)*B$5/B$2)))))</f>
        <v>1</v>
      </c>
      <c r="C332" s="3">
        <f t="shared" si="322"/>
        <v>1</v>
      </c>
      <c r="D332" s="3">
        <f t="shared" si="322"/>
        <v>1</v>
      </c>
      <c r="E332" s="3" t="e">
        <f t="shared" si="322"/>
        <v>#REF!</v>
      </c>
      <c r="F332" s="3">
        <f t="shared" si="322"/>
        <v>1</v>
      </c>
      <c r="G332" s="3">
        <f t="shared" si="322"/>
        <v>1</v>
      </c>
      <c r="H332" s="3">
        <f t="shared" si="322"/>
        <v>1</v>
      </c>
      <c r="I332" s="3">
        <f t="shared" si="322"/>
        <v>1</v>
      </c>
      <c r="J332" s="3">
        <f t="shared" si="322"/>
        <v>1</v>
      </c>
      <c r="K332" s="3">
        <f t="shared" si="322"/>
        <v>1</v>
      </c>
      <c r="L332" s="3">
        <f t="shared" si="322"/>
        <v>1</v>
      </c>
      <c r="M332" s="3" t="e">
        <f t="shared" si="322"/>
        <v>#REF!</v>
      </c>
      <c r="N332" s="3">
        <f t="shared" si="322"/>
        <v>1</v>
      </c>
      <c r="O332" s="3">
        <f t="shared" si="322"/>
        <v>1</v>
      </c>
      <c r="P332" s="3">
        <f t="shared" si="322"/>
        <v>1</v>
      </c>
      <c r="Q332" s="3">
        <f t="shared" si="322"/>
        <v>1</v>
      </c>
      <c r="R332" s="3">
        <f t="shared" si="322"/>
        <v>1</v>
      </c>
      <c r="S332" s="3">
        <f t="shared" si="322"/>
        <v>1</v>
      </c>
      <c r="T332" s="3">
        <f t="shared" si="322"/>
        <v>1</v>
      </c>
      <c r="U332" s="3">
        <f t="shared" si="322"/>
        <v>1</v>
      </c>
      <c r="V332" s="3">
        <f t="shared" si="322"/>
        <v>1</v>
      </c>
      <c r="W332" s="3">
        <f t="shared" si="322"/>
        <v>1</v>
      </c>
    </row>
    <row r="333" customHeight="1" spans="1:23">
      <c r="A333" s="2">
        <v>320</v>
      </c>
      <c r="B333" s="3">
        <f t="shared" ref="B333:W333" si="323">MIN(1,IF($A333&lt;B$4+B$3,0,IF(B$2=0,1,IF(B$5=0,($A333-B$4)/B$2,IF(MOD($A333-B$4,B$5)=0,($A333-B$4)/B$2,QUOTIENT($A333-B$4,B$5)*B$5/B$2)))))</f>
        <v>1</v>
      </c>
      <c r="C333" s="3">
        <f t="shared" si="323"/>
        <v>1</v>
      </c>
      <c r="D333" s="3">
        <f t="shared" si="323"/>
        <v>1</v>
      </c>
      <c r="E333" s="3" t="e">
        <f t="shared" si="323"/>
        <v>#REF!</v>
      </c>
      <c r="F333" s="3">
        <f t="shared" si="323"/>
        <v>1</v>
      </c>
      <c r="G333" s="3">
        <f t="shared" si="323"/>
        <v>1</v>
      </c>
      <c r="H333" s="3">
        <f t="shared" si="323"/>
        <v>1</v>
      </c>
      <c r="I333" s="3">
        <f t="shared" si="323"/>
        <v>1</v>
      </c>
      <c r="J333" s="3">
        <f t="shared" si="323"/>
        <v>1</v>
      </c>
      <c r="K333" s="3">
        <f t="shared" si="323"/>
        <v>1</v>
      </c>
      <c r="L333" s="3">
        <f t="shared" si="323"/>
        <v>1</v>
      </c>
      <c r="M333" s="3" t="e">
        <f t="shared" si="323"/>
        <v>#REF!</v>
      </c>
      <c r="N333" s="3">
        <f t="shared" si="323"/>
        <v>1</v>
      </c>
      <c r="O333" s="3">
        <f t="shared" si="323"/>
        <v>1</v>
      </c>
      <c r="P333" s="3">
        <f t="shared" si="323"/>
        <v>1</v>
      </c>
      <c r="Q333" s="3">
        <f t="shared" si="323"/>
        <v>1</v>
      </c>
      <c r="R333" s="3">
        <f t="shared" si="323"/>
        <v>1</v>
      </c>
      <c r="S333" s="3">
        <f t="shared" si="323"/>
        <v>1</v>
      </c>
      <c r="T333" s="3">
        <f t="shared" si="323"/>
        <v>1</v>
      </c>
      <c r="U333" s="3">
        <f t="shared" si="323"/>
        <v>1</v>
      </c>
      <c r="V333" s="3">
        <f t="shared" si="323"/>
        <v>1</v>
      </c>
      <c r="W333" s="3">
        <f t="shared" si="323"/>
        <v>1</v>
      </c>
    </row>
    <row r="334" customHeight="1" spans="1:23">
      <c r="A334" s="2">
        <v>321</v>
      </c>
      <c r="B334" s="3">
        <f t="shared" ref="B334:W334" si="324">MIN(1,IF($A334&lt;B$4+B$3,0,IF(B$2=0,1,IF(B$5=0,($A334-B$4)/B$2,IF(MOD($A334-B$4,B$5)=0,($A334-B$4)/B$2,QUOTIENT($A334-B$4,B$5)*B$5/B$2)))))</f>
        <v>1</v>
      </c>
      <c r="C334" s="3">
        <f t="shared" si="324"/>
        <v>1</v>
      </c>
      <c r="D334" s="3">
        <f t="shared" si="324"/>
        <v>1</v>
      </c>
      <c r="E334" s="3" t="e">
        <f t="shared" si="324"/>
        <v>#REF!</v>
      </c>
      <c r="F334" s="3">
        <f t="shared" si="324"/>
        <v>1</v>
      </c>
      <c r="G334" s="3">
        <f t="shared" si="324"/>
        <v>1</v>
      </c>
      <c r="H334" s="3">
        <f t="shared" si="324"/>
        <v>1</v>
      </c>
      <c r="I334" s="3">
        <f t="shared" si="324"/>
        <v>1</v>
      </c>
      <c r="J334" s="3">
        <f t="shared" si="324"/>
        <v>1</v>
      </c>
      <c r="K334" s="3">
        <f t="shared" si="324"/>
        <v>1</v>
      </c>
      <c r="L334" s="3">
        <f t="shared" si="324"/>
        <v>1</v>
      </c>
      <c r="M334" s="3" t="e">
        <f t="shared" si="324"/>
        <v>#REF!</v>
      </c>
      <c r="N334" s="3">
        <f t="shared" si="324"/>
        <v>1</v>
      </c>
      <c r="O334" s="3">
        <f t="shared" si="324"/>
        <v>1</v>
      </c>
      <c r="P334" s="3">
        <f t="shared" si="324"/>
        <v>1</v>
      </c>
      <c r="Q334" s="3">
        <f t="shared" si="324"/>
        <v>1</v>
      </c>
      <c r="R334" s="3">
        <f t="shared" si="324"/>
        <v>1</v>
      </c>
      <c r="S334" s="3">
        <f t="shared" si="324"/>
        <v>1</v>
      </c>
      <c r="T334" s="3">
        <f t="shared" si="324"/>
        <v>1</v>
      </c>
      <c r="U334" s="3">
        <f t="shared" si="324"/>
        <v>1</v>
      </c>
      <c r="V334" s="3">
        <f t="shared" si="324"/>
        <v>1</v>
      </c>
      <c r="W334" s="3">
        <f t="shared" si="324"/>
        <v>1</v>
      </c>
    </row>
    <row r="335" customHeight="1" spans="1:23">
      <c r="A335" s="2">
        <v>322</v>
      </c>
      <c r="B335" s="3">
        <f t="shared" ref="B335:W335" si="325">MIN(1,IF($A335&lt;B$4+B$3,0,IF(B$2=0,1,IF(B$5=0,($A335-B$4)/B$2,IF(MOD($A335-B$4,B$5)=0,($A335-B$4)/B$2,QUOTIENT($A335-B$4,B$5)*B$5/B$2)))))</f>
        <v>1</v>
      </c>
      <c r="C335" s="3">
        <f t="shared" si="325"/>
        <v>1</v>
      </c>
      <c r="D335" s="3">
        <f t="shared" si="325"/>
        <v>1</v>
      </c>
      <c r="E335" s="3" t="e">
        <f t="shared" si="325"/>
        <v>#REF!</v>
      </c>
      <c r="F335" s="3">
        <f t="shared" si="325"/>
        <v>1</v>
      </c>
      <c r="G335" s="3">
        <f t="shared" si="325"/>
        <v>1</v>
      </c>
      <c r="H335" s="3">
        <f t="shared" si="325"/>
        <v>1</v>
      </c>
      <c r="I335" s="3">
        <f t="shared" si="325"/>
        <v>1</v>
      </c>
      <c r="J335" s="3">
        <f t="shared" si="325"/>
        <v>1</v>
      </c>
      <c r="K335" s="3">
        <f t="shared" si="325"/>
        <v>1</v>
      </c>
      <c r="L335" s="3">
        <f t="shared" si="325"/>
        <v>1</v>
      </c>
      <c r="M335" s="3" t="e">
        <f t="shared" si="325"/>
        <v>#REF!</v>
      </c>
      <c r="N335" s="3">
        <f t="shared" si="325"/>
        <v>1</v>
      </c>
      <c r="O335" s="3">
        <f t="shared" si="325"/>
        <v>1</v>
      </c>
      <c r="P335" s="3">
        <f t="shared" si="325"/>
        <v>1</v>
      </c>
      <c r="Q335" s="3">
        <f t="shared" si="325"/>
        <v>1</v>
      </c>
      <c r="R335" s="3">
        <f t="shared" si="325"/>
        <v>1</v>
      </c>
      <c r="S335" s="3">
        <f t="shared" si="325"/>
        <v>1</v>
      </c>
      <c r="T335" s="3">
        <f t="shared" si="325"/>
        <v>1</v>
      </c>
      <c r="U335" s="3">
        <f t="shared" si="325"/>
        <v>1</v>
      </c>
      <c r="V335" s="3">
        <f t="shared" si="325"/>
        <v>1</v>
      </c>
      <c r="W335" s="3">
        <f t="shared" si="325"/>
        <v>1</v>
      </c>
    </row>
    <row r="336" customHeight="1" spans="1:23">
      <c r="A336" s="2">
        <v>323</v>
      </c>
      <c r="B336" s="3">
        <f t="shared" ref="B336:W336" si="326">MIN(1,IF($A336&lt;B$4+B$3,0,IF(B$2=0,1,IF(B$5=0,($A336-B$4)/B$2,IF(MOD($A336-B$4,B$5)=0,($A336-B$4)/B$2,QUOTIENT($A336-B$4,B$5)*B$5/B$2)))))</f>
        <v>1</v>
      </c>
      <c r="C336" s="3">
        <f t="shared" si="326"/>
        <v>1</v>
      </c>
      <c r="D336" s="3">
        <f t="shared" si="326"/>
        <v>1</v>
      </c>
      <c r="E336" s="3" t="e">
        <f t="shared" si="326"/>
        <v>#REF!</v>
      </c>
      <c r="F336" s="3">
        <f t="shared" si="326"/>
        <v>1</v>
      </c>
      <c r="G336" s="3">
        <f t="shared" si="326"/>
        <v>1</v>
      </c>
      <c r="H336" s="3">
        <f t="shared" si="326"/>
        <v>1</v>
      </c>
      <c r="I336" s="3">
        <f t="shared" si="326"/>
        <v>1</v>
      </c>
      <c r="J336" s="3">
        <f t="shared" si="326"/>
        <v>1</v>
      </c>
      <c r="K336" s="3">
        <f t="shared" si="326"/>
        <v>1</v>
      </c>
      <c r="L336" s="3">
        <f t="shared" si="326"/>
        <v>1</v>
      </c>
      <c r="M336" s="3" t="e">
        <f t="shared" si="326"/>
        <v>#REF!</v>
      </c>
      <c r="N336" s="3">
        <f t="shared" si="326"/>
        <v>1</v>
      </c>
      <c r="O336" s="3">
        <f t="shared" si="326"/>
        <v>1</v>
      </c>
      <c r="P336" s="3">
        <f t="shared" si="326"/>
        <v>1</v>
      </c>
      <c r="Q336" s="3">
        <f t="shared" si="326"/>
        <v>1</v>
      </c>
      <c r="R336" s="3">
        <f t="shared" si="326"/>
        <v>1</v>
      </c>
      <c r="S336" s="3">
        <f t="shared" si="326"/>
        <v>1</v>
      </c>
      <c r="T336" s="3">
        <f t="shared" si="326"/>
        <v>1</v>
      </c>
      <c r="U336" s="3">
        <f t="shared" si="326"/>
        <v>1</v>
      </c>
      <c r="V336" s="3">
        <f t="shared" si="326"/>
        <v>1</v>
      </c>
      <c r="W336" s="3">
        <f t="shared" si="326"/>
        <v>1</v>
      </c>
    </row>
    <row r="337" customHeight="1" spans="1:23">
      <c r="A337" s="2">
        <v>324</v>
      </c>
      <c r="B337" s="3">
        <f t="shared" ref="B337:W337" si="327">MIN(1,IF($A337&lt;B$4+B$3,0,IF(B$2=0,1,IF(B$5=0,($A337-B$4)/B$2,IF(MOD($A337-B$4,B$5)=0,($A337-B$4)/B$2,QUOTIENT($A337-B$4,B$5)*B$5/B$2)))))</f>
        <v>1</v>
      </c>
      <c r="C337" s="3">
        <f t="shared" si="327"/>
        <v>1</v>
      </c>
      <c r="D337" s="3">
        <f t="shared" si="327"/>
        <v>1</v>
      </c>
      <c r="E337" s="3" t="e">
        <f t="shared" si="327"/>
        <v>#REF!</v>
      </c>
      <c r="F337" s="3">
        <f t="shared" si="327"/>
        <v>1</v>
      </c>
      <c r="G337" s="3">
        <f t="shared" si="327"/>
        <v>1</v>
      </c>
      <c r="H337" s="3">
        <f t="shared" si="327"/>
        <v>1</v>
      </c>
      <c r="I337" s="3">
        <f t="shared" si="327"/>
        <v>1</v>
      </c>
      <c r="J337" s="3">
        <f t="shared" si="327"/>
        <v>1</v>
      </c>
      <c r="K337" s="3">
        <f t="shared" si="327"/>
        <v>1</v>
      </c>
      <c r="L337" s="3">
        <f t="shared" si="327"/>
        <v>1</v>
      </c>
      <c r="M337" s="3" t="e">
        <f t="shared" si="327"/>
        <v>#REF!</v>
      </c>
      <c r="N337" s="3">
        <f t="shared" si="327"/>
        <v>1</v>
      </c>
      <c r="O337" s="3">
        <f t="shared" si="327"/>
        <v>1</v>
      </c>
      <c r="P337" s="3">
        <f t="shared" si="327"/>
        <v>1</v>
      </c>
      <c r="Q337" s="3">
        <f t="shared" si="327"/>
        <v>1</v>
      </c>
      <c r="R337" s="3">
        <f t="shared" si="327"/>
        <v>1</v>
      </c>
      <c r="S337" s="3">
        <f t="shared" si="327"/>
        <v>1</v>
      </c>
      <c r="T337" s="3">
        <f t="shared" si="327"/>
        <v>1</v>
      </c>
      <c r="U337" s="3">
        <f t="shared" si="327"/>
        <v>1</v>
      </c>
      <c r="V337" s="3">
        <f t="shared" si="327"/>
        <v>1</v>
      </c>
      <c r="W337" s="3">
        <f t="shared" si="327"/>
        <v>1</v>
      </c>
    </row>
    <row r="338" customHeight="1" spans="1:23">
      <c r="A338" s="2">
        <v>325</v>
      </c>
      <c r="B338" s="3">
        <f t="shared" ref="B338:W338" si="328">MIN(1,IF($A338&lt;B$4+B$3,0,IF(B$2=0,1,IF(B$5=0,($A338-B$4)/B$2,IF(MOD($A338-B$4,B$5)=0,($A338-B$4)/B$2,QUOTIENT($A338-B$4,B$5)*B$5/B$2)))))</f>
        <v>1</v>
      </c>
      <c r="C338" s="3">
        <f t="shared" si="328"/>
        <v>1</v>
      </c>
      <c r="D338" s="3">
        <f t="shared" si="328"/>
        <v>1</v>
      </c>
      <c r="E338" s="3" t="e">
        <f t="shared" si="328"/>
        <v>#REF!</v>
      </c>
      <c r="F338" s="3">
        <f t="shared" si="328"/>
        <v>1</v>
      </c>
      <c r="G338" s="3">
        <f t="shared" si="328"/>
        <v>1</v>
      </c>
      <c r="H338" s="3">
        <f t="shared" si="328"/>
        <v>1</v>
      </c>
      <c r="I338" s="3">
        <f t="shared" si="328"/>
        <v>1</v>
      </c>
      <c r="J338" s="3">
        <f t="shared" si="328"/>
        <v>1</v>
      </c>
      <c r="K338" s="3">
        <f t="shared" si="328"/>
        <v>1</v>
      </c>
      <c r="L338" s="3">
        <f t="shared" si="328"/>
        <v>1</v>
      </c>
      <c r="M338" s="3" t="e">
        <f t="shared" si="328"/>
        <v>#REF!</v>
      </c>
      <c r="N338" s="3">
        <f t="shared" si="328"/>
        <v>1</v>
      </c>
      <c r="O338" s="3">
        <f t="shared" si="328"/>
        <v>1</v>
      </c>
      <c r="P338" s="3">
        <f t="shared" si="328"/>
        <v>1</v>
      </c>
      <c r="Q338" s="3">
        <f t="shared" si="328"/>
        <v>1</v>
      </c>
      <c r="R338" s="3">
        <f t="shared" si="328"/>
        <v>1</v>
      </c>
      <c r="S338" s="3">
        <f t="shared" si="328"/>
        <v>1</v>
      </c>
      <c r="T338" s="3">
        <f t="shared" si="328"/>
        <v>1</v>
      </c>
      <c r="U338" s="3">
        <f t="shared" si="328"/>
        <v>1</v>
      </c>
      <c r="V338" s="3">
        <f t="shared" si="328"/>
        <v>1</v>
      </c>
      <c r="W338" s="3">
        <f t="shared" si="328"/>
        <v>1</v>
      </c>
    </row>
    <row r="339" customHeight="1" spans="1:23">
      <c r="A339" s="2">
        <v>326</v>
      </c>
      <c r="B339" s="3">
        <f t="shared" ref="B339:W339" si="329">MIN(1,IF($A339&lt;B$4+B$3,0,IF(B$2=0,1,IF(B$5=0,($A339-B$4)/B$2,IF(MOD($A339-B$4,B$5)=0,($A339-B$4)/B$2,QUOTIENT($A339-B$4,B$5)*B$5/B$2)))))</f>
        <v>1</v>
      </c>
      <c r="C339" s="3">
        <f t="shared" si="329"/>
        <v>1</v>
      </c>
      <c r="D339" s="3">
        <f t="shared" si="329"/>
        <v>1</v>
      </c>
      <c r="E339" s="3" t="e">
        <f t="shared" si="329"/>
        <v>#REF!</v>
      </c>
      <c r="F339" s="3">
        <f t="shared" si="329"/>
        <v>1</v>
      </c>
      <c r="G339" s="3">
        <f t="shared" si="329"/>
        <v>1</v>
      </c>
      <c r="H339" s="3">
        <f t="shared" si="329"/>
        <v>1</v>
      </c>
      <c r="I339" s="3">
        <f t="shared" si="329"/>
        <v>1</v>
      </c>
      <c r="J339" s="3">
        <f t="shared" si="329"/>
        <v>1</v>
      </c>
      <c r="K339" s="3">
        <f t="shared" si="329"/>
        <v>1</v>
      </c>
      <c r="L339" s="3">
        <f t="shared" si="329"/>
        <v>1</v>
      </c>
      <c r="M339" s="3" t="e">
        <f t="shared" si="329"/>
        <v>#REF!</v>
      </c>
      <c r="N339" s="3">
        <f t="shared" si="329"/>
        <v>1</v>
      </c>
      <c r="O339" s="3">
        <f t="shared" si="329"/>
        <v>1</v>
      </c>
      <c r="P339" s="3">
        <f t="shared" si="329"/>
        <v>1</v>
      </c>
      <c r="Q339" s="3">
        <f t="shared" si="329"/>
        <v>1</v>
      </c>
      <c r="R339" s="3">
        <f t="shared" si="329"/>
        <v>1</v>
      </c>
      <c r="S339" s="3">
        <f t="shared" si="329"/>
        <v>1</v>
      </c>
      <c r="T339" s="3">
        <f t="shared" si="329"/>
        <v>1</v>
      </c>
      <c r="U339" s="3">
        <f t="shared" si="329"/>
        <v>1</v>
      </c>
      <c r="V339" s="3">
        <f t="shared" si="329"/>
        <v>1</v>
      </c>
      <c r="W339" s="3">
        <f t="shared" si="329"/>
        <v>1</v>
      </c>
    </row>
    <row r="340" customHeight="1" spans="1:23">
      <c r="A340" s="2">
        <v>327</v>
      </c>
      <c r="B340" s="3">
        <f t="shared" ref="B340:W340" si="330">MIN(1,IF($A340&lt;B$4+B$3,0,IF(B$2=0,1,IF(B$5=0,($A340-B$4)/B$2,IF(MOD($A340-B$4,B$5)=0,($A340-B$4)/B$2,QUOTIENT($A340-B$4,B$5)*B$5/B$2)))))</f>
        <v>1</v>
      </c>
      <c r="C340" s="3">
        <f t="shared" si="330"/>
        <v>1</v>
      </c>
      <c r="D340" s="3">
        <f t="shared" si="330"/>
        <v>1</v>
      </c>
      <c r="E340" s="3" t="e">
        <f t="shared" si="330"/>
        <v>#REF!</v>
      </c>
      <c r="F340" s="3">
        <f t="shared" si="330"/>
        <v>1</v>
      </c>
      <c r="G340" s="3">
        <f t="shared" si="330"/>
        <v>1</v>
      </c>
      <c r="H340" s="3">
        <f t="shared" si="330"/>
        <v>1</v>
      </c>
      <c r="I340" s="3">
        <f t="shared" si="330"/>
        <v>1</v>
      </c>
      <c r="J340" s="3">
        <f t="shared" si="330"/>
        <v>1</v>
      </c>
      <c r="K340" s="3">
        <f t="shared" si="330"/>
        <v>1</v>
      </c>
      <c r="L340" s="3">
        <f t="shared" si="330"/>
        <v>1</v>
      </c>
      <c r="M340" s="3" t="e">
        <f t="shared" si="330"/>
        <v>#REF!</v>
      </c>
      <c r="N340" s="3">
        <f t="shared" si="330"/>
        <v>1</v>
      </c>
      <c r="O340" s="3">
        <f t="shared" si="330"/>
        <v>1</v>
      </c>
      <c r="P340" s="3">
        <f t="shared" si="330"/>
        <v>1</v>
      </c>
      <c r="Q340" s="3">
        <f t="shared" si="330"/>
        <v>1</v>
      </c>
      <c r="R340" s="3">
        <f t="shared" si="330"/>
        <v>1</v>
      </c>
      <c r="S340" s="3">
        <f t="shared" si="330"/>
        <v>1</v>
      </c>
      <c r="T340" s="3">
        <f t="shared" si="330"/>
        <v>1</v>
      </c>
      <c r="U340" s="3">
        <f t="shared" si="330"/>
        <v>1</v>
      </c>
      <c r="V340" s="3">
        <f t="shared" si="330"/>
        <v>1</v>
      </c>
      <c r="W340" s="3">
        <f t="shared" si="330"/>
        <v>1</v>
      </c>
    </row>
    <row r="341" customHeight="1" spans="1:23">
      <c r="A341" s="2">
        <v>328</v>
      </c>
      <c r="B341" s="3">
        <f t="shared" ref="B341:W341" si="331">MIN(1,IF($A341&lt;B$4+B$3,0,IF(B$2=0,1,IF(B$5=0,($A341-B$4)/B$2,IF(MOD($A341-B$4,B$5)=0,($A341-B$4)/B$2,QUOTIENT($A341-B$4,B$5)*B$5/B$2)))))</f>
        <v>1</v>
      </c>
      <c r="C341" s="3">
        <f t="shared" si="331"/>
        <v>1</v>
      </c>
      <c r="D341" s="3">
        <f t="shared" si="331"/>
        <v>1</v>
      </c>
      <c r="E341" s="3" t="e">
        <f t="shared" si="331"/>
        <v>#REF!</v>
      </c>
      <c r="F341" s="3">
        <f t="shared" si="331"/>
        <v>1</v>
      </c>
      <c r="G341" s="3">
        <f t="shared" si="331"/>
        <v>1</v>
      </c>
      <c r="H341" s="3">
        <f t="shared" si="331"/>
        <v>1</v>
      </c>
      <c r="I341" s="3">
        <f t="shared" si="331"/>
        <v>1</v>
      </c>
      <c r="J341" s="3">
        <f t="shared" si="331"/>
        <v>1</v>
      </c>
      <c r="K341" s="3">
        <f t="shared" si="331"/>
        <v>1</v>
      </c>
      <c r="L341" s="3">
        <f t="shared" si="331"/>
        <v>1</v>
      </c>
      <c r="M341" s="3" t="e">
        <f t="shared" si="331"/>
        <v>#REF!</v>
      </c>
      <c r="N341" s="3">
        <f t="shared" si="331"/>
        <v>1</v>
      </c>
      <c r="O341" s="3">
        <f t="shared" si="331"/>
        <v>1</v>
      </c>
      <c r="P341" s="3">
        <f t="shared" si="331"/>
        <v>1</v>
      </c>
      <c r="Q341" s="3">
        <f t="shared" si="331"/>
        <v>1</v>
      </c>
      <c r="R341" s="3">
        <f t="shared" si="331"/>
        <v>1</v>
      </c>
      <c r="S341" s="3">
        <f t="shared" si="331"/>
        <v>1</v>
      </c>
      <c r="T341" s="3">
        <f t="shared" si="331"/>
        <v>1</v>
      </c>
      <c r="U341" s="3">
        <f t="shared" si="331"/>
        <v>1</v>
      </c>
      <c r="V341" s="3">
        <f t="shared" si="331"/>
        <v>1</v>
      </c>
      <c r="W341" s="3">
        <f t="shared" si="331"/>
        <v>1</v>
      </c>
    </row>
    <row r="342" customHeight="1" spans="1:23">
      <c r="A342" s="2">
        <v>329</v>
      </c>
      <c r="B342" s="3">
        <f t="shared" ref="B342:W342" si="332">MIN(1,IF($A342&lt;B$4+B$3,0,IF(B$2=0,1,IF(B$5=0,($A342-B$4)/B$2,IF(MOD($A342-B$4,B$5)=0,($A342-B$4)/B$2,QUOTIENT($A342-B$4,B$5)*B$5/B$2)))))</f>
        <v>1</v>
      </c>
      <c r="C342" s="3">
        <f t="shared" si="332"/>
        <v>1</v>
      </c>
      <c r="D342" s="3">
        <f t="shared" si="332"/>
        <v>1</v>
      </c>
      <c r="E342" s="3" t="e">
        <f t="shared" si="332"/>
        <v>#REF!</v>
      </c>
      <c r="F342" s="3">
        <f t="shared" si="332"/>
        <v>1</v>
      </c>
      <c r="G342" s="3">
        <f t="shared" si="332"/>
        <v>1</v>
      </c>
      <c r="H342" s="3">
        <f t="shared" si="332"/>
        <v>1</v>
      </c>
      <c r="I342" s="3">
        <f t="shared" si="332"/>
        <v>1</v>
      </c>
      <c r="J342" s="3">
        <f t="shared" si="332"/>
        <v>1</v>
      </c>
      <c r="K342" s="3">
        <f t="shared" si="332"/>
        <v>1</v>
      </c>
      <c r="L342" s="3">
        <f t="shared" si="332"/>
        <v>1</v>
      </c>
      <c r="M342" s="3" t="e">
        <f t="shared" si="332"/>
        <v>#REF!</v>
      </c>
      <c r="N342" s="3">
        <f t="shared" si="332"/>
        <v>1</v>
      </c>
      <c r="O342" s="3">
        <f t="shared" si="332"/>
        <v>1</v>
      </c>
      <c r="P342" s="3">
        <f t="shared" si="332"/>
        <v>1</v>
      </c>
      <c r="Q342" s="3">
        <f t="shared" si="332"/>
        <v>1</v>
      </c>
      <c r="R342" s="3">
        <f t="shared" si="332"/>
        <v>1</v>
      </c>
      <c r="S342" s="3">
        <f t="shared" si="332"/>
        <v>1</v>
      </c>
      <c r="T342" s="3">
        <f t="shared" si="332"/>
        <v>1</v>
      </c>
      <c r="U342" s="3">
        <f t="shared" si="332"/>
        <v>1</v>
      </c>
      <c r="V342" s="3">
        <f t="shared" si="332"/>
        <v>1</v>
      </c>
      <c r="W342" s="3">
        <f t="shared" si="332"/>
        <v>1</v>
      </c>
    </row>
    <row r="343" customHeight="1" spans="1:23">
      <c r="A343" s="2">
        <v>330</v>
      </c>
      <c r="B343" s="3">
        <f t="shared" ref="B343:W343" si="333">MIN(1,IF($A343&lt;B$4+B$3,0,IF(B$2=0,1,IF(B$5=0,($A343-B$4)/B$2,IF(MOD($A343-B$4,B$5)=0,($A343-B$4)/B$2,QUOTIENT($A343-B$4,B$5)*B$5/B$2)))))</f>
        <v>1</v>
      </c>
      <c r="C343" s="3">
        <f t="shared" si="333"/>
        <v>1</v>
      </c>
      <c r="D343" s="3">
        <f t="shared" si="333"/>
        <v>1</v>
      </c>
      <c r="E343" s="3" t="e">
        <f t="shared" si="333"/>
        <v>#REF!</v>
      </c>
      <c r="F343" s="3">
        <f t="shared" si="333"/>
        <v>1</v>
      </c>
      <c r="G343" s="3">
        <f t="shared" si="333"/>
        <v>1</v>
      </c>
      <c r="H343" s="3">
        <f t="shared" si="333"/>
        <v>1</v>
      </c>
      <c r="I343" s="3">
        <f t="shared" si="333"/>
        <v>1</v>
      </c>
      <c r="J343" s="3">
        <f t="shared" si="333"/>
        <v>1</v>
      </c>
      <c r="K343" s="3">
        <f t="shared" si="333"/>
        <v>1</v>
      </c>
      <c r="L343" s="3">
        <f t="shared" si="333"/>
        <v>1</v>
      </c>
      <c r="M343" s="3" t="e">
        <f t="shared" si="333"/>
        <v>#REF!</v>
      </c>
      <c r="N343" s="3">
        <f t="shared" si="333"/>
        <v>1</v>
      </c>
      <c r="O343" s="3">
        <f t="shared" si="333"/>
        <v>1</v>
      </c>
      <c r="P343" s="3">
        <f t="shared" si="333"/>
        <v>1</v>
      </c>
      <c r="Q343" s="3">
        <f t="shared" si="333"/>
        <v>1</v>
      </c>
      <c r="R343" s="3">
        <f t="shared" si="333"/>
        <v>1</v>
      </c>
      <c r="S343" s="3">
        <f t="shared" si="333"/>
        <v>1</v>
      </c>
      <c r="T343" s="3">
        <f t="shared" si="333"/>
        <v>1</v>
      </c>
      <c r="U343" s="3">
        <f t="shared" si="333"/>
        <v>1</v>
      </c>
      <c r="V343" s="3">
        <f t="shared" si="333"/>
        <v>1</v>
      </c>
      <c r="W343" s="3">
        <f t="shared" si="333"/>
        <v>1</v>
      </c>
    </row>
    <row r="344" customHeight="1" spans="1:23">
      <c r="A344" s="2">
        <v>331</v>
      </c>
      <c r="B344" s="3">
        <f t="shared" ref="B344:W344" si="334">MIN(1,IF($A344&lt;B$4+B$3,0,IF(B$2=0,1,IF(B$5=0,($A344-B$4)/B$2,IF(MOD($A344-B$4,B$5)=0,($A344-B$4)/B$2,QUOTIENT($A344-B$4,B$5)*B$5/B$2)))))</f>
        <v>1</v>
      </c>
      <c r="C344" s="3">
        <f t="shared" si="334"/>
        <v>1</v>
      </c>
      <c r="D344" s="3">
        <f t="shared" si="334"/>
        <v>1</v>
      </c>
      <c r="E344" s="3" t="e">
        <f t="shared" si="334"/>
        <v>#REF!</v>
      </c>
      <c r="F344" s="3">
        <f t="shared" si="334"/>
        <v>1</v>
      </c>
      <c r="G344" s="3">
        <f t="shared" si="334"/>
        <v>1</v>
      </c>
      <c r="H344" s="3">
        <f t="shared" si="334"/>
        <v>1</v>
      </c>
      <c r="I344" s="3">
        <f t="shared" si="334"/>
        <v>1</v>
      </c>
      <c r="J344" s="3">
        <f t="shared" si="334"/>
        <v>1</v>
      </c>
      <c r="K344" s="3">
        <f t="shared" si="334"/>
        <v>1</v>
      </c>
      <c r="L344" s="3">
        <f t="shared" si="334"/>
        <v>1</v>
      </c>
      <c r="M344" s="3" t="e">
        <f t="shared" si="334"/>
        <v>#REF!</v>
      </c>
      <c r="N344" s="3">
        <f t="shared" si="334"/>
        <v>1</v>
      </c>
      <c r="O344" s="3">
        <f t="shared" si="334"/>
        <v>1</v>
      </c>
      <c r="P344" s="3">
        <f t="shared" si="334"/>
        <v>1</v>
      </c>
      <c r="Q344" s="3">
        <f t="shared" si="334"/>
        <v>1</v>
      </c>
      <c r="R344" s="3">
        <f t="shared" si="334"/>
        <v>1</v>
      </c>
      <c r="S344" s="3">
        <f t="shared" si="334"/>
        <v>1</v>
      </c>
      <c r="T344" s="3">
        <f t="shared" si="334"/>
        <v>1</v>
      </c>
      <c r="U344" s="3">
        <f t="shared" si="334"/>
        <v>1</v>
      </c>
      <c r="V344" s="3">
        <f t="shared" si="334"/>
        <v>1</v>
      </c>
      <c r="W344" s="3">
        <f t="shared" si="334"/>
        <v>1</v>
      </c>
    </row>
    <row r="345" customHeight="1" spans="1:23">
      <c r="A345" s="2">
        <v>332</v>
      </c>
      <c r="B345" s="3">
        <f t="shared" ref="B345:W345" si="335">MIN(1,IF($A345&lt;B$4+B$3,0,IF(B$2=0,1,IF(B$5=0,($A345-B$4)/B$2,IF(MOD($A345-B$4,B$5)=0,($A345-B$4)/B$2,QUOTIENT($A345-B$4,B$5)*B$5/B$2)))))</f>
        <v>1</v>
      </c>
      <c r="C345" s="3">
        <f t="shared" si="335"/>
        <v>1</v>
      </c>
      <c r="D345" s="3">
        <f t="shared" si="335"/>
        <v>1</v>
      </c>
      <c r="E345" s="3" t="e">
        <f t="shared" si="335"/>
        <v>#REF!</v>
      </c>
      <c r="F345" s="3">
        <f t="shared" si="335"/>
        <v>1</v>
      </c>
      <c r="G345" s="3">
        <f t="shared" si="335"/>
        <v>1</v>
      </c>
      <c r="H345" s="3">
        <f t="shared" si="335"/>
        <v>1</v>
      </c>
      <c r="I345" s="3">
        <f t="shared" si="335"/>
        <v>1</v>
      </c>
      <c r="J345" s="3">
        <f t="shared" si="335"/>
        <v>1</v>
      </c>
      <c r="K345" s="3">
        <f t="shared" si="335"/>
        <v>1</v>
      </c>
      <c r="L345" s="3">
        <f t="shared" si="335"/>
        <v>1</v>
      </c>
      <c r="M345" s="3" t="e">
        <f t="shared" si="335"/>
        <v>#REF!</v>
      </c>
      <c r="N345" s="3">
        <f t="shared" si="335"/>
        <v>1</v>
      </c>
      <c r="O345" s="3">
        <f t="shared" si="335"/>
        <v>1</v>
      </c>
      <c r="P345" s="3">
        <f t="shared" si="335"/>
        <v>1</v>
      </c>
      <c r="Q345" s="3">
        <f t="shared" si="335"/>
        <v>1</v>
      </c>
      <c r="R345" s="3">
        <f t="shared" si="335"/>
        <v>1</v>
      </c>
      <c r="S345" s="3">
        <f t="shared" si="335"/>
        <v>1</v>
      </c>
      <c r="T345" s="3">
        <f t="shared" si="335"/>
        <v>1</v>
      </c>
      <c r="U345" s="3">
        <f t="shared" si="335"/>
        <v>1</v>
      </c>
      <c r="V345" s="3">
        <f t="shared" si="335"/>
        <v>1</v>
      </c>
      <c r="W345" s="3">
        <f t="shared" si="335"/>
        <v>1</v>
      </c>
    </row>
    <row r="346" customHeight="1" spans="1:23">
      <c r="A346" s="2">
        <v>333</v>
      </c>
      <c r="B346" s="3">
        <f t="shared" ref="B346:W346" si="336">MIN(1,IF($A346&lt;B$4+B$3,0,IF(B$2=0,1,IF(B$5=0,($A346-B$4)/B$2,IF(MOD($A346-B$4,B$5)=0,($A346-B$4)/B$2,QUOTIENT($A346-B$4,B$5)*B$5/B$2)))))</f>
        <v>1</v>
      </c>
      <c r="C346" s="3">
        <f t="shared" si="336"/>
        <v>1</v>
      </c>
      <c r="D346" s="3">
        <f t="shared" si="336"/>
        <v>1</v>
      </c>
      <c r="E346" s="3" t="e">
        <f t="shared" si="336"/>
        <v>#REF!</v>
      </c>
      <c r="F346" s="3">
        <f t="shared" si="336"/>
        <v>1</v>
      </c>
      <c r="G346" s="3">
        <f t="shared" si="336"/>
        <v>1</v>
      </c>
      <c r="H346" s="3">
        <f t="shared" si="336"/>
        <v>1</v>
      </c>
      <c r="I346" s="3">
        <f t="shared" si="336"/>
        <v>1</v>
      </c>
      <c r="J346" s="3">
        <f t="shared" si="336"/>
        <v>1</v>
      </c>
      <c r="K346" s="3">
        <f t="shared" si="336"/>
        <v>1</v>
      </c>
      <c r="L346" s="3">
        <f t="shared" si="336"/>
        <v>1</v>
      </c>
      <c r="M346" s="3" t="e">
        <f t="shared" si="336"/>
        <v>#REF!</v>
      </c>
      <c r="N346" s="3">
        <f t="shared" si="336"/>
        <v>1</v>
      </c>
      <c r="O346" s="3">
        <f t="shared" si="336"/>
        <v>1</v>
      </c>
      <c r="P346" s="3">
        <f t="shared" si="336"/>
        <v>1</v>
      </c>
      <c r="Q346" s="3">
        <f t="shared" si="336"/>
        <v>1</v>
      </c>
      <c r="R346" s="3">
        <f t="shared" si="336"/>
        <v>1</v>
      </c>
      <c r="S346" s="3">
        <f t="shared" si="336"/>
        <v>1</v>
      </c>
      <c r="T346" s="3">
        <f t="shared" si="336"/>
        <v>1</v>
      </c>
      <c r="U346" s="3">
        <f t="shared" si="336"/>
        <v>1</v>
      </c>
      <c r="V346" s="3">
        <f t="shared" si="336"/>
        <v>1</v>
      </c>
      <c r="W346" s="3">
        <f t="shared" si="336"/>
        <v>1</v>
      </c>
    </row>
    <row r="347" customHeight="1" spans="1:23">
      <c r="A347" s="2">
        <v>334</v>
      </c>
      <c r="B347" s="3">
        <f t="shared" ref="B347:W347" si="337">MIN(1,IF($A347&lt;B$4+B$3,0,IF(B$2=0,1,IF(B$5=0,($A347-B$4)/B$2,IF(MOD($A347-B$4,B$5)=0,($A347-B$4)/B$2,QUOTIENT($A347-B$4,B$5)*B$5/B$2)))))</f>
        <v>1</v>
      </c>
      <c r="C347" s="3">
        <f t="shared" si="337"/>
        <v>1</v>
      </c>
      <c r="D347" s="3">
        <f t="shared" si="337"/>
        <v>1</v>
      </c>
      <c r="E347" s="3" t="e">
        <f t="shared" si="337"/>
        <v>#REF!</v>
      </c>
      <c r="F347" s="3">
        <f t="shared" si="337"/>
        <v>1</v>
      </c>
      <c r="G347" s="3">
        <f t="shared" si="337"/>
        <v>1</v>
      </c>
      <c r="H347" s="3">
        <f t="shared" si="337"/>
        <v>1</v>
      </c>
      <c r="I347" s="3">
        <f t="shared" si="337"/>
        <v>1</v>
      </c>
      <c r="J347" s="3">
        <f t="shared" si="337"/>
        <v>1</v>
      </c>
      <c r="K347" s="3">
        <f t="shared" si="337"/>
        <v>1</v>
      </c>
      <c r="L347" s="3">
        <f t="shared" si="337"/>
        <v>1</v>
      </c>
      <c r="M347" s="3" t="e">
        <f t="shared" si="337"/>
        <v>#REF!</v>
      </c>
      <c r="N347" s="3">
        <f t="shared" si="337"/>
        <v>1</v>
      </c>
      <c r="O347" s="3">
        <f t="shared" si="337"/>
        <v>1</v>
      </c>
      <c r="P347" s="3">
        <f t="shared" si="337"/>
        <v>1</v>
      </c>
      <c r="Q347" s="3">
        <f t="shared" si="337"/>
        <v>1</v>
      </c>
      <c r="R347" s="3">
        <f t="shared" si="337"/>
        <v>1</v>
      </c>
      <c r="S347" s="3">
        <f t="shared" si="337"/>
        <v>1</v>
      </c>
      <c r="T347" s="3">
        <f t="shared" si="337"/>
        <v>1</v>
      </c>
      <c r="U347" s="3">
        <f t="shared" si="337"/>
        <v>1</v>
      </c>
      <c r="V347" s="3">
        <f t="shared" si="337"/>
        <v>1</v>
      </c>
      <c r="W347" s="3">
        <f t="shared" si="337"/>
        <v>1</v>
      </c>
    </row>
    <row r="348" customHeight="1" spans="1:23">
      <c r="A348" s="2">
        <v>335</v>
      </c>
      <c r="B348" s="3">
        <f t="shared" ref="B348:W348" si="338">MIN(1,IF($A348&lt;B$4+B$3,0,IF(B$2=0,1,IF(B$5=0,($A348-B$4)/B$2,IF(MOD($A348-B$4,B$5)=0,($A348-B$4)/B$2,QUOTIENT($A348-B$4,B$5)*B$5/B$2)))))</f>
        <v>1</v>
      </c>
      <c r="C348" s="3">
        <f t="shared" si="338"/>
        <v>1</v>
      </c>
      <c r="D348" s="3">
        <f t="shared" si="338"/>
        <v>1</v>
      </c>
      <c r="E348" s="3" t="e">
        <f t="shared" si="338"/>
        <v>#REF!</v>
      </c>
      <c r="F348" s="3">
        <f t="shared" si="338"/>
        <v>1</v>
      </c>
      <c r="G348" s="3">
        <f t="shared" si="338"/>
        <v>1</v>
      </c>
      <c r="H348" s="3">
        <f t="shared" si="338"/>
        <v>1</v>
      </c>
      <c r="I348" s="3">
        <f t="shared" si="338"/>
        <v>1</v>
      </c>
      <c r="J348" s="3">
        <f t="shared" si="338"/>
        <v>1</v>
      </c>
      <c r="K348" s="3">
        <f t="shared" si="338"/>
        <v>1</v>
      </c>
      <c r="L348" s="3">
        <f t="shared" si="338"/>
        <v>1</v>
      </c>
      <c r="M348" s="3" t="e">
        <f t="shared" si="338"/>
        <v>#REF!</v>
      </c>
      <c r="N348" s="3">
        <f t="shared" si="338"/>
        <v>1</v>
      </c>
      <c r="O348" s="3">
        <f t="shared" si="338"/>
        <v>1</v>
      </c>
      <c r="P348" s="3">
        <f t="shared" si="338"/>
        <v>1</v>
      </c>
      <c r="Q348" s="3">
        <f t="shared" si="338"/>
        <v>1</v>
      </c>
      <c r="R348" s="3">
        <f t="shared" si="338"/>
        <v>1</v>
      </c>
      <c r="S348" s="3">
        <f t="shared" si="338"/>
        <v>1</v>
      </c>
      <c r="T348" s="3">
        <f t="shared" si="338"/>
        <v>1</v>
      </c>
      <c r="U348" s="3">
        <f t="shared" si="338"/>
        <v>1</v>
      </c>
      <c r="V348" s="3">
        <f t="shared" si="338"/>
        <v>1</v>
      </c>
      <c r="W348" s="3">
        <f t="shared" si="338"/>
        <v>1</v>
      </c>
    </row>
    <row r="349" customHeight="1" spans="1:23">
      <c r="A349" s="2">
        <v>336</v>
      </c>
      <c r="B349" s="3">
        <f t="shared" ref="B349:W349" si="339">MIN(1,IF($A349&lt;B$4+B$3,0,IF(B$2=0,1,IF(B$5=0,($A349-B$4)/B$2,IF(MOD($A349-B$4,B$5)=0,($A349-B$4)/B$2,QUOTIENT($A349-B$4,B$5)*B$5/B$2)))))</f>
        <v>1</v>
      </c>
      <c r="C349" s="3">
        <f t="shared" si="339"/>
        <v>1</v>
      </c>
      <c r="D349" s="3">
        <f t="shared" si="339"/>
        <v>1</v>
      </c>
      <c r="E349" s="3" t="e">
        <f t="shared" si="339"/>
        <v>#REF!</v>
      </c>
      <c r="F349" s="3">
        <f t="shared" si="339"/>
        <v>1</v>
      </c>
      <c r="G349" s="3">
        <f t="shared" si="339"/>
        <v>1</v>
      </c>
      <c r="H349" s="3">
        <f t="shared" si="339"/>
        <v>1</v>
      </c>
      <c r="I349" s="3">
        <f t="shared" si="339"/>
        <v>1</v>
      </c>
      <c r="J349" s="3">
        <f t="shared" si="339"/>
        <v>1</v>
      </c>
      <c r="K349" s="3">
        <f t="shared" si="339"/>
        <v>1</v>
      </c>
      <c r="L349" s="3">
        <f t="shared" si="339"/>
        <v>1</v>
      </c>
      <c r="M349" s="3" t="e">
        <f t="shared" si="339"/>
        <v>#REF!</v>
      </c>
      <c r="N349" s="3">
        <f t="shared" si="339"/>
        <v>1</v>
      </c>
      <c r="O349" s="3">
        <f t="shared" si="339"/>
        <v>1</v>
      </c>
      <c r="P349" s="3">
        <f t="shared" si="339"/>
        <v>1</v>
      </c>
      <c r="Q349" s="3">
        <f t="shared" si="339"/>
        <v>1</v>
      </c>
      <c r="R349" s="3">
        <f t="shared" si="339"/>
        <v>1</v>
      </c>
      <c r="S349" s="3">
        <f t="shared" si="339"/>
        <v>1</v>
      </c>
      <c r="T349" s="3">
        <f t="shared" si="339"/>
        <v>1</v>
      </c>
      <c r="U349" s="3">
        <f t="shared" si="339"/>
        <v>1</v>
      </c>
      <c r="V349" s="3">
        <f t="shared" si="339"/>
        <v>1</v>
      </c>
      <c r="W349" s="3">
        <f t="shared" si="339"/>
        <v>1</v>
      </c>
    </row>
    <row r="350" customHeight="1" spans="1:23">
      <c r="A350" s="2">
        <v>337</v>
      </c>
      <c r="B350" s="3">
        <f t="shared" ref="B350:W350" si="340">MIN(1,IF($A350&lt;B$4+B$3,0,IF(B$2=0,1,IF(B$5=0,($A350-B$4)/B$2,IF(MOD($A350-B$4,B$5)=0,($A350-B$4)/B$2,QUOTIENT($A350-B$4,B$5)*B$5/B$2)))))</f>
        <v>1</v>
      </c>
      <c r="C350" s="3">
        <f t="shared" si="340"/>
        <v>1</v>
      </c>
      <c r="D350" s="3">
        <f t="shared" si="340"/>
        <v>1</v>
      </c>
      <c r="E350" s="3" t="e">
        <f t="shared" si="340"/>
        <v>#REF!</v>
      </c>
      <c r="F350" s="3">
        <f t="shared" si="340"/>
        <v>1</v>
      </c>
      <c r="G350" s="3">
        <f t="shared" si="340"/>
        <v>1</v>
      </c>
      <c r="H350" s="3">
        <f t="shared" si="340"/>
        <v>1</v>
      </c>
      <c r="I350" s="3">
        <f t="shared" si="340"/>
        <v>1</v>
      </c>
      <c r="J350" s="3">
        <f t="shared" si="340"/>
        <v>1</v>
      </c>
      <c r="K350" s="3">
        <f t="shared" si="340"/>
        <v>1</v>
      </c>
      <c r="L350" s="3">
        <f t="shared" si="340"/>
        <v>1</v>
      </c>
      <c r="M350" s="3" t="e">
        <f t="shared" si="340"/>
        <v>#REF!</v>
      </c>
      <c r="N350" s="3">
        <f t="shared" si="340"/>
        <v>1</v>
      </c>
      <c r="O350" s="3">
        <f t="shared" si="340"/>
        <v>1</v>
      </c>
      <c r="P350" s="3">
        <f t="shared" si="340"/>
        <v>1</v>
      </c>
      <c r="Q350" s="3">
        <f t="shared" si="340"/>
        <v>1</v>
      </c>
      <c r="R350" s="3">
        <f t="shared" si="340"/>
        <v>1</v>
      </c>
      <c r="S350" s="3">
        <f t="shared" si="340"/>
        <v>1</v>
      </c>
      <c r="T350" s="3">
        <f t="shared" si="340"/>
        <v>1</v>
      </c>
      <c r="U350" s="3">
        <f t="shared" si="340"/>
        <v>1</v>
      </c>
      <c r="V350" s="3">
        <f t="shared" si="340"/>
        <v>1</v>
      </c>
      <c r="W350" s="3">
        <f t="shared" si="340"/>
        <v>1</v>
      </c>
    </row>
    <row r="351" customHeight="1" spans="1:23">
      <c r="A351" s="2">
        <v>338</v>
      </c>
      <c r="B351" s="3">
        <f t="shared" ref="B351:W351" si="341">MIN(1,IF($A351&lt;B$4+B$3,0,IF(B$2=0,1,IF(B$5=0,($A351-B$4)/B$2,IF(MOD($A351-B$4,B$5)=0,($A351-B$4)/B$2,QUOTIENT($A351-B$4,B$5)*B$5/B$2)))))</f>
        <v>1</v>
      </c>
      <c r="C351" s="3">
        <f t="shared" si="341"/>
        <v>1</v>
      </c>
      <c r="D351" s="3">
        <f t="shared" si="341"/>
        <v>1</v>
      </c>
      <c r="E351" s="3" t="e">
        <f t="shared" si="341"/>
        <v>#REF!</v>
      </c>
      <c r="F351" s="3">
        <f t="shared" si="341"/>
        <v>1</v>
      </c>
      <c r="G351" s="3">
        <f t="shared" si="341"/>
        <v>1</v>
      </c>
      <c r="H351" s="3">
        <f t="shared" si="341"/>
        <v>1</v>
      </c>
      <c r="I351" s="3">
        <f t="shared" si="341"/>
        <v>1</v>
      </c>
      <c r="J351" s="3">
        <f t="shared" si="341"/>
        <v>1</v>
      </c>
      <c r="K351" s="3">
        <f t="shared" si="341"/>
        <v>1</v>
      </c>
      <c r="L351" s="3">
        <f t="shared" si="341"/>
        <v>1</v>
      </c>
      <c r="M351" s="3" t="e">
        <f t="shared" si="341"/>
        <v>#REF!</v>
      </c>
      <c r="N351" s="3">
        <f t="shared" si="341"/>
        <v>1</v>
      </c>
      <c r="O351" s="3">
        <f t="shared" si="341"/>
        <v>1</v>
      </c>
      <c r="P351" s="3">
        <f t="shared" si="341"/>
        <v>1</v>
      </c>
      <c r="Q351" s="3">
        <f t="shared" si="341"/>
        <v>1</v>
      </c>
      <c r="R351" s="3">
        <f t="shared" si="341"/>
        <v>1</v>
      </c>
      <c r="S351" s="3">
        <f t="shared" si="341"/>
        <v>1</v>
      </c>
      <c r="T351" s="3">
        <f t="shared" si="341"/>
        <v>1</v>
      </c>
      <c r="U351" s="3">
        <f t="shared" si="341"/>
        <v>1</v>
      </c>
      <c r="V351" s="3">
        <f t="shared" si="341"/>
        <v>1</v>
      </c>
      <c r="W351" s="3">
        <f t="shared" si="341"/>
        <v>1</v>
      </c>
    </row>
    <row r="352" customHeight="1" spans="1:23">
      <c r="A352" s="2">
        <v>339</v>
      </c>
      <c r="B352" s="3">
        <f t="shared" ref="B352:W352" si="342">MIN(1,IF($A352&lt;B$4+B$3,0,IF(B$2=0,1,IF(B$5=0,($A352-B$4)/B$2,IF(MOD($A352-B$4,B$5)=0,($A352-B$4)/B$2,QUOTIENT($A352-B$4,B$5)*B$5/B$2)))))</f>
        <v>1</v>
      </c>
      <c r="C352" s="3">
        <f t="shared" si="342"/>
        <v>1</v>
      </c>
      <c r="D352" s="3">
        <f t="shared" si="342"/>
        <v>1</v>
      </c>
      <c r="E352" s="3" t="e">
        <f t="shared" si="342"/>
        <v>#REF!</v>
      </c>
      <c r="F352" s="3">
        <f t="shared" si="342"/>
        <v>1</v>
      </c>
      <c r="G352" s="3">
        <f t="shared" si="342"/>
        <v>1</v>
      </c>
      <c r="H352" s="3">
        <f t="shared" si="342"/>
        <v>1</v>
      </c>
      <c r="I352" s="3">
        <f t="shared" si="342"/>
        <v>1</v>
      </c>
      <c r="J352" s="3">
        <f t="shared" si="342"/>
        <v>1</v>
      </c>
      <c r="K352" s="3">
        <f t="shared" si="342"/>
        <v>1</v>
      </c>
      <c r="L352" s="3">
        <f t="shared" si="342"/>
        <v>1</v>
      </c>
      <c r="M352" s="3" t="e">
        <f t="shared" si="342"/>
        <v>#REF!</v>
      </c>
      <c r="N352" s="3">
        <f t="shared" si="342"/>
        <v>1</v>
      </c>
      <c r="O352" s="3">
        <f t="shared" si="342"/>
        <v>1</v>
      </c>
      <c r="P352" s="3">
        <f t="shared" si="342"/>
        <v>1</v>
      </c>
      <c r="Q352" s="3">
        <f t="shared" si="342"/>
        <v>1</v>
      </c>
      <c r="R352" s="3">
        <f t="shared" si="342"/>
        <v>1</v>
      </c>
      <c r="S352" s="3">
        <f t="shared" si="342"/>
        <v>1</v>
      </c>
      <c r="T352" s="3">
        <f t="shared" si="342"/>
        <v>1</v>
      </c>
      <c r="U352" s="3">
        <f t="shared" si="342"/>
        <v>1</v>
      </c>
      <c r="V352" s="3">
        <f t="shared" si="342"/>
        <v>1</v>
      </c>
      <c r="W352" s="3">
        <f t="shared" si="342"/>
        <v>1</v>
      </c>
    </row>
    <row r="353" customHeight="1" spans="1:23">
      <c r="A353" s="2">
        <v>340</v>
      </c>
      <c r="B353" s="3">
        <f t="shared" ref="B353:W353" si="343">MIN(1,IF($A353&lt;B$4+B$3,0,IF(B$2=0,1,IF(B$5=0,($A353-B$4)/B$2,IF(MOD($A353-B$4,B$5)=0,($A353-B$4)/B$2,QUOTIENT($A353-B$4,B$5)*B$5/B$2)))))</f>
        <v>1</v>
      </c>
      <c r="C353" s="3">
        <f t="shared" si="343"/>
        <v>1</v>
      </c>
      <c r="D353" s="3">
        <f t="shared" si="343"/>
        <v>1</v>
      </c>
      <c r="E353" s="3" t="e">
        <f t="shared" si="343"/>
        <v>#REF!</v>
      </c>
      <c r="F353" s="3">
        <f t="shared" si="343"/>
        <v>1</v>
      </c>
      <c r="G353" s="3">
        <f t="shared" si="343"/>
        <v>1</v>
      </c>
      <c r="H353" s="3">
        <f t="shared" si="343"/>
        <v>1</v>
      </c>
      <c r="I353" s="3">
        <f t="shared" si="343"/>
        <v>1</v>
      </c>
      <c r="J353" s="3">
        <f t="shared" si="343"/>
        <v>1</v>
      </c>
      <c r="K353" s="3">
        <f t="shared" si="343"/>
        <v>1</v>
      </c>
      <c r="L353" s="3">
        <f t="shared" si="343"/>
        <v>1</v>
      </c>
      <c r="M353" s="3" t="e">
        <f t="shared" si="343"/>
        <v>#REF!</v>
      </c>
      <c r="N353" s="3">
        <f t="shared" si="343"/>
        <v>1</v>
      </c>
      <c r="O353" s="3">
        <f t="shared" si="343"/>
        <v>1</v>
      </c>
      <c r="P353" s="3">
        <f t="shared" si="343"/>
        <v>1</v>
      </c>
      <c r="Q353" s="3">
        <f t="shared" si="343"/>
        <v>1</v>
      </c>
      <c r="R353" s="3">
        <f t="shared" si="343"/>
        <v>1</v>
      </c>
      <c r="S353" s="3">
        <f t="shared" si="343"/>
        <v>1</v>
      </c>
      <c r="T353" s="3">
        <f t="shared" si="343"/>
        <v>1</v>
      </c>
      <c r="U353" s="3">
        <f t="shared" si="343"/>
        <v>1</v>
      </c>
      <c r="V353" s="3">
        <f t="shared" si="343"/>
        <v>1</v>
      </c>
      <c r="W353" s="3">
        <f t="shared" si="343"/>
        <v>1</v>
      </c>
    </row>
    <row r="354" customHeight="1" spans="1:23">
      <c r="A354" s="2">
        <v>341</v>
      </c>
      <c r="B354" s="3">
        <f t="shared" ref="B354:W354" si="344">MIN(1,IF($A354&lt;B$4+B$3,0,IF(B$2=0,1,IF(B$5=0,($A354-B$4)/B$2,IF(MOD($A354-B$4,B$5)=0,($A354-B$4)/B$2,QUOTIENT($A354-B$4,B$5)*B$5/B$2)))))</f>
        <v>1</v>
      </c>
      <c r="C354" s="3">
        <f t="shared" si="344"/>
        <v>1</v>
      </c>
      <c r="D354" s="3">
        <f t="shared" si="344"/>
        <v>1</v>
      </c>
      <c r="E354" s="3" t="e">
        <f t="shared" si="344"/>
        <v>#REF!</v>
      </c>
      <c r="F354" s="3">
        <f t="shared" si="344"/>
        <v>1</v>
      </c>
      <c r="G354" s="3">
        <f t="shared" si="344"/>
        <v>1</v>
      </c>
      <c r="H354" s="3">
        <f t="shared" si="344"/>
        <v>1</v>
      </c>
      <c r="I354" s="3">
        <f t="shared" si="344"/>
        <v>1</v>
      </c>
      <c r="J354" s="3">
        <f t="shared" si="344"/>
        <v>1</v>
      </c>
      <c r="K354" s="3">
        <f t="shared" si="344"/>
        <v>1</v>
      </c>
      <c r="L354" s="3">
        <f t="shared" si="344"/>
        <v>1</v>
      </c>
      <c r="M354" s="3" t="e">
        <f t="shared" si="344"/>
        <v>#REF!</v>
      </c>
      <c r="N354" s="3">
        <f t="shared" si="344"/>
        <v>1</v>
      </c>
      <c r="O354" s="3">
        <f t="shared" si="344"/>
        <v>1</v>
      </c>
      <c r="P354" s="3">
        <f t="shared" si="344"/>
        <v>1</v>
      </c>
      <c r="Q354" s="3">
        <f t="shared" si="344"/>
        <v>1</v>
      </c>
      <c r="R354" s="3">
        <f t="shared" si="344"/>
        <v>1</v>
      </c>
      <c r="S354" s="3">
        <f t="shared" si="344"/>
        <v>1</v>
      </c>
      <c r="T354" s="3">
        <f t="shared" si="344"/>
        <v>1</v>
      </c>
      <c r="U354" s="3">
        <f t="shared" si="344"/>
        <v>1</v>
      </c>
      <c r="V354" s="3">
        <f t="shared" si="344"/>
        <v>1</v>
      </c>
      <c r="W354" s="3">
        <f t="shared" si="344"/>
        <v>1</v>
      </c>
    </row>
    <row r="355" customHeight="1" spans="1:23">
      <c r="A355" s="2">
        <v>342</v>
      </c>
      <c r="B355" s="3">
        <f t="shared" ref="B355:W355" si="345">MIN(1,IF($A355&lt;B$4+B$3,0,IF(B$2=0,1,IF(B$5=0,($A355-B$4)/B$2,IF(MOD($A355-B$4,B$5)=0,($A355-B$4)/B$2,QUOTIENT($A355-B$4,B$5)*B$5/B$2)))))</f>
        <v>1</v>
      </c>
      <c r="C355" s="3">
        <f t="shared" si="345"/>
        <v>1</v>
      </c>
      <c r="D355" s="3">
        <f t="shared" si="345"/>
        <v>1</v>
      </c>
      <c r="E355" s="3" t="e">
        <f t="shared" si="345"/>
        <v>#REF!</v>
      </c>
      <c r="F355" s="3">
        <f t="shared" si="345"/>
        <v>1</v>
      </c>
      <c r="G355" s="3">
        <f t="shared" si="345"/>
        <v>1</v>
      </c>
      <c r="H355" s="3">
        <f t="shared" si="345"/>
        <v>1</v>
      </c>
      <c r="I355" s="3">
        <f t="shared" si="345"/>
        <v>1</v>
      </c>
      <c r="J355" s="3">
        <f t="shared" si="345"/>
        <v>1</v>
      </c>
      <c r="K355" s="3">
        <f t="shared" si="345"/>
        <v>1</v>
      </c>
      <c r="L355" s="3">
        <f t="shared" si="345"/>
        <v>1</v>
      </c>
      <c r="M355" s="3" t="e">
        <f t="shared" si="345"/>
        <v>#REF!</v>
      </c>
      <c r="N355" s="3">
        <f t="shared" si="345"/>
        <v>1</v>
      </c>
      <c r="O355" s="3">
        <f t="shared" si="345"/>
        <v>1</v>
      </c>
      <c r="P355" s="3">
        <f t="shared" si="345"/>
        <v>1</v>
      </c>
      <c r="Q355" s="3">
        <f t="shared" si="345"/>
        <v>1</v>
      </c>
      <c r="R355" s="3">
        <f t="shared" si="345"/>
        <v>1</v>
      </c>
      <c r="S355" s="3">
        <f t="shared" si="345"/>
        <v>1</v>
      </c>
      <c r="T355" s="3">
        <f t="shared" si="345"/>
        <v>1</v>
      </c>
      <c r="U355" s="3">
        <f t="shared" si="345"/>
        <v>1</v>
      </c>
      <c r="V355" s="3">
        <f t="shared" si="345"/>
        <v>1</v>
      </c>
      <c r="W355" s="3">
        <f t="shared" si="345"/>
        <v>1</v>
      </c>
    </row>
    <row r="356" customHeight="1" spans="1:23">
      <c r="A356" s="2">
        <v>343</v>
      </c>
      <c r="B356" s="3">
        <f t="shared" ref="B356:W356" si="346">MIN(1,IF($A356&lt;B$4+B$3,0,IF(B$2=0,1,IF(B$5=0,($A356-B$4)/B$2,IF(MOD($A356-B$4,B$5)=0,($A356-B$4)/B$2,QUOTIENT($A356-B$4,B$5)*B$5/B$2)))))</f>
        <v>1</v>
      </c>
      <c r="C356" s="3">
        <f t="shared" si="346"/>
        <v>1</v>
      </c>
      <c r="D356" s="3">
        <f t="shared" si="346"/>
        <v>1</v>
      </c>
      <c r="E356" s="3" t="e">
        <f t="shared" si="346"/>
        <v>#REF!</v>
      </c>
      <c r="F356" s="3">
        <f t="shared" si="346"/>
        <v>1</v>
      </c>
      <c r="G356" s="3">
        <f t="shared" si="346"/>
        <v>1</v>
      </c>
      <c r="H356" s="3">
        <f t="shared" si="346"/>
        <v>1</v>
      </c>
      <c r="I356" s="3">
        <f t="shared" si="346"/>
        <v>1</v>
      </c>
      <c r="J356" s="3">
        <f t="shared" si="346"/>
        <v>1</v>
      </c>
      <c r="K356" s="3">
        <f t="shared" si="346"/>
        <v>1</v>
      </c>
      <c r="L356" s="3">
        <f t="shared" si="346"/>
        <v>1</v>
      </c>
      <c r="M356" s="3" t="e">
        <f t="shared" si="346"/>
        <v>#REF!</v>
      </c>
      <c r="N356" s="3">
        <f t="shared" si="346"/>
        <v>1</v>
      </c>
      <c r="O356" s="3">
        <f t="shared" si="346"/>
        <v>1</v>
      </c>
      <c r="P356" s="3">
        <f t="shared" si="346"/>
        <v>1</v>
      </c>
      <c r="Q356" s="3">
        <f t="shared" si="346"/>
        <v>1</v>
      </c>
      <c r="R356" s="3">
        <f t="shared" si="346"/>
        <v>1</v>
      </c>
      <c r="S356" s="3">
        <f t="shared" si="346"/>
        <v>1</v>
      </c>
      <c r="T356" s="3">
        <f t="shared" si="346"/>
        <v>1</v>
      </c>
      <c r="U356" s="3">
        <f t="shared" si="346"/>
        <v>1</v>
      </c>
      <c r="V356" s="3">
        <f t="shared" si="346"/>
        <v>1</v>
      </c>
      <c r="W356" s="3">
        <f t="shared" si="346"/>
        <v>1</v>
      </c>
    </row>
    <row r="357" customHeight="1" spans="1:23">
      <c r="A357" s="2">
        <v>344</v>
      </c>
      <c r="B357" s="3">
        <f t="shared" ref="B357:W357" si="347">MIN(1,IF($A357&lt;B$4+B$3,0,IF(B$2=0,1,IF(B$5=0,($A357-B$4)/B$2,IF(MOD($A357-B$4,B$5)=0,($A357-B$4)/B$2,QUOTIENT($A357-B$4,B$5)*B$5/B$2)))))</f>
        <v>1</v>
      </c>
      <c r="C357" s="3">
        <f t="shared" si="347"/>
        <v>1</v>
      </c>
      <c r="D357" s="3">
        <f t="shared" si="347"/>
        <v>1</v>
      </c>
      <c r="E357" s="3" t="e">
        <f t="shared" si="347"/>
        <v>#REF!</v>
      </c>
      <c r="F357" s="3">
        <f t="shared" si="347"/>
        <v>1</v>
      </c>
      <c r="G357" s="3">
        <f t="shared" si="347"/>
        <v>1</v>
      </c>
      <c r="H357" s="3">
        <f t="shared" si="347"/>
        <v>1</v>
      </c>
      <c r="I357" s="3">
        <f t="shared" si="347"/>
        <v>1</v>
      </c>
      <c r="J357" s="3">
        <f t="shared" si="347"/>
        <v>1</v>
      </c>
      <c r="K357" s="3">
        <f t="shared" si="347"/>
        <v>1</v>
      </c>
      <c r="L357" s="3">
        <f t="shared" si="347"/>
        <v>1</v>
      </c>
      <c r="M357" s="3" t="e">
        <f t="shared" si="347"/>
        <v>#REF!</v>
      </c>
      <c r="N357" s="3">
        <f t="shared" si="347"/>
        <v>1</v>
      </c>
      <c r="O357" s="3">
        <f t="shared" si="347"/>
        <v>1</v>
      </c>
      <c r="P357" s="3">
        <f t="shared" si="347"/>
        <v>1</v>
      </c>
      <c r="Q357" s="3">
        <f t="shared" si="347"/>
        <v>1</v>
      </c>
      <c r="R357" s="3">
        <f t="shared" si="347"/>
        <v>1</v>
      </c>
      <c r="S357" s="3">
        <f t="shared" si="347"/>
        <v>1</v>
      </c>
      <c r="T357" s="3">
        <f t="shared" si="347"/>
        <v>1</v>
      </c>
      <c r="U357" s="3">
        <f t="shared" si="347"/>
        <v>1</v>
      </c>
      <c r="V357" s="3">
        <f t="shared" si="347"/>
        <v>1</v>
      </c>
      <c r="W357" s="3">
        <f t="shared" si="347"/>
        <v>1</v>
      </c>
    </row>
    <row r="358" customHeight="1" spans="1:23">
      <c r="A358" s="2">
        <v>345</v>
      </c>
      <c r="B358" s="3">
        <f t="shared" ref="B358:W358" si="348">MIN(1,IF($A358&lt;B$4+B$3,0,IF(B$2=0,1,IF(B$5=0,($A358-B$4)/B$2,IF(MOD($A358-B$4,B$5)=0,($A358-B$4)/B$2,QUOTIENT($A358-B$4,B$5)*B$5/B$2)))))</f>
        <v>1</v>
      </c>
      <c r="C358" s="3">
        <f t="shared" si="348"/>
        <v>1</v>
      </c>
      <c r="D358" s="3">
        <f t="shared" si="348"/>
        <v>1</v>
      </c>
      <c r="E358" s="3" t="e">
        <f t="shared" si="348"/>
        <v>#REF!</v>
      </c>
      <c r="F358" s="3">
        <f t="shared" si="348"/>
        <v>1</v>
      </c>
      <c r="G358" s="3">
        <f t="shared" si="348"/>
        <v>1</v>
      </c>
      <c r="H358" s="3">
        <f t="shared" si="348"/>
        <v>1</v>
      </c>
      <c r="I358" s="3">
        <f t="shared" si="348"/>
        <v>1</v>
      </c>
      <c r="J358" s="3">
        <f t="shared" si="348"/>
        <v>1</v>
      </c>
      <c r="K358" s="3">
        <f t="shared" si="348"/>
        <v>1</v>
      </c>
      <c r="L358" s="3">
        <f t="shared" si="348"/>
        <v>1</v>
      </c>
      <c r="M358" s="3" t="e">
        <f t="shared" si="348"/>
        <v>#REF!</v>
      </c>
      <c r="N358" s="3">
        <f t="shared" si="348"/>
        <v>1</v>
      </c>
      <c r="O358" s="3">
        <f t="shared" si="348"/>
        <v>1</v>
      </c>
      <c r="P358" s="3">
        <f t="shared" si="348"/>
        <v>1</v>
      </c>
      <c r="Q358" s="3">
        <f t="shared" si="348"/>
        <v>1</v>
      </c>
      <c r="R358" s="3">
        <f t="shared" si="348"/>
        <v>1</v>
      </c>
      <c r="S358" s="3">
        <f t="shared" si="348"/>
        <v>1</v>
      </c>
      <c r="T358" s="3">
        <f t="shared" si="348"/>
        <v>1</v>
      </c>
      <c r="U358" s="3">
        <f t="shared" si="348"/>
        <v>1</v>
      </c>
      <c r="V358" s="3">
        <f t="shared" si="348"/>
        <v>1</v>
      </c>
      <c r="W358" s="3">
        <f t="shared" si="348"/>
        <v>1</v>
      </c>
    </row>
    <row r="359" customHeight="1" spans="1:23">
      <c r="A359" s="2">
        <v>346</v>
      </c>
      <c r="B359" s="3">
        <f t="shared" ref="B359:W359" si="349">MIN(1,IF($A359&lt;B$4+B$3,0,IF(B$2=0,1,IF(B$5=0,($A359-B$4)/B$2,IF(MOD($A359-B$4,B$5)=0,($A359-B$4)/B$2,QUOTIENT($A359-B$4,B$5)*B$5/B$2)))))</f>
        <v>1</v>
      </c>
      <c r="C359" s="3">
        <f t="shared" si="349"/>
        <v>1</v>
      </c>
      <c r="D359" s="3">
        <f t="shared" si="349"/>
        <v>1</v>
      </c>
      <c r="E359" s="3" t="e">
        <f t="shared" si="349"/>
        <v>#REF!</v>
      </c>
      <c r="F359" s="3">
        <f t="shared" si="349"/>
        <v>1</v>
      </c>
      <c r="G359" s="3">
        <f t="shared" si="349"/>
        <v>1</v>
      </c>
      <c r="H359" s="3">
        <f t="shared" si="349"/>
        <v>1</v>
      </c>
      <c r="I359" s="3">
        <f t="shared" si="349"/>
        <v>1</v>
      </c>
      <c r="J359" s="3">
        <f t="shared" si="349"/>
        <v>1</v>
      </c>
      <c r="K359" s="3">
        <f t="shared" si="349"/>
        <v>1</v>
      </c>
      <c r="L359" s="3">
        <f t="shared" si="349"/>
        <v>1</v>
      </c>
      <c r="M359" s="3" t="e">
        <f t="shared" si="349"/>
        <v>#REF!</v>
      </c>
      <c r="N359" s="3">
        <f t="shared" si="349"/>
        <v>1</v>
      </c>
      <c r="O359" s="3">
        <f t="shared" si="349"/>
        <v>1</v>
      </c>
      <c r="P359" s="3">
        <f t="shared" si="349"/>
        <v>1</v>
      </c>
      <c r="Q359" s="3">
        <f t="shared" si="349"/>
        <v>1</v>
      </c>
      <c r="R359" s="3">
        <f t="shared" si="349"/>
        <v>1</v>
      </c>
      <c r="S359" s="3">
        <f t="shared" si="349"/>
        <v>1</v>
      </c>
      <c r="T359" s="3">
        <f t="shared" si="349"/>
        <v>1</v>
      </c>
      <c r="U359" s="3">
        <f t="shared" si="349"/>
        <v>1</v>
      </c>
      <c r="V359" s="3">
        <f t="shared" si="349"/>
        <v>1</v>
      </c>
      <c r="W359" s="3">
        <f t="shared" si="349"/>
        <v>1</v>
      </c>
    </row>
    <row r="360" customHeight="1" spans="1:23">
      <c r="A360" s="2">
        <v>347</v>
      </c>
      <c r="B360" s="3">
        <f t="shared" ref="B360:W360" si="350">MIN(1,IF($A360&lt;B$4+B$3,0,IF(B$2=0,1,IF(B$5=0,($A360-B$4)/B$2,IF(MOD($A360-B$4,B$5)=0,($A360-B$4)/B$2,QUOTIENT($A360-B$4,B$5)*B$5/B$2)))))</f>
        <v>1</v>
      </c>
      <c r="C360" s="3">
        <f t="shared" si="350"/>
        <v>1</v>
      </c>
      <c r="D360" s="3">
        <f t="shared" si="350"/>
        <v>1</v>
      </c>
      <c r="E360" s="3" t="e">
        <f t="shared" si="350"/>
        <v>#REF!</v>
      </c>
      <c r="F360" s="3">
        <f t="shared" si="350"/>
        <v>1</v>
      </c>
      <c r="G360" s="3">
        <f t="shared" si="350"/>
        <v>1</v>
      </c>
      <c r="H360" s="3">
        <f t="shared" si="350"/>
        <v>1</v>
      </c>
      <c r="I360" s="3">
        <f t="shared" si="350"/>
        <v>1</v>
      </c>
      <c r="J360" s="3">
        <f t="shared" si="350"/>
        <v>1</v>
      </c>
      <c r="K360" s="3">
        <f t="shared" si="350"/>
        <v>1</v>
      </c>
      <c r="L360" s="3">
        <f t="shared" si="350"/>
        <v>1</v>
      </c>
      <c r="M360" s="3" t="e">
        <f t="shared" si="350"/>
        <v>#REF!</v>
      </c>
      <c r="N360" s="3">
        <f t="shared" si="350"/>
        <v>1</v>
      </c>
      <c r="O360" s="3">
        <f t="shared" si="350"/>
        <v>1</v>
      </c>
      <c r="P360" s="3">
        <f t="shared" si="350"/>
        <v>1</v>
      </c>
      <c r="Q360" s="3">
        <f t="shared" si="350"/>
        <v>1</v>
      </c>
      <c r="R360" s="3">
        <f t="shared" si="350"/>
        <v>1</v>
      </c>
      <c r="S360" s="3">
        <f t="shared" si="350"/>
        <v>1</v>
      </c>
      <c r="T360" s="3">
        <f t="shared" si="350"/>
        <v>1</v>
      </c>
      <c r="U360" s="3">
        <f t="shared" si="350"/>
        <v>1</v>
      </c>
      <c r="V360" s="3">
        <f t="shared" si="350"/>
        <v>1</v>
      </c>
      <c r="W360" s="3">
        <f t="shared" si="350"/>
        <v>1</v>
      </c>
    </row>
    <row r="361" customHeight="1" spans="1:23">
      <c r="A361" s="2">
        <v>348</v>
      </c>
      <c r="B361" s="3">
        <f t="shared" ref="B361:W361" si="351">MIN(1,IF($A361&lt;B$4+B$3,0,IF(B$2=0,1,IF(B$5=0,($A361-B$4)/B$2,IF(MOD($A361-B$4,B$5)=0,($A361-B$4)/B$2,QUOTIENT($A361-B$4,B$5)*B$5/B$2)))))</f>
        <v>1</v>
      </c>
      <c r="C361" s="3">
        <f t="shared" si="351"/>
        <v>1</v>
      </c>
      <c r="D361" s="3">
        <f t="shared" si="351"/>
        <v>1</v>
      </c>
      <c r="E361" s="3" t="e">
        <f t="shared" si="351"/>
        <v>#REF!</v>
      </c>
      <c r="F361" s="3">
        <f t="shared" si="351"/>
        <v>1</v>
      </c>
      <c r="G361" s="3">
        <f t="shared" si="351"/>
        <v>1</v>
      </c>
      <c r="H361" s="3">
        <f t="shared" si="351"/>
        <v>1</v>
      </c>
      <c r="I361" s="3">
        <f t="shared" si="351"/>
        <v>1</v>
      </c>
      <c r="J361" s="3">
        <f t="shared" si="351"/>
        <v>1</v>
      </c>
      <c r="K361" s="3">
        <f t="shared" si="351"/>
        <v>1</v>
      </c>
      <c r="L361" s="3">
        <f t="shared" si="351"/>
        <v>1</v>
      </c>
      <c r="M361" s="3" t="e">
        <f t="shared" si="351"/>
        <v>#REF!</v>
      </c>
      <c r="N361" s="3">
        <f t="shared" si="351"/>
        <v>1</v>
      </c>
      <c r="O361" s="3">
        <f t="shared" si="351"/>
        <v>1</v>
      </c>
      <c r="P361" s="3">
        <f t="shared" si="351"/>
        <v>1</v>
      </c>
      <c r="Q361" s="3">
        <f t="shared" si="351"/>
        <v>1</v>
      </c>
      <c r="R361" s="3">
        <f t="shared" si="351"/>
        <v>1</v>
      </c>
      <c r="S361" s="3">
        <f t="shared" si="351"/>
        <v>1</v>
      </c>
      <c r="T361" s="3">
        <f t="shared" si="351"/>
        <v>1</v>
      </c>
      <c r="U361" s="3">
        <f t="shared" si="351"/>
        <v>1</v>
      </c>
      <c r="V361" s="3">
        <f t="shared" si="351"/>
        <v>1</v>
      </c>
      <c r="W361" s="3">
        <f t="shared" si="351"/>
        <v>1</v>
      </c>
    </row>
    <row r="362" customHeight="1" spans="1:23">
      <c r="A362" s="2">
        <v>349</v>
      </c>
      <c r="B362" s="3">
        <f t="shared" ref="B362:W362" si="352">MIN(1,IF($A362&lt;B$4+B$3,0,IF(B$2=0,1,IF(B$5=0,($A362-B$4)/B$2,IF(MOD($A362-B$4,B$5)=0,($A362-B$4)/B$2,QUOTIENT($A362-B$4,B$5)*B$5/B$2)))))</f>
        <v>1</v>
      </c>
      <c r="C362" s="3">
        <f t="shared" si="352"/>
        <v>1</v>
      </c>
      <c r="D362" s="3">
        <f t="shared" si="352"/>
        <v>1</v>
      </c>
      <c r="E362" s="3" t="e">
        <f t="shared" si="352"/>
        <v>#REF!</v>
      </c>
      <c r="F362" s="3">
        <f t="shared" si="352"/>
        <v>1</v>
      </c>
      <c r="G362" s="3">
        <f t="shared" si="352"/>
        <v>1</v>
      </c>
      <c r="H362" s="3">
        <f t="shared" si="352"/>
        <v>1</v>
      </c>
      <c r="I362" s="3">
        <f t="shared" si="352"/>
        <v>1</v>
      </c>
      <c r="J362" s="3">
        <f t="shared" si="352"/>
        <v>1</v>
      </c>
      <c r="K362" s="3">
        <f t="shared" si="352"/>
        <v>1</v>
      </c>
      <c r="L362" s="3">
        <f t="shared" si="352"/>
        <v>1</v>
      </c>
      <c r="M362" s="3" t="e">
        <f t="shared" si="352"/>
        <v>#REF!</v>
      </c>
      <c r="N362" s="3">
        <f t="shared" si="352"/>
        <v>1</v>
      </c>
      <c r="O362" s="3">
        <f t="shared" si="352"/>
        <v>1</v>
      </c>
      <c r="P362" s="3">
        <f t="shared" si="352"/>
        <v>1</v>
      </c>
      <c r="Q362" s="3">
        <f t="shared" si="352"/>
        <v>1</v>
      </c>
      <c r="R362" s="3">
        <f t="shared" si="352"/>
        <v>1</v>
      </c>
      <c r="S362" s="3">
        <f t="shared" si="352"/>
        <v>1</v>
      </c>
      <c r="T362" s="3">
        <f t="shared" si="352"/>
        <v>1</v>
      </c>
      <c r="U362" s="3">
        <f t="shared" si="352"/>
        <v>1</v>
      </c>
      <c r="V362" s="3">
        <f t="shared" si="352"/>
        <v>1</v>
      </c>
      <c r="W362" s="3">
        <f t="shared" si="352"/>
        <v>1</v>
      </c>
    </row>
    <row r="363" customHeight="1" spans="1:23">
      <c r="A363" s="2">
        <v>350</v>
      </c>
      <c r="B363" s="3">
        <f t="shared" ref="B363:W363" si="353">MIN(1,IF($A363&lt;B$4+B$3,0,IF(B$2=0,1,IF(B$5=0,($A363-B$4)/B$2,IF(MOD($A363-B$4,B$5)=0,($A363-B$4)/B$2,QUOTIENT($A363-B$4,B$5)*B$5/B$2)))))</f>
        <v>1</v>
      </c>
      <c r="C363" s="3">
        <f t="shared" si="353"/>
        <v>1</v>
      </c>
      <c r="D363" s="3">
        <f t="shared" si="353"/>
        <v>1</v>
      </c>
      <c r="E363" s="3" t="e">
        <f t="shared" si="353"/>
        <v>#REF!</v>
      </c>
      <c r="F363" s="3">
        <f t="shared" si="353"/>
        <v>1</v>
      </c>
      <c r="G363" s="3">
        <f t="shared" si="353"/>
        <v>1</v>
      </c>
      <c r="H363" s="3">
        <f t="shared" si="353"/>
        <v>1</v>
      </c>
      <c r="I363" s="3">
        <f t="shared" si="353"/>
        <v>1</v>
      </c>
      <c r="J363" s="3">
        <f t="shared" si="353"/>
        <v>1</v>
      </c>
      <c r="K363" s="3">
        <f t="shared" si="353"/>
        <v>1</v>
      </c>
      <c r="L363" s="3">
        <f t="shared" si="353"/>
        <v>1</v>
      </c>
      <c r="M363" s="3" t="e">
        <f t="shared" si="353"/>
        <v>#REF!</v>
      </c>
      <c r="N363" s="3">
        <f t="shared" si="353"/>
        <v>1</v>
      </c>
      <c r="O363" s="3">
        <f t="shared" si="353"/>
        <v>1</v>
      </c>
      <c r="P363" s="3">
        <f t="shared" si="353"/>
        <v>1</v>
      </c>
      <c r="Q363" s="3">
        <f t="shared" si="353"/>
        <v>1</v>
      </c>
      <c r="R363" s="3">
        <f t="shared" si="353"/>
        <v>1</v>
      </c>
      <c r="S363" s="3">
        <f t="shared" si="353"/>
        <v>1</v>
      </c>
      <c r="T363" s="3">
        <f t="shared" si="353"/>
        <v>1</v>
      </c>
      <c r="U363" s="3">
        <f t="shared" si="353"/>
        <v>1</v>
      </c>
      <c r="V363" s="3">
        <f t="shared" si="353"/>
        <v>1</v>
      </c>
      <c r="W363" s="3">
        <f t="shared" si="353"/>
        <v>1</v>
      </c>
    </row>
    <row r="364" customHeight="1" spans="1:23">
      <c r="A364" s="2">
        <v>351</v>
      </c>
      <c r="B364" s="3">
        <f t="shared" ref="B364:W364" si="354">MIN(1,IF($A364&lt;B$4+B$3,0,IF(B$2=0,1,IF(B$5=0,($A364-B$4)/B$2,IF(MOD($A364-B$4,B$5)=0,($A364-B$4)/B$2,QUOTIENT($A364-B$4,B$5)*B$5/B$2)))))</f>
        <v>1</v>
      </c>
      <c r="C364" s="3">
        <f t="shared" si="354"/>
        <v>1</v>
      </c>
      <c r="D364" s="3">
        <f t="shared" si="354"/>
        <v>1</v>
      </c>
      <c r="E364" s="3" t="e">
        <f t="shared" si="354"/>
        <v>#REF!</v>
      </c>
      <c r="F364" s="3">
        <f t="shared" si="354"/>
        <v>1</v>
      </c>
      <c r="G364" s="3">
        <f t="shared" si="354"/>
        <v>1</v>
      </c>
      <c r="H364" s="3">
        <f t="shared" si="354"/>
        <v>1</v>
      </c>
      <c r="I364" s="3">
        <f t="shared" si="354"/>
        <v>1</v>
      </c>
      <c r="J364" s="3">
        <f t="shared" si="354"/>
        <v>1</v>
      </c>
      <c r="K364" s="3">
        <f t="shared" si="354"/>
        <v>1</v>
      </c>
      <c r="L364" s="3">
        <f t="shared" si="354"/>
        <v>1</v>
      </c>
      <c r="M364" s="3" t="e">
        <f t="shared" si="354"/>
        <v>#REF!</v>
      </c>
      <c r="N364" s="3">
        <f t="shared" si="354"/>
        <v>1</v>
      </c>
      <c r="O364" s="3">
        <f t="shared" si="354"/>
        <v>1</v>
      </c>
      <c r="P364" s="3">
        <f t="shared" si="354"/>
        <v>1</v>
      </c>
      <c r="Q364" s="3">
        <f t="shared" si="354"/>
        <v>1</v>
      </c>
      <c r="R364" s="3">
        <f t="shared" si="354"/>
        <v>1</v>
      </c>
      <c r="S364" s="3">
        <f t="shared" si="354"/>
        <v>1</v>
      </c>
      <c r="T364" s="3">
        <f t="shared" si="354"/>
        <v>1</v>
      </c>
      <c r="U364" s="3">
        <f t="shared" si="354"/>
        <v>1</v>
      </c>
      <c r="V364" s="3">
        <f t="shared" si="354"/>
        <v>1</v>
      </c>
      <c r="W364" s="3">
        <f t="shared" si="354"/>
        <v>1</v>
      </c>
    </row>
    <row r="365" customHeight="1" spans="1:23">
      <c r="A365" s="2">
        <v>352</v>
      </c>
      <c r="B365" s="3">
        <f t="shared" ref="B365:W365" si="355">MIN(1,IF($A365&lt;B$4+B$3,0,IF(B$2=0,1,IF(B$5=0,($A365-B$4)/B$2,IF(MOD($A365-B$4,B$5)=0,($A365-B$4)/B$2,QUOTIENT($A365-B$4,B$5)*B$5/B$2)))))</f>
        <v>1</v>
      </c>
      <c r="C365" s="3">
        <f t="shared" si="355"/>
        <v>1</v>
      </c>
      <c r="D365" s="3">
        <f t="shared" si="355"/>
        <v>1</v>
      </c>
      <c r="E365" s="3" t="e">
        <f t="shared" si="355"/>
        <v>#REF!</v>
      </c>
      <c r="F365" s="3">
        <f t="shared" si="355"/>
        <v>1</v>
      </c>
      <c r="G365" s="3">
        <f t="shared" si="355"/>
        <v>1</v>
      </c>
      <c r="H365" s="3">
        <f t="shared" si="355"/>
        <v>1</v>
      </c>
      <c r="I365" s="3">
        <f t="shared" si="355"/>
        <v>1</v>
      </c>
      <c r="J365" s="3">
        <f t="shared" si="355"/>
        <v>1</v>
      </c>
      <c r="K365" s="3">
        <f t="shared" si="355"/>
        <v>1</v>
      </c>
      <c r="L365" s="3">
        <f t="shared" si="355"/>
        <v>1</v>
      </c>
      <c r="M365" s="3" t="e">
        <f t="shared" si="355"/>
        <v>#REF!</v>
      </c>
      <c r="N365" s="3">
        <f t="shared" si="355"/>
        <v>1</v>
      </c>
      <c r="O365" s="3">
        <f t="shared" si="355"/>
        <v>1</v>
      </c>
      <c r="P365" s="3">
        <f t="shared" si="355"/>
        <v>1</v>
      </c>
      <c r="Q365" s="3">
        <f t="shared" si="355"/>
        <v>1</v>
      </c>
      <c r="R365" s="3">
        <f t="shared" si="355"/>
        <v>1</v>
      </c>
      <c r="S365" s="3">
        <f t="shared" si="355"/>
        <v>1</v>
      </c>
      <c r="T365" s="3">
        <f t="shared" si="355"/>
        <v>1</v>
      </c>
      <c r="U365" s="3">
        <f t="shared" si="355"/>
        <v>1</v>
      </c>
      <c r="V365" s="3">
        <f t="shared" si="355"/>
        <v>1</v>
      </c>
      <c r="W365" s="3">
        <f t="shared" si="355"/>
        <v>1</v>
      </c>
    </row>
    <row r="366" customHeight="1" spans="1:23">
      <c r="A366" s="2">
        <v>353</v>
      </c>
      <c r="B366" s="3">
        <f t="shared" ref="B366:W366" si="356">MIN(1,IF($A366&lt;B$4+B$3,0,IF(B$2=0,1,IF(B$5=0,($A366-B$4)/B$2,IF(MOD($A366-B$4,B$5)=0,($A366-B$4)/B$2,QUOTIENT($A366-B$4,B$5)*B$5/B$2)))))</f>
        <v>1</v>
      </c>
      <c r="C366" s="3">
        <f t="shared" si="356"/>
        <v>1</v>
      </c>
      <c r="D366" s="3">
        <f t="shared" si="356"/>
        <v>1</v>
      </c>
      <c r="E366" s="3" t="e">
        <f t="shared" si="356"/>
        <v>#REF!</v>
      </c>
      <c r="F366" s="3">
        <f t="shared" si="356"/>
        <v>1</v>
      </c>
      <c r="G366" s="3">
        <f t="shared" si="356"/>
        <v>1</v>
      </c>
      <c r="H366" s="3">
        <f t="shared" si="356"/>
        <v>1</v>
      </c>
      <c r="I366" s="3">
        <f t="shared" si="356"/>
        <v>1</v>
      </c>
      <c r="J366" s="3">
        <f t="shared" si="356"/>
        <v>1</v>
      </c>
      <c r="K366" s="3">
        <f t="shared" si="356"/>
        <v>1</v>
      </c>
      <c r="L366" s="3">
        <f t="shared" si="356"/>
        <v>1</v>
      </c>
      <c r="M366" s="3" t="e">
        <f t="shared" si="356"/>
        <v>#REF!</v>
      </c>
      <c r="N366" s="3">
        <f t="shared" si="356"/>
        <v>1</v>
      </c>
      <c r="O366" s="3">
        <f t="shared" si="356"/>
        <v>1</v>
      </c>
      <c r="P366" s="3">
        <f t="shared" si="356"/>
        <v>1</v>
      </c>
      <c r="Q366" s="3">
        <f t="shared" si="356"/>
        <v>1</v>
      </c>
      <c r="R366" s="3">
        <f t="shared" si="356"/>
        <v>1</v>
      </c>
      <c r="S366" s="3">
        <f t="shared" si="356"/>
        <v>1</v>
      </c>
      <c r="T366" s="3">
        <f t="shared" si="356"/>
        <v>1</v>
      </c>
      <c r="U366" s="3">
        <f t="shared" si="356"/>
        <v>1</v>
      </c>
      <c r="V366" s="3">
        <f t="shared" si="356"/>
        <v>1</v>
      </c>
      <c r="W366" s="3">
        <f t="shared" si="356"/>
        <v>1</v>
      </c>
    </row>
    <row r="367" customHeight="1" spans="1:23">
      <c r="A367" s="2">
        <v>354</v>
      </c>
      <c r="B367" s="3">
        <f t="shared" ref="B367:W367" si="357">MIN(1,IF($A367&lt;B$4+B$3,0,IF(B$2=0,1,IF(B$5=0,($A367-B$4)/B$2,IF(MOD($A367-B$4,B$5)=0,($A367-B$4)/B$2,QUOTIENT($A367-B$4,B$5)*B$5/B$2)))))</f>
        <v>1</v>
      </c>
      <c r="C367" s="3">
        <f t="shared" si="357"/>
        <v>1</v>
      </c>
      <c r="D367" s="3">
        <f t="shared" si="357"/>
        <v>1</v>
      </c>
      <c r="E367" s="3" t="e">
        <f t="shared" si="357"/>
        <v>#REF!</v>
      </c>
      <c r="F367" s="3">
        <f t="shared" si="357"/>
        <v>1</v>
      </c>
      <c r="G367" s="3">
        <f t="shared" si="357"/>
        <v>1</v>
      </c>
      <c r="H367" s="3">
        <f t="shared" si="357"/>
        <v>1</v>
      </c>
      <c r="I367" s="3">
        <f t="shared" si="357"/>
        <v>1</v>
      </c>
      <c r="J367" s="3">
        <f t="shared" si="357"/>
        <v>1</v>
      </c>
      <c r="K367" s="3">
        <f t="shared" si="357"/>
        <v>1</v>
      </c>
      <c r="L367" s="3">
        <f t="shared" si="357"/>
        <v>1</v>
      </c>
      <c r="M367" s="3" t="e">
        <f t="shared" si="357"/>
        <v>#REF!</v>
      </c>
      <c r="N367" s="3">
        <f t="shared" si="357"/>
        <v>1</v>
      </c>
      <c r="O367" s="3">
        <f t="shared" si="357"/>
        <v>1</v>
      </c>
      <c r="P367" s="3">
        <f t="shared" si="357"/>
        <v>1</v>
      </c>
      <c r="Q367" s="3">
        <f t="shared" si="357"/>
        <v>1</v>
      </c>
      <c r="R367" s="3">
        <f t="shared" si="357"/>
        <v>1</v>
      </c>
      <c r="S367" s="3">
        <f t="shared" si="357"/>
        <v>1</v>
      </c>
      <c r="T367" s="3">
        <f t="shared" si="357"/>
        <v>1</v>
      </c>
      <c r="U367" s="3">
        <f t="shared" si="357"/>
        <v>1</v>
      </c>
      <c r="V367" s="3">
        <f t="shared" si="357"/>
        <v>1</v>
      </c>
      <c r="W367" s="3">
        <f t="shared" si="357"/>
        <v>1</v>
      </c>
    </row>
    <row r="368" customHeight="1" spans="1:23">
      <c r="A368" s="2">
        <v>355</v>
      </c>
      <c r="B368" s="3">
        <f t="shared" ref="B368:W368" si="358">MIN(1,IF($A368&lt;B$4+B$3,0,IF(B$2=0,1,IF(B$5=0,($A368-B$4)/B$2,IF(MOD($A368-B$4,B$5)=0,($A368-B$4)/B$2,QUOTIENT($A368-B$4,B$5)*B$5/B$2)))))</f>
        <v>1</v>
      </c>
      <c r="C368" s="3">
        <f t="shared" si="358"/>
        <v>1</v>
      </c>
      <c r="D368" s="3">
        <f t="shared" si="358"/>
        <v>1</v>
      </c>
      <c r="E368" s="3" t="e">
        <f t="shared" si="358"/>
        <v>#REF!</v>
      </c>
      <c r="F368" s="3">
        <f t="shared" si="358"/>
        <v>1</v>
      </c>
      <c r="G368" s="3">
        <f t="shared" si="358"/>
        <v>1</v>
      </c>
      <c r="H368" s="3">
        <f t="shared" si="358"/>
        <v>1</v>
      </c>
      <c r="I368" s="3">
        <f t="shared" si="358"/>
        <v>1</v>
      </c>
      <c r="J368" s="3">
        <f t="shared" si="358"/>
        <v>1</v>
      </c>
      <c r="K368" s="3">
        <f t="shared" si="358"/>
        <v>1</v>
      </c>
      <c r="L368" s="3">
        <f t="shared" si="358"/>
        <v>1</v>
      </c>
      <c r="M368" s="3" t="e">
        <f t="shared" si="358"/>
        <v>#REF!</v>
      </c>
      <c r="N368" s="3">
        <f t="shared" si="358"/>
        <v>1</v>
      </c>
      <c r="O368" s="3">
        <f t="shared" si="358"/>
        <v>1</v>
      </c>
      <c r="P368" s="3">
        <f t="shared" si="358"/>
        <v>1</v>
      </c>
      <c r="Q368" s="3">
        <f t="shared" si="358"/>
        <v>1</v>
      </c>
      <c r="R368" s="3">
        <f t="shared" si="358"/>
        <v>1</v>
      </c>
      <c r="S368" s="3">
        <f t="shared" si="358"/>
        <v>1</v>
      </c>
      <c r="T368" s="3">
        <f t="shared" si="358"/>
        <v>1</v>
      </c>
      <c r="U368" s="3">
        <f t="shared" si="358"/>
        <v>1</v>
      </c>
      <c r="V368" s="3">
        <f t="shared" si="358"/>
        <v>1</v>
      </c>
      <c r="W368" s="3">
        <f t="shared" si="358"/>
        <v>1</v>
      </c>
    </row>
    <row r="369" customHeight="1" spans="1:23">
      <c r="A369" s="2">
        <v>356</v>
      </c>
      <c r="B369" s="3">
        <f t="shared" ref="B369:W369" si="359">MIN(1,IF($A369&lt;B$4+B$3,0,IF(B$2=0,1,IF(B$5=0,($A369-B$4)/B$2,IF(MOD($A369-B$4,B$5)=0,($A369-B$4)/B$2,QUOTIENT($A369-B$4,B$5)*B$5/B$2)))))</f>
        <v>1</v>
      </c>
      <c r="C369" s="3">
        <f t="shared" si="359"/>
        <v>1</v>
      </c>
      <c r="D369" s="3">
        <f t="shared" si="359"/>
        <v>1</v>
      </c>
      <c r="E369" s="3" t="e">
        <f t="shared" si="359"/>
        <v>#REF!</v>
      </c>
      <c r="F369" s="3">
        <f t="shared" si="359"/>
        <v>1</v>
      </c>
      <c r="G369" s="3">
        <f t="shared" si="359"/>
        <v>1</v>
      </c>
      <c r="H369" s="3">
        <f t="shared" si="359"/>
        <v>1</v>
      </c>
      <c r="I369" s="3">
        <f t="shared" si="359"/>
        <v>1</v>
      </c>
      <c r="J369" s="3">
        <f t="shared" si="359"/>
        <v>1</v>
      </c>
      <c r="K369" s="3">
        <f t="shared" si="359"/>
        <v>1</v>
      </c>
      <c r="L369" s="3">
        <f t="shared" si="359"/>
        <v>1</v>
      </c>
      <c r="M369" s="3" t="e">
        <f t="shared" si="359"/>
        <v>#REF!</v>
      </c>
      <c r="N369" s="3">
        <f t="shared" si="359"/>
        <v>1</v>
      </c>
      <c r="O369" s="3">
        <f t="shared" si="359"/>
        <v>1</v>
      </c>
      <c r="P369" s="3">
        <f t="shared" si="359"/>
        <v>1</v>
      </c>
      <c r="Q369" s="3">
        <f t="shared" si="359"/>
        <v>1</v>
      </c>
      <c r="R369" s="3">
        <f t="shared" si="359"/>
        <v>1</v>
      </c>
      <c r="S369" s="3">
        <f t="shared" si="359"/>
        <v>1</v>
      </c>
      <c r="T369" s="3">
        <f t="shared" si="359"/>
        <v>1</v>
      </c>
      <c r="U369" s="3">
        <f t="shared" si="359"/>
        <v>1</v>
      </c>
      <c r="V369" s="3">
        <f t="shared" si="359"/>
        <v>1</v>
      </c>
      <c r="W369" s="3">
        <f t="shared" si="359"/>
        <v>1</v>
      </c>
    </row>
    <row r="370" customHeight="1" spans="1:23">
      <c r="A370" s="2">
        <v>357</v>
      </c>
      <c r="B370" s="3">
        <f t="shared" ref="B370:W370" si="360">MIN(1,IF($A370&lt;B$4+B$3,0,IF(B$2=0,1,IF(B$5=0,($A370-B$4)/B$2,IF(MOD($A370-B$4,B$5)=0,($A370-B$4)/B$2,QUOTIENT($A370-B$4,B$5)*B$5/B$2)))))</f>
        <v>1</v>
      </c>
      <c r="C370" s="3">
        <f t="shared" si="360"/>
        <v>1</v>
      </c>
      <c r="D370" s="3">
        <f t="shared" si="360"/>
        <v>1</v>
      </c>
      <c r="E370" s="3" t="e">
        <f t="shared" si="360"/>
        <v>#REF!</v>
      </c>
      <c r="F370" s="3">
        <f t="shared" si="360"/>
        <v>1</v>
      </c>
      <c r="G370" s="3">
        <f t="shared" si="360"/>
        <v>1</v>
      </c>
      <c r="H370" s="3">
        <f t="shared" si="360"/>
        <v>1</v>
      </c>
      <c r="I370" s="3">
        <f t="shared" si="360"/>
        <v>1</v>
      </c>
      <c r="J370" s="3">
        <f t="shared" si="360"/>
        <v>1</v>
      </c>
      <c r="K370" s="3">
        <f t="shared" si="360"/>
        <v>1</v>
      </c>
      <c r="L370" s="3">
        <f t="shared" si="360"/>
        <v>1</v>
      </c>
      <c r="M370" s="3" t="e">
        <f t="shared" si="360"/>
        <v>#REF!</v>
      </c>
      <c r="N370" s="3">
        <f t="shared" si="360"/>
        <v>1</v>
      </c>
      <c r="O370" s="3">
        <f t="shared" si="360"/>
        <v>1</v>
      </c>
      <c r="P370" s="3">
        <f t="shared" si="360"/>
        <v>1</v>
      </c>
      <c r="Q370" s="3">
        <f t="shared" si="360"/>
        <v>1</v>
      </c>
      <c r="R370" s="3">
        <f t="shared" si="360"/>
        <v>1</v>
      </c>
      <c r="S370" s="3">
        <f t="shared" si="360"/>
        <v>1</v>
      </c>
      <c r="T370" s="3">
        <f t="shared" si="360"/>
        <v>1</v>
      </c>
      <c r="U370" s="3">
        <f t="shared" si="360"/>
        <v>1</v>
      </c>
      <c r="V370" s="3">
        <f t="shared" si="360"/>
        <v>1</v>
      </c>
      <c r="W370" s="3">
        <f t="shared" si="360"/>
        <v>1</v>
      </c>
    </row>
    <row r="371" customHeight="1" spans="1:23">
      <c r="A371" s="2">
        <v>358</v>
      </c>
      <c r="B371" s="3">
        <f t="shared" ref="B371:W371" si="361">MIN(1,IF($A371&lt;B$4+B$3,0,IF(B$2=0,1,IF(B$5=0,($A371-B$4)/B$2,IF(MOD($A371-B$4,B$5)=0,($A371-B$4)/B$2,QUOTIENT($A371-B$4,B$5)*B$5/B$2)))))</f>
        <v>1</v>
      </c>
      <c r="C371" s="3">
        <f t="shared" si="361"/>
        <v>1</v>
      </c>
      <c r="D371" s="3">
        <f t="shared" si="361"/>
        <v>1</v>
      </c>
      <c r="E371" s="3" t="e">
        <f t="shared" si="361"/>
        <v>#REF!</v>
      </c>
      <c r="F371" s="3">
        <f t="shared" si="361"/>
        <v>1</v>
      </c>
      <c r="G371" s="3">
        <f t="shared" si="361"/>
        <v>1</v>
      </c>
      <c r="H371" s="3">
        <f t="shared" si="361"/>
        <v>1</v>
      </c>
      <c r="I371" s="3">
        <f t="shared" si="361"/>
        <v>1</v>
      </c>
      <c r="J371" s="3">
        <f t="shared" si="361"/>
        <v>1</v>
      </c>
      <c r="K371" s="3">
        <f t="shared" si="361"/>
        <v>1</v>
      </c>
      <c r="L371" s="3">
        <f t="shared" si="361"/>
        <v>1</v>
      </c>
      <c r="M371" s="3" t="e">
        <f t="shared" si="361"/>
        <v>#REF!</v>
      </c>
      <c r="N371" s="3">
        <f t="shared" si="361"/>
        <v>1</v>
      </c>
      <c r="O371" s="3">
        <f t="shared" si="361"/>
        <v>1</v>
      </c>
      <c r="P371" s="3">
        <f t="shared" si="361"/>
        <v>1</v>
      </c>
      <c r="Q371" s="3">
        <f t="shared" si="361"/>
        <v>1</v>
      </c>
      <c r="R371" s="3">
        <f t="shared" si="361"/>
        <v>1</v>
      </c>
      <c r="S371" s="3">
        <f t="shared" si="361"/>
        <v>1</v>
      </c>
      <c r="T371" s="3">
        <f t="shared" si="361"/>
        <v>1</v>
      </c>
      <c r="U371" s="3">
        <f t="shared" si="361"/>
        <v>1</v>
      </c>
      <c r="V371" s="3">
        <f t="shared" si="361"/>
        <v>1</v>
      </c>
      <c r="W371" s="3">
        <f t="shared" si="361"/>
        <v>1</v>
      </c>
    </row>
    <row r="372" customHeight="1" spans="1:23">
      <c r="A372" s="2">
        <v>359</v>
      </c>
      <c r="B372" s="3">
        <f t="shared" ref="B372:W372" si="362">MIN(1,IF($A372&lt;B$4+B$3,0,IF(B$2=0,1,IF(B$5=0,($A372-B$4)/B$2,IF(MOD($A372-B$4,B$5)=0,($A372-B$4)/B$2,QUOTIENT($A372-B$4,B$5)*B$5/B$2)))))</f>
        <v>1</v>
      </c>
      <c r="C372" s="3">
        <f t="shared" si="362"/>
        <v>1</v>
      </c>
      <c r="D372" s="3">
        <f t="shared" si="362"/>
        <v>1</v>
      </c>
      <c r="E372" s="3" t="e">
        <f t="shared" si="362"/>
        <v>#REF!</v>
      </c>
      <c r="F372" s="3">
        <f t="shared" si="362"/>
        <v>1</v>
      </c>
      <c r="G372" s="3">
        <f t="shared" si="362"/>
        <v>1</v>
      </c>
      <c r="H372" s="3">
        <f t="shared" si="362"/>
        <v>1</v>
      </c>
      <c r="I372" s="3">
        <f t="shared" si="362"/>
        <v>1</v>
      </c>
      <c r="J372" s="3">
        <f t="shared" si="362"/>
        <v>1</v>
      </c>
      <c r="K372" s="3">
        <f t="shared" si="362"/>
        <v>1</v>
      </c>
      <c r="L372" s="3">
        <f t="shared" si="362"/>
        <v>1</v>
      </c>
      <c r="M372" s="3" t="e">
        <f t="shared" si="362"/>
        <v>#REF!</v>
      </c>
      <c r="N372" s="3">
        <f t="shared" si="362"/>
        <v>1</v>
      </c>
      <c r="O372" s="3">
        <f t="shared" si="362"/>
        <v>1</v>
      </c>
      <c r="P372" s="3">
        <f t="shared" si="362"/>
        <v>1</v>
      </c>
      <c r="Q372" s="3">
        <f t="shared" si="362"/>
        <v>1</v>
      </c>
      <c r="R372" s="3">
        <f t="shared" si="362"/>
        <v>1</v>
      </c>
      <c r="S372" s="3">
        <f t="shared" si="362"/>
        <v>1</v>
      </c>
      <c r="T372" s="3">
        <f t="shared" si="362"/>
        <v>1</v>
      </c>
      <c r="U372" s="3">
        <f t="shared" si="362"/>
        <v>1</v>
      </c>
      <c r="V372" s="3">
        <f t="shared" si="362"/>
        <v>1</v>
      </c>
      <c r="W372" s="3">
        <f t="shared" si="362"/>
        <v>1</v>
      </c>
    </row>
    <row r="373" customHeight="1" spans="1:23">
      <c r="A373" s="2">
        <v>360</v>
      </c>
      <c r="B373" s="3">
        <f t="shared" ref="B373:W373" si="363">MIN(1,IF($A373&lt;B$4+B$3,0,IF(B$2=0,1,IF(B$5=0,($A373-B$4)/B$2,IF(MOD($A373-B$4,B$5)=0,($A373-B$4)/B$2,QUOTIENT($A373-B$4,B$5)*B$5/B$2)))))</f>
        <v>1</v>
      </c>
      <c r="C373" s="3">
        <f t="shared" si="363"/>
        <v>1</v>
      </c>
      <c r="D373" s="3">
        <f t="shared" si="363"/>
        <v>1</v>
      </c>
      <c r="E373" s="3" t="e">
        <f t="shared" si="363"/>
        <v>#REF!</v>
      </c>
      <c r="F373" s="3">
        <f t="shared" si="363"/>
        <v>1</v>
      </c>
      <c r="G373" s="3">
        <f t="shared" si="363"/>
        <v>1</v>
      </c>
      <c r="H373" s="3">
        <f t="shared" si="363"/>
        <v>1</v>
      </c>
      <c r="I373" s="3">
        <f t="shared" si="363"/>
        <v>1</v>
      </c>
      <c r="J373" s="3">
        <f t="shared" si="363"/>
        <v>1</v>
      </c>
      <c r="K373" s="3">
        <f t="shared" si="363"/>
        <v>1</v>
      </c>
      <c r="L373" s="3">
        <f t="shared" si="363"/>
        <v>1</v>
      </c>
      <c r="M373" s="3" t="e">
        <f t="shared" si="363"/>
        <v>#REF!</v>
      </c>
      <c r="N373" s="3">
        <f t="shared" si="363"/>
        <v>1</v>
      </c>
      <c r="O373" s="3">
        <f t="shared" si="363"/>
        <v>1</v>
      </c>
      <c r="P373" s="3">
        <f t="shared" si="363"/>
        <v>1</v>
      </c>
      <c r="Q373" s="3">
        <f t="shared" si="363"/>
        <v>1</v>
      </c>
      <c r="R373" s="3">
        <f t="shared" si="363"/>
        <v>1</v>
      </c>
      <c r="S373" s="3">
        <f t="shared" si="363"/>
        <v>1</v>
      </c>
      <c r="T373" s="3">
        <f t="shared" si="363"/>
        <v>1</v>
      </c>
      <c r="U373" s="3">
        <f t="shared" si="363"/>
        <v>1</v>
      </c>
      <c r="V373" s="3">
        <f t="shared" si="363"/>
        <v>1</v>
      </c>
      <c r="W373" s="3">
        <f t="shared" si="363"/>
        <v>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373"/>
  <sheetViews>
    <sheetView workbookViewId="0">
      <selection activeCell="A1" sqref="A1"/>
    </sheetView>
  </sheetViews>
  <sheetFormatPr defaultColWidth="12.6296296296296" defaultRowHeight="15.75" customHeight="1"/>
  <cols>
    <col min="1" max="1" width="21.75" customWidth="1"/>
    <col min="6" max="6" width="16.5" customWidth="1"/>
    <col min="7" max="7" width="16.1296296296296" customWidth="1"/>
  </cols>
  <sheetData>
    <row r="1" customHeight="1" spans="1:23">
      <c r="A1" s="1" t="str">
        <f>'Supply (Allocation &amp; Emissions)'!H5</f>
        <v>Role</v>
      </c>
      <c r="B1" s="1" t="str">
        <f>'Supply (Allocation &amp; Emissions)'!I5</f>
        <v>Team</v>
      </c>
      <c r="C1" s="1" t="str">
        <f>'Supply (Allocation &amp; Emissions)'!J5</f>
        <v>Foundation</v>
      </c>
      <c r="D1" s="1" t="e">
        <f>#REF!</f>
        <v>#REF!</v>
      </c>
      <c r="E1" s="1" t="str">
        <f>'Supply (Allocation &amp; Emissions)'!L5</f>
        <v>Private Investors</v>
      </c>
      <c r="F1" s="1" t="str">
        <f>'Supply (Allocation &amp; Emissions)'!M5</f>
        <v>Public rounds</v>
      </c>
      <c r="G1" s="1" t="str">
        <f>'Supply (Allocation &amp; Emissions)'!N5</f>
        <v>Community Rewards</v>
      </c>
      <c r="H1" s="1" t="e">
        <f>#REF!</f>
        <v>#REF!</v>
      </c>
      <c r="I1" s="1" t="str">
        <f>'Supply (Allocation &amp; Emissions)'!Q5</f>
        <v>Air drops</v>
      </c>
      <c r="J1" s="1" t="e">
        <f>#REF!</f>
        <v>#REF!</v>
      </c>
      <c r="K1" s="1" t="str">
        <f>'Supply (Allocation &amp; Emissions)'!P5</f>
        <v>Staking</v>
      </c>
      <c r="L1" s="1" t="str">
        <f>'Supply (Allocation &amp; Emissions)'!S5</f>
        <v>Testnet Incentive</v>
      </c>
      <c r="M1" s="1" t="e">
        <f>#REF!</f>
        <v>#REF!</v>
      </c>
      <c r="N1" s="1">
        <f>'Supply (Allocation &amp; Emissions)'!T5</f>
        <v>0</v>
      </c>
      <c r="O1" s="1">
        <f>'Supply (Allocation &amp; Emissions)'!U5</f>
        <v>0</v>
      </c>
      <c r="P1" s="1">
        <f>'Supply (Allocation &amp; Emissions)'!V5</f>
        <v>0</v>
      </c>
      <c r="Q1" s="1">
        <f>'Supply (Allocation &amp; Emissions)'!W5</f>
        <v>0</v>
      </c>
      <c r="R1" s="1">
        <f>'Supply (Allocation &amp; Emissions)'!X5</f>
        <v>0</v>
      </c>
      <c r="S1" s="1">
        <f>'Supply (Allocation &amp; Emissions)'!Y5</f>
        <v>0</v>
      </c>
      <c r="T1" s="1">
        <f>'Supply (Allocation &amp; Emissions)'!Z5</f>
        <v>0</v>
      </c>
      <c r="U1" s="1">
        <f>'Supply (Allocation &amp; Emissions)'!AA5</f>
        <v>0</v>
      </c>
      <c r="V1" s="1">
        <f>'Supply (Allocation &amp; Emissions)'!AB5</f>
        <v>0</v>
      </c>
      <c r="W1" s="1">
        <f>'Supply (Allocation &amp; Emissions)'!AC5</f>
        <v>0</v>
      </c>
    </row>
    <row r="2" customHeight="1" spans="1:23">
      <c r="A2" s="1" t="str">
        <f>'Supply (Allocation &amp; Emissions)'!H7</f>
        <v>Vesting Months</v>
      </c>
      <c r="B2" s="1">
        <f>'Supply (Allocation &amp; Emissions)'!I7</f>
        <v>48</v>
      </c>
      <c r="C2" s="1">
        <f>'Supply (Allocation &amp; Emissions)'!J7</f>
        <v>48</v>
      </c>
      <c r="D2" s="1">
        <f>'Supply (Allocation &amp; Emissions)'!K7</f>
        <v>24</v>
      </c>
      <c r="E2" s="1" t="e">
        <f>#REF!</f>
        <v>#REF!</v>
      </c>
      <c r="F2" s="1">
        <f>'Supply (Allocation &amp; Emissions)'!L7</f>
        <v>36</v>
      </c>
      <c r="G2" s="1">
        <f>'Supply (Allocation &amp; Emissions)'!M7</f>
        <v>24</v>
      </c>
      <c r="H2" s="1">
        <f>'Supply (Allocation &amp; Emissions)'!N7</f>
        <v>2</v>
      </c>
      <c r="I2" s="1">
        <f>'Supply (Allocation &amp; Emissions)'!P7</f>
        <v>6</v>
      </c>
      <c r="J2" s="1">
        <f>'Supply (Allocation &amp; Emissions)'!Q7</f>
        <v>0</v>
      </c>
      <c r="K2" s="1">
        <f>'Supply (Allocation &amp; Emissions)'!R7</f>
        <v>2</v>
      </c>
      <c r="L2" s="1">
        <f>'Supply (Allocation &amp; Emissions)'!S7</f>
        <v>2</v>
      </c>
      <c r="M2" s="1" t="e">
        <f>#REF!</f>
        <v>#REF!</v>
      </c>
      <c r="N2" s="1">
        <f>'Supply (Allocation &amp; Emissions)'!T7</f>
        <v>0</v>
      </c>
      <c r="O2" s="1">
        <f>'Supply (Allocation &amp; Emissions)'!U7</f>
        <v>0</v>
      </c>
      <c r="P2" s="1">
        <f>'Supply (Allocation &amp; Emissions)'!V7</f>
        <v>0</v>
      </c>
      <c r="Q2" s="1">
        <f>'Supply (Allocation &amp; Emissions)'!W7</f>
        <v>0</v>
      </c>
      <c r="R2" s="1">
        <f>'Supply (Allocation &amp; Emissions)'!X7</f>
        <v>0</v>
      </c>
      <c r="S2" s="1">
        <f>'Supply (Allocation &amp; Emissions)'!Y7</f>
        <v>0</v>
      </c>
      <c r="T2" s="1">
        <f>'Supply (Allocation &amp; Emissions)'!Z7</f>
        <v>0</v>
      </c>
      <c r="U2" s="1">
        <f>'Supply (Allocation &amp; Emissions)'!AA7</f>
        <v>0</v>
      </c>
      <c r="V2" s="1">
        <f>'Supply (Allocation &amp; Emissions)'!AB7</f>
        <v>0</v>
      </c>
      <c r="W2" s="1">
        <f>'Supply (Allocation &amp; Emissions)'!AC7</f>
        <v>0</v>
      </c>
    </row>
    <row r="3" customHeight="1" spans="1:23">
      <c r="A3" s="2" t="str">
        <f>'Supply (Allocation &amp; Emissions)'!H8</f>
        <v>Cliff Months</v>
      </c>
      <c r="B3" s="2">
        <f>'Supply (Allocation &amp; Emissions)'!I8</f>
        <v>12</v>
      </c>
      <c r="C3" s="2">
        <f>'Supply (Allocation &amp; Emissions)'!J8</f>
        <v>12</v>
      </c>
      <c r="D3" s="2">
        <f>'Supply (Allocation &amp; Emissions)'!K8</f>
        <v>6</v>
      </c>
      <c r="E3" s="2" t="e">
        <f>#REF!</f>
        <v>#REF!</v>
      </c>
      <c r="F3" s="2">
        <f>'Supply (Allocation &amp; Emissions)'!L8</f>
        <v>12</v>
      </c>
      <c r="G3" s="2">
        <f>'Supply (Allocation &amp; Emissions)'!M8</f>
        <v>6</v>
      </c>
      <c r="H3" s="2">
        <f>'Supply (Allocation &amp; Emissions)'!N8</f>
        <v>0</v>
      </c>
      <c r="I3" s="2">
        <f>'Supply (Allocation &amp; Emissions)'!P8</f>
        <v>0</v>
      </c>
      <c r="J3" s="2">
        <f>'Supply (Allocation &amp; Emissions)'!Q8</f>
        <v>0</v>
      </c>
      <c r="K3" s="2">
        <f>'Supply (Allocation &amp; Emissions)'!R8</f>
        <v>0</v>
      </c>
      <c r="L3" s="2">
        <f>'Supply (Allocation &amp; Emissions)'!S8</f>
        <v>0</v>
      </c>
      <c r="M3" s="2" t="e">
        <f>#REF!</f>
        <v>#REF!</v>
      </c>
      <c r="N3" s="2">
        <f>'Supply (Allocation &amp; Emissions)'!T8</f>
        <v>0</v>
      </c>
      <c r="O3" s="2">
        <f>'Supply (Allocation &amp; Emissions)'!U8</f>
        <v>0</v>
      </c>
      <c r="P3" s="2">
        <f>'Supply (Allocation &amp; Emissions)'!V8</f>
        <v>0</v>
      </c>
      <c r="Q3" s="2">
        <f>'Supply (Allocation &amp; Emissions)'!W8</f>
        <v>0</v>
      </c>
      <c r="R3" s="2">
        <f>'Supply (Allocation &amp; Emissions)'!X8</f>
        <v>0</v>
      </c>
      <c r="S3" s="2">
        <f>'Supply (Allocation &amp; Emissions)'!Y8</f>
        <v>0</v>
      </c>
      <c r="T3" s="2">
        <f>'Supply (Allocation &amp; Emissions)'!Z8</f>
        <v>0</v>
      </c>
      <c r="U3" s="2">
        <f>'Supply (Allocation &amp; Emissions)'!AA8</f>
        <v>0</v>
      </c>
      <c r="V3" s="2">
        <f>'Supply (Allocation &amp; Emissions)'!AB8</f>
        <v>0</v>
      </c>
      <c r="W3" s="2">
        <f>'Supply (Allocation &amp; Emissions)'!AC8</f>
        <v>0</v>
      </c>
    </row>
    <row r="4" hidden="1" customHeight="1" spans="1:23">
      <c r="A4" s="2" t="str">
        <f>'Supply (Allocation &amp; Emissions)'!H9</f>
        <v>Delay Months</v>
      </c>
      <c r="B4" s="2">
        <f>'Supply (Allocation &amp; Emissions)'!I9</f>
        <v>0</v>
      </c>
      <c r="C4" s="2">
        <f>'Supply (Allocation &amp; Emissions)'!J9</f>
        <v>0</v>
      </c>
      <c r="D4" s="2">
        <f>'Supply (Allocation &amp; Emissions)'!K9</f>
        <v>0</v>
      </c>
      <c r="E4" s="2" t="e">
        <f>#REF!</f>
        <v>#REF!</v>
      </c>
      <c r="F4" s="2">
        <f>'Supply (Allocation &amp; Emissions)'!L9</f>
        <v>0</v>
      </c>
      <c r="G4" s="2">
        <f>'Supply (Allocation &amp; Emissions)'!M9</f>
        <v>0</v>
      </c>
      <c r="H4" s="2">
        <f>'Supply (Allocation &amp; Emissions)'!N9</f>
        <v>0</v>
      </c>
      <c r="J4" s="2">
        <f>'Supply (Allocation &amp; Emissions)'!Q9</f>
        <v>0</v>
      </c>
      <c r="K4" s="2">
        <f>'Supply (Allocation &amp; Emissions)'!R9</f>
        <v>0</v>
      </c>
      <c r="L4" s="2">
        <f>'Supply (Allocation &amp; Emissions)'!S9</f>
        <v>0</v>
      </c>
      <c r="M4" s="2" t="e">
        <f>#REF!</f>
        <v>#REF!</v>
      </c>
      <c r="N4" s="2">
        <f>'Supply (Allocation &amp; Emissions)'!T9</f>
        <v>0</v>
      </c>
      <c r="O4" s="2">
        <f>'Supply (Allocation &amp; Emissions)'!U9</f>
        <v>0</v>
      </c>
      <c r="P4" s="2">
        <f>'Supply (Allocation &amp; Emissions)'!V9</f>
        <v>0</v>
      </c>
      <c r="Q4" s="2">
        <f>'Supply (Allocation &amp; Emissions)'!W9</f>
        <v>0</v>
      </c>
      <c r="R4" s="2">
        <f>'Supply (Allocation &amp; Emissions)'!X9</f>
        <v>0</v>
      </c>
      <c r="S4" s="2">
        <f>'Supply (Allocation &amp; Emissions)'!Y9</f>
        <v>0</v>
      </c>
      <c r="T4" s="2">
        <f>'Supply (Allocation &amp; Emissions)'!Z9</f>
        <v>0</v>
      </c>
      <c r="U4" s="2">
        <f>'Supply (Allocation &amp; Emissions)'!AA9</f>
        <v>0</v>
      </c>
      <c r="V4" s="2">
        <f>'Supply (Allocation &amp; Emissions)'!AB9</f>
        <v>0</v>
      </c>
      <c r="W4" s="2">
        <f>'Supply (Allocation &amp; Emissions)'!AC9</f>
        <v>0</v>
      </c>
    </row>
    <row r="5" hidden="1" customHeight="1" spans="1:23">
      <c r="A5" s="2" t="str">
        <f>'Supply (Allocation &amp; Emissions)'!H10</f>
        <v>Spacing Months</v>
      </c>
      <c r="B5" s="2">
        <f>'Supply (Allocation &amp; Emissions)'!I10</f>
        <v>0</v>
      </c>
      <c r="C5" s="2">
        <f>'Supply (Allocation &amp; Emissions)'!J10</f>
        <v>0</v>
      </c>
      <c r="D5" s="2">
        <f>'Supply (Allocation &amp; Emissions)'!K10</f>
        <v>0</v>
      </c>
      <c r="E5" s="2" t="e">
        <f>#REF!</f>
        <v>#REF!</v>
      </c>
      <c r="F5" s="2">
        <f>'Supply (Allocation &amp; Emissions)'!L10</f>
        <v>0</v>
      </c>
      <c r="G5" s="2">
        <f>'Supply (Allocation &amp; Emissions)'!M10</f>
        <v>0</v>
      </c>
      <c r="H5" s="2">
        <f>'Supply (Allocation &amp; Emissions)'!N10</f>
        <v>0</v>
      </c>
      <c r="I5" s="2">
        <f>'Supply (Allocation &amp; Emissions)'!P10</f>
        <v>0</v>
      </c>
      <c r="J5" s="2">
        <f>'Supply (Allocation &amp; Emissions)'!Q10</f>
        <v>0</v>
      </c>
      <c r="K5" s="2">
        <f>'Supply (Allocation &amp; Emissions)'!R10</f>
        <v>0</v>
      </c>
      <c r="L5" s="2">
        <f>'Supply (Allocation &amp; Emissions)'!S10</f>
        <v>0</v>
      </c>
      <c r="M5" s="2" t="e">
        <f>#REF!</f>
        <v>#REF!</v>
      </c>
      <c r="N5" s="2">
        <f>'Supply (Allocation &amp; Emissions)'!T10</f>
        <v>0</v>
      </c>
      <c r="O5" s="2">
        <f>'Supply (Allocation &amp; Emissions)'!U10</f>
        <v>0</v>
      </c>
      <c r="P5" s="2">
        <f>'Supply (Allocation &amp; Emissions)'!V10</f>
        <v>0</v>
      </c>
      <c r="Q5" s="2">
        <f>'Supply (Allocation &amp; Emissions)'!W10</f>
        <v>0</v>
      </c>
      <c r="R5" s="2">
        <f>'Supply (Allocation &amp; Emissions)'!X10</f>
        <v>0</v>
      </c>
      <c r="S5" s="2">
        <f>'Supply (Allocation &amp; Emissions)'!Y10</f>
        <v>0</v>
      </c>
      <c r="T5" s="2">
        <f>'Supply (Allocation &amp; Emissions)'!Z10</f>
        <v>0</v>
      </c>
      <c r="U5" s="2">
        <f>'Supply (Allocation &amp; Emissions)'!AA10</f>
        <v>0</v>
      </c>
      <c r="V5" s="2">
        <f>'Supply (Allocation &amp; Emissions)'!AB10</f>
        <v>0</v>
      </c>
      <c r="W5" s="2">
        <f>'Supply (Allocation &amp; Emissions)'!AC10</f>
        <v>0</v>
      </c>
    </row>
    <row r="6" customHeight="1" spans="1:23">
      <c r="A6" s="1" t="str">
        <f>'Supply (Allocation &amp; Emissions)'!H12</f>
        <v>Backweight Factor</v>
      </c>
      <c r="B6" s="1">
        <f>'Supply (Allocation &amp; Emissions)'!I12</f>
        <v>20</v>
      </c>
      <c r="C6" s="1">
        <f>'Supply (Allocation &amp; Emissions)'!J12</f>
        <v>20</v>
      </c>
      <c r="D6" s="1">
        <f>'Supply (Allocation &amp; Emissions)'!K12</f>
        <v>12</v>
      </c>
      <c r="E6" s="1" t="e">
        <f>#REF!</f>
        <v>#REF!</v>
      </c>
      <c r="F6" s="1">
        <f>'Supply (Allocation &amp; Emissions)'!L12</f>
        <v>15</v>
      </c>
      <c r="G6" s="1">
        <f>'Supply (Allocation &amp; Emissions)'!M12</f>
        <v>15</v>
      </c>
      <c r="H6" s="1">
        <f>'Supply (Allocation &amp; Emissions)'!N12</f>
        <v>20</v>
      </c>
      <c r="I6" s="1">
        <f>'Supply (Allocation &amp; Emissions)'!P12</f>
        <v>20</v>
      </c>
      <c r="J6" s="1">
        <f>'Supply (Allocation &amp; Emissions)'!Q12</f>
        <v>20</v>
      </c>
      <c r="K6" s="1">
        <f>'Supply (Allocation &amp; Emissions)'!R12</f>
        <v>20</v>
      </c>
      <c r="L6" s="1">
        <f>'Supply (Allocation &amp; Emissions)'!S12</f>
        <v>20</v>
      </c>
      <c r="M6" s="1" t="e">
        <f>#REF!</f>
        <v>#REF!</v>
      </c>
      <c r="N6" s="1">
        <f>'Supply (Allocation &amp; Emissions)'!T12</f>
        <v>20</v>
      </c>
      <c r="O6" s="1">
        <f>'Supply (Allocation &amp; Emissions)'!U12</f>
        <v>20</v>
      </c>
      <c r="P6" s="1">
        <f>'Supply (Allocation &amp; Emissions)'!V12</f>
        <v>20</v>
      </c>
      <c r="Q6" s="1">
        <f>'Supply (Allocation &amp; Emissions)'!W12</f>
        <v>20</v>
      </c>
      <c r="R6" s="1">
        <f>'Supply (Allocation &amp; Emissions)'!X12</f>
        <v>20</v>
      </c>
      <c r="S6" s="1">
        <f>'Supply (Allocation &amp; Emissions)'!Y12</f>
        <v>20</v>
      </c>
      <c r="T6" s="1">
        <f>'Supply (Allocation &amp; Emissions)'!Z12</f>
        <v>20</v>
      </c>
      <c r="U6" s="1">
        <f>'Supply (Allocation &amp; Emissions)'!AA12</f>
        <v>20</v>
      </c>
      <c r="V6" s="1">
        <f>'Supply (Allocation &amp; Emissions)'!AB12</f>
        <v>20</v>
      </c>
      <c r="W6" s="1">
        <f>'Supply (Allocation &amp; Emissions)'!AC12</f>
        <v>20</v>
      </c>
    </row>
    <row r="7" customHeight="1" spans="1:23">
      <c r="A7" s="1" t="str">
        <f>'Supply (Allocation &amp; Emissions)'!H13</f>
        <v>Slope Factor</v>
      </c>
      <c r="B7" s="1">
        <f>'Supply (Allocation &amp; Emissions)'!I13</f>
        <v>8</v>
      </c>
      <c r="C7" s="1">
        <f>'Supply (Allocation &amp; Emissions)'!J13</f>
        <v>8</v>
      </c>
      <c r="D7" s="1">
        <f>'Supply (Allocation &amp; Emissions)'!K13</f>
        <v>0</v>
      </c>
      <c r="E7" s="1" t="e">
        <f>#REF!</f>
        <v>#REF!</v>
      </c>
      <c r="F7" s="1">
        <f>'Supply (Allocation &amp; Emissions)'!L13</f>
        <v>5</v>
      </c>
      <c r="G7" s="1">
        <f>'Supply (Allocation &amp; Emissions)'!M13</f>
        <v>5</v>
      </c>
      <c r="H7" s="1">
        <f>'Supply (Allocation &amp; Emissions)'!N13</f>
        <v>8</v>
      </c>
      <c r="I7" s="1">
        <f>'Supply (Allocation &amp; Emissions)'!P13</f>
        <v>8</v>
      </c>
      <c r="J7" s="1">
        <f>'Supply (Allocation &amp; Emissions)'!Q13</f>
        <v>8</v>
      </c>
      <c r="K7" s="1">
        <f>'Supply (Allocation &amp; Emissions)'!R13</f>
        <v>8</v>
      </c>
      <c r="L7" s="1">
        <f>'Supply (Allocation &amp; Emissions)'!S13</f>
        <v>8</v>
      </c>
      <c r="M7" s="1" t="e">
        <f>#REF!</f>
        <v>#REF!</v>
      </c>
      <c r="N7" s="1">
        <f>'Supply (Allocation &amp; Emissions)'!T13</f>
        <v>8</v>
      </c>
      <c r="O7" s="1">
        <f>'Supply (Allocation &amp; Emissions)'!U13</f>
        <v>8</v>
      </c>
      <c r="P7" s="1">
        <f>'Supply (Allocation &amp; Emissions)'!V13</f>
        <v>8</v>
      </c>
      <c r="Q7" s="1">
        <f>'Supply (Allocation &amp; Emissions)'!W13</f>
        <v>8</v>
      </c>
      <c r="R7" s="1">
        <f>'Supply (Allocation &amp; Emissions)'!X13</f>
        <v>8</v>
      </c>
      <c r="S7" s="1">
        <f>'Supply (Allocation &amp; Emissions)'!Y13</f>
        <v>8</v>
      </c>
      <c r="T7" s="1">
        <f>'Supply (Allocation &amp; Emissions)'!Z13</f>
        <v>8</v>
      </c>
      <c r="U7" s="1">
        <f>'Supply (Allocation &amp; Emissions)'!AA13</f>
        <v>8</v>
      </c>
      <c r="V7" s="1">
        <f>'Supply (Allocation &amp; Emissions)'!AB13</f>
        <v>8</v>
      </c>
      <c r="W7" s="1">
        <f>'Supply (Allocation &amp; Emissions)'!AC13</f>
        <v>8</v>
      </c>
    </row>
    <row r="8" customHeight="1" spans="1:23">
      <c r="A8" s="2" t="s">
        <v>54</v>
      </c>
      <c r="B8" s="3">
        <f ca="1" t="shared" ref="B8:W8" si="0">IF(B2=0,0,OFFSET(B12,B4+1,0))</f>
        <v>0</v>
      </c>
      <c r="C8" s="3">
        <f ca="1" t="shared" si="0"/>
        <v>0</v>
      </c>
      <c r="D8" s="3">
        <f ca="1" t="shared" si="0"/>
        <v>0</v>
      </c>
      <c r="E8" s="3" t="e">
        <f ca="1" t="shared" si="0"/>
        <v>#REF!</v>
      </c>
      <c r="F8" s="3">
        <f ca="1" t="shared" si="0"/>
        <v>0</v>
      </c>
      <c r="G8" s="3">
        <f ca="1" t="shared" si="0"/>
        <v>0</v>
      </c>
      <c r="H8" s="3">
        <f ca="1" t="shared" si="0"/>
        <v>0.0476190476190476</v>
      </c>
      <c r="I8" s="3">
        <f ca="1" t="shared" si="0"/>
        <v>0.0476190476190476</v>
      </c>
      <c r="J8" s="3">
        <f ca="1" t="shared" si="0"/>
        <v>0</v>
      </c>
      <c r="K8" s="3">
        <f ca="1" t="shared" si="0"/>
        <v>0.0476190476190476</v>
      </c>
      <c r="L8" s="3">
        <f ca="1" t="shared" si="0"/>
        <v>0.0476190476190476</v>
      </c>
      <c r="M8" s="3" t="e">
        <f ca="1" t="shared" si="0"/>
        <v>#REF!</v>
      </c>
      <c r="N8" s="3">
        <f ca="1" t="shared" si="0"/>
        <v>0</v>
      </c>
      <c r="O8" s="3">
        <f ca="1" t="shared" si="0"/>
        <v>0</v>
      </c>
      <c r="P8" s="3">
        <f ca="1" t="shared" si="0"/>
        <v>0</v>
      </c>
      <c r="Q8" s="3">
        <f ca="1" t="shared" si="0"/>
        <v>0</v>
      </c>
      <c r="R8" s="3">
        <f ca="1" t="shared" si="0"/>
        <v>0</v>
      </c>
      <c r="S8" s="3">
        <f ca="1" t="shared" si="0"/>
        <v>0</v>
      </c>
      <c r="T8" s="3">
        <f ca="1" t="shared" si="0"/>
        <v>0</v>
      </c>
      <c r="U8" s="3">
        <f ca="1" t="shared" si="0"/>
        <v>0</v>
      </c>
      <c r="V8" s="3">
        <f ca="1" t="shared" si="0"/>
        <v>0</v>
      </c>
      <c r="W8" s="3">
        <f ca="1" t="shared" si="0"/>
        <v>0</v>
      </c>
    </row>
    <row r="9" customHeight="1" spans="1:23">
      <c r="A9" s="2" t="s">
        <v>55</v>
      </c>
      <c r="B9" s="3">
        <f ca="1" t="shared" ref="B9:W9" si="1">IF(B2=0,1,OFFSET(B12,B2+B4+1,0))</f>
        <v>0.952766556485151</v>
      </c>
      <c r="C9" s="3">
        <f ca="1" t="shared" si="1"/>
        <v>0.952766556485151</v>
      </c>
      <c r="D9" s="3" t="e">
        <f ca="1" t="shared" si="1"/>
        <v>#DIV/0!</v>
      </c>
      <c r="E9" s="3" t="e">
        <f ca="1" t="shared" si="1"/>
        <v>#REF!</v>
      </c>
      <c r="F9" s="3">
        <f ca="1" t="shared" si="1"/>
        <v>0.988925236790005</v>
      </c>
      <c r="G9" s="3">
        <f ca="1" t="shared" si="1"/>
        <v>0.890118276153237</v>
      </c>
      <c r="H9" s="3">
        <f ca="1" t="shared" si="1"/>
        <v>0.0603281283286291</v>
      </c>
      <c r="I9" s="3">
        <f ca="1" t="shared" si="1"/>
        <v>0.0957182264783894</v>
      </c>
      <c r="J9" s="3">
        <f ca="1" t="shared" si="1"/>
        <v>1</v>
      </c>
      <c r="K9" s="3">
        <f ca="1" t="shared" si="1"/>
        <v>0.0603281283286291</v>
      </c>
      <c r="L9" s="3">
        <f ca="1" t="shared" si="1"/>
        <v>0.0603281283286291</v>
      </c>
      <c r="M9" s="3" t="e">
        <f ca="1" t="shared" si="1"/>
        <v>#REF!</v>
      </c>
      <c r="N9" s="3">
        <f ca="1" t="shared" si="1"/>
        <v>1</v>
      </c>
      <c r="O9" s="3">
        <f ca="1" t="shared" si="1"/>
        <v>1</v>
      </c>
      <c r="P9" s="3">
        <f ca="1" t="shared" si="1"/>
        <v>1</v>
      </c>
      <c r="Q9" s="3">
        <f ca="1" t="shared" si="1"/>
        <v>1</v>
      </c>
      <c r="R9" s="3">
        <f ca="1" t="shared" si="1"/>
        <v>1</v>
      </c>
      <c r="S9" s="3">
        <f ca="1" t="shared" si="1"/>
        <v>1</v>
      </c>
      <c r="T9" s="3">
        <f ca="1" t="shared" si="1"/>
        <v>1</v>
      </c>
      <c r="U9" s="3">
        <f ca="1" t="shared" si="1"/>
        <v>1</v>
      </c>
      <c r="V9" s="3">
        <f ca="1" t="shared" si="1"/>
        <v>1</v>
      </c>
      <c r="W9" s="3">
        <f ca="1" t="shared" si="1"/>
        <v>1</v>
      </c>
    </row>
    <row r="10" customHeight="1" spans="1:23">
      <c r="A10" s="2" t="s">
        <v>56</v>
      </c>
      <c r="B10" s="3">
        <f ca="1" t="shared" ref="B10:W10" si="2">B9-B8</f>
        <v>0.952766556485151</v>
      </c>
      <c r="C10" s="3">
        <f ca="1" t="shared" si="2"/>
        <v>0.952766556485151</v>
      </c>
      <c r="D10" s="1" t="e">
        <f ca="1" t="shared" si="2"/>
        <v>#DIV/0!</v>
      </c>
      <c r="E10" s="1" t="e">
        <f ca="1" t="shared" si="2"/>
        <v>#REF!</v>
      </c>
      <c r="F10" s="3">
        <f ca="1" t="shared" si="2"/>
        <v>0.988925236790005</v>
      </c>
      <c r="G10" s="3">
        <f ca="1" t="shared" si="2"/>
        <v>0.890118276153237</v>
      </c>
      <c r="H10" s="3">
        <f ca="1" t="shared" si="2"/>
        <v>0.0127090807095815</v>
      </c>
      <c r="I10" s="3">
        <f ca="1" t="shared" si="2"/>
        <v>0.0480991788593418</v>
      </c>
      <c r="J10" s="3">
        <f ca="1" t="shared" si="2"/>
        <v>1</v>
      </c>
      <c r="K10" s="3">
        <f ca="1" t="shared" si="2"/>
        <v>0.0127090807095815</v>
      </c>
      <c r="L10" s="3">
        <f ca="1" t="shared" si="2"/>
        <v>0.0127090807095815</v>
      </c>
      <c r="M10" s="1" t="e">
        <f ca="1" t="shared" si="2"/>
        <v>#REF!</v>
      </c>
      <c r="N10" s="3">
        <f ca="1" t="shared" si="2"/>
        <v>1</v>
      </c>
      <c r="O10" s="3">
        <f ca="1" t="shared" si="2"/>
        <v>1</v>
      </c>
      <c r="P10" s="3">
        <f ca="1" t="shared" si="2"/>
        <v>1</v>
      </c>
      <c r="Q10" s="3">
        <f ca="1" t="shared" si="2"/>
        <v>1</v>
      </c>
      <c r="R10" s="3">
        <f ca="1" t="shared" si="2"/>
        <v>1</v>
      </c>
      <c r="S10" s="3">
        <f ca="1" t="shared" si="2"/>
        <v>1</v>
      </c>
      <c r="T10" s="3">
        <f ca="1" t="shared" si="2"/>
        <v>1</v>
      </c>
      <c r="U10" s="3">
        <f ca="1" t="shared" si="2"/>
        <v>1</v>
      </c>
      <c r="V10" s="3">
        <f ca="1" t="shared" si="2"/>
        <v>1</v>
      </c>
      <c r="W10" s="3">
        <f ca="1" t="shared" si="2"/>
        <v>1</v>
      </c>
    </row>
    <row r="11" customHeight="1" spans="1:1">
      <c r="A11" s="2"/>
    </row>
    <row r="12" customHeight="1" spans="1:2">
      <c r="A12" s="2" t="s">
        <v>29</v>
      </c>
      <c r="B12" s="4" t="s">
        <v>57</v>
      </c>
    </row>
    <row r="13" customHeight="1" spans="1:23">
      <c r="A13" s="2">
        <v>0</v>
      </c>
      <c r="B13" s="3">
        <f t="shared" ref="B13:W13" si="3">MIN(1,IF($A13&lt;B$4+B$3,0,IF(B$2=0,1,IF(B$5=0,1/(1+(B$6*EXP(-($A13-B$4)/B$7))),IF(MOD($A13-B$4,B$5)=0,1/(1+(B$6*EXP(-($A13-B$4)/B$7))),1/(1+(B$6*EXP(-(QUOTIENT($A13-B$4,B$5)*B$5)/B$7))))))))</f>
        <v>0</v>
      </c>
      <c r="C13" s="3">
        <f t="shared" si="3"/>
        <v>0</v>
      </c>
      <c r="D13" s="3">
        <f t="shared" si="3"/>
        <v>0</v>
      </c>
      <c r="E13" s="3" t="e">
        <f t="shared" si="3"/>
        <v>#REF!</v>
      </c>
      <c r="F13" s="3">
        <f t="shared" si="3"/>
        <v>0</v>
      </c>
      <c r="G13" s="3">
        <f t="shared" si="3"/>
        <v>0</v>
      </c>
      <c r="H13" s="3">
        <f t="shared" si="3"/>
        <v>0.0476190476190476</v>
      </c>
      <c r="I13" s="3">
        <f t="shared" si="3"/>
        <v>0.0476190476190476</v>
      </c>
      <c r="J13" s="3">
        <f t="shared" si="3"/>
        <v>1</v>
      </c>
      <c r="K13" s="3">
        <f t="shared" si="3"/>
        <v>0.0476190476190476</v>
      </c>
      <c r="L13" s="3">
        <f t="shared" si="3"/>
        <v>0.0476190476190476</v>
      </c>
      <c r="M13" s="3" t="e">
        <f t="shared" si="3"/>
        <v>#REF!</v>
      </c>
      <c r="N13" s="3">
        <f t="shared" si="3"/>
        <v>1</v>
      </c>
      <c r="O13" s="3">
        <f t="shared" si="3"/>
        <v>1</v>
      </c>
      <c r="P13" s="3">
        <f t="shared" si="3"/>
        <v>1</v>
      </c>
      <c r="Q13" s="3">
        <f t="shared" si="3"/>
        <v>1</v>
      </c>
      <c r="R13" s="3">
        <f t="shared" si="3"/>
        <v>1</v>
      </c>
      <c r="S13" s="3">
        <f t="shared" si="3"/>
        <v>1</v>
      </c>
      <c r="T13" s="3">
        <f t="shared" si="3"/>
        <v>1</v>
      </c>
      <c r="U13" s="3">
        <f t="shared" si="3"/>
        <v>1</v>
      </c>
      <c r="V13" s="3">
        <f t="shared" si="3"/>
        <v>1</v>
      </c>
      <c r="W13" s="3">
        <f t="shared" si="3"/>
        <v>1</v>
      </c>
    </row>
    <row r="14" customHeight="1" spans="1:23">
      <c r="A14" s="2">
        <v>1</v>
      </c>
      <c r="B14" s="3">
        <f t="shared" ref="B14:W14" si="4">MIN(1,IF($A14&lt;B$4+B$3,0,IF(B$2=0,1,IF(B$5=0,1/(1+(B$6*EXP(-($A14-B$4)/B$7))),IF(MOD($A14-B$4,B$5)=0,1/(1+(B$6*EXP(-($A14-B$4)/B$7))),1/(1+(B$6*EXP(-(QUOTIENT($A14-B$4,B$5)*B$5)/B$7))))))))</f>
        <v>0</v>
      </c>
      <c r="C14" s="3">
        <f t="shared" si="4"/>
        <v>0</v>
      </c>
      <c r="D14" s="3">
        <f t="shared" si="4"/>
        <v>0</v>
      </c>
      <c r="E14" s="3" t="e">
        <f t="shared" si="4"/>
        <v>#REF!</v>
      </c>
      <c r="F14" s="3">
        <f t="shared" si="4"/>
        <v>0</v>
      </c>
      <c r="G14" s="3">
        <f t="shared" si="4"/>
        <v>0</v>
      </c>
      <c r="H14" s="3">
        <f t="shared" si="4"/>
        <v>0.0536194810528757</v>
      </c>
      <c r="I14" s="3">
        <f t="shared" si="4"/>
        <v>0.0536194810528757</v>
      </c>
      <c r="J14" s="3">
        <f t="shared" si="4"/>
        <v>1</v>
      </c>
      <c r="K14" s="3">
        <f t="shared" si="4"/>
        <v>0.0536194810528757</v>
      </c>
      <c r="L14" s="3">
        <f t="shared" si="4"/>
        <v>0.0536194810528757</v>
      </c>
      <c r="M14" s="3" t="e">
        <f t="shared" si="4"/>
        <v>#REF!</v>
      </c>
      <c r="N14" s="3">
        <f t="shared" si="4"/>
        <v>1</v>
      </c>
      <c r="O14" s="3">
        <f t="shared" si="4"/>
        <v>1</v>
      </c>
      <c r="P14" s="3">
        <f t="shared" si="4"/>
        <v>1</v>
      </c>
      <c r="Q14" s="3">
        <f t="shared" si="4"/>
        <v>1</v>
      </c>
      <c r="R14" s="3">
        <f t="shared" si="4"/>
        <v>1</v>
      </c>
      <c r="S14" s="3">
        <f t="shared" si="4"/>
        <v>1</v>
      </c>
      <c r="T14" s="3">
        <f t="shared" si="4"/>
        <v>1</v>
      </c>
      <c r="U14" s="3">
        <f t="shared" si="4"/>
        <v>1</v>
      </c>
      <c r="V14" s="3">
        <f t="shared" si="4"/>
        <v>1</v>
      </c>
      <c r="W14" s="3">
        <f t="shared" si="4"/>
        <v>1</v>
      </c>
    </row>
    <row r="15" customHeight="1" spans="1:23">
      <c r="A15" s="2">
        <v>2</v>
      </c>
      <c r="B15" s="3">
        <f t="shared" ref="B15:W15" si="5">MIN(1,IF($A15&lt;B$4+B$3,0,IF(B$2=0,1,IF(B$5=0,1/(1+(B$6*EXP(-($A15-B$4)/B$7))),IF(MOD($A15-B$4,B$5)=0,1/(1+(B$6*EXP(-($A15-B$4)/B$7))),1/(1+(B$6*EXP(-(QUOTIENT($A15-B$4,B$5)*B$5)/B$7))))))))</f>
        <v>0</v>
      </c>
      <c r="C15" s="3">
        <f t="shared" si="5"/>
        <v>0</v>
      </c>
      <c r="D15" s="3">
        <f t="shared" si="5"/>
        <v>0</v>
      </c>
      <c r="E15" s="3" t="e">
        <f t="shared" si="5"/>
        <v>#REF!</v>
      </c>
      <c r="F15" s="3">
        <f t="shared" si="5"/>
        <v>0</v>
      </c>
      <c r="G15" s="3">
        <f t="shared" si="5"/>
        <v>0</v>
      </c>
      <c r="H15" s="3">
        <f t="shared" si="5"/>
        <v>0.0603281283286291</v>
      </c>
      <c r="I15" s="3">
        <f t="shared" si="5"/>
        <v>0.0603281283286291</v>
      </c>
      <c r="J15" s="3">
        <f t="shared" si="5"/>
        <v>1</v>
      </c>
      <c r="K15" s="3">
        <f t="shared" si="5"/>
        <v>0.0603281283286291</v>
      </c>
      <c r="L15" s="3">
        <f t="shared" si="5"/>
        <v>0.0603281283286291</v>
      </c>
      <c r="M15" s="3" t="e">
        <f t="shared" si="5"/>
        <v>#REF!</v>
      </c>
      <c r="N15" s="3">
        <f t="shared" si="5"/>
        <v>1</v>
      </c>
      <c r="O15" s="3">
        <f t="shared" si="5"/>
        <v>1</v>
      </c>
      <c r="P15" s="3">
        <f t="shared" si="5"/>
        <v>1</v>
      </c>
      <c r="Q15" s="3">
        <f t="shared" si="5"/>
        <v>1</v>
      </c>
      <c r="R15" s="3">
        <f t="shared" si="5"/>
        <v>1</v>
      </c>
      <c r="S15" s="3">
        <f t="shared" si="5"/>
        <v>1</v>
      </c>
      <c r="T15" s="3">
        <f t="shared" si="5"/>
        <v>1</v>
      </c>
      <c r="U15" s="3">
        <f t="shared" si="5"/>
        <v>1</v>
      </c>
      <c r="V15" s="3">
        <f t="shared" si="5"/>
        <v>1</v>
      </c>
      <c r="W15" s="3">
        <f t="shared" si="5"/>
        <v>1</v>
      </c>
    </row>
    <row r="16" customHeight="1" spans="1:23">
      <c r="A16" s="2">
        <v>3</v>
      </c>
      <c r="B16" s="3">
        <f t="shared" ref="B16:W16" si="6">MIN(1,IF($A16&lt;B$4+B$3,0,IF(B$2=0,1,IF(B$5=0,1/(1+(B$6*EXP(-($A16-B$4)/B$7))),IF(MOD($A16-B$4,B$5)=0,1/(1+(B$6*EXP(-($A16-B$4)/B$7))),1/(1+(B$6*EXP(-(QUOTIENT($A16-B$4,B$5)*B$5)/B$7))))))))</f>
        <v>0</v>
      </c>
      <c r="C16" s="3">
        <f t="shared" si="6"/>
        <v>0</v>
      </c>
      <c r="D16" s="3">
        <f t="shared" si="6"/>
        <v>0</v>
      </c>
      <c r="E16" s="3" t="e">
        <f t="shared" si="6"/>
        <v>#REF!</v>
      </c>
      <c r="F16" s="3">
        <f t="shared" si="6"/>
        <v>0</v>
      </c>
      <c r="G16" s="3">
        <f t="shared" si="6"/>
        <v>0</v>
      </c>
      <c r="H16" s="3">
        <f t="shared" si="6"/>
        <v>0.0678159868023463</v>
      </c>
      <c r="I16" s="3">
        <f t="shared" si="6"/>
        <v>0.0678159868023463</v>
      </c>
      <c r="J16" s="3">
        <f t="shared" si="6"/>
        <v>1</v>
      </c>
      <c r="K16" s="3">
        <f t="shared" si="6"/>
        <v>0.0678159868023463</v>
      </c>
      <c r="L16" s="3">
        <f t="shared" si="6"/>
        <v>0.0678159868023463</v>
      </c>
      <c r="M16" s="3" t="e">
        <f t="shared" si="6"/>
        <v>#REF!</v>
      </c>
      <c r="N16" s="3">
        <f t="shared" si="6"/>
        <v>1</v>
      </c>
      <c r="O16" s="3">
        <f t="shared" si="6"/>
        <v>1</v>
      </c>
      <c r="P16" s="3">
        <f t="shared" si="6"/>
        <v>1</v>
      </c>
      <c r="Q16" s="3">
        <f t="shared" si="6"/>
        <v>1</v>
      </c>
      <c r="R16" s="3">
        <f t="shared" si="6"/>
        <v>1</v>
      </c>
      <c r="S16" s="3">
        <f t="shared" si="6"/>
        <v>1</v>
      </c>
      <c r="T16" s="3">
        <f t="shared" si="6"/>
        <v>1</v>
      </c>
      <c r="U16" s="3">
        <f t="shared" si="6"/>
        <v>1</v>
      </c>
      <c r="V16" s="3">
        <f t="shared" si="6"/>
        <v>1</v>
      </c>
      <c r="W16" s="3">
        <f t="shared" si="6"/>
        <v>1</v>
      </c>
    </row>
    <row r="17" customHeight="1" spans="1:23">
      <c r="A17" s="2">
        <v>4</v>
      </c>
      <c r="B17" s="3">
        <f t="shared" ref="B17:W17" si="7">MIN(1,IF($A17&lt;B$4+B$3,0,IF(B$2=0,1,IF(B$5=0,1/(1+(B$6*EXP(-($A17-B$4)/B$7))),IF(MOD($A17-B$4,B$5)=0,1/(1+(B$6*EXP(-($A17-B$4)/B$7))),1/(1+(B$6*EXP(-(QUOTIENT($A17-B$4,B$5)*B$5)/B$7))))))))</f>
        <v>0</v>
      </c>
      <c r="C17" s="3">
        <f t="shared" si="7"/>
        <v>0</v>
      </c>
      <c r="D17" s="3">
        <f t="shared" si="7"/>
        <v>0</v>
      </c>
      <c r="E17" s="3" t="e">
        <f t="shared" si="7"/>
        <v>#REF!</v>
      </c>
      <c r="F17" s="3">
        <f t="shared" si="7"/>
        <v>0</v>
      </c>
      <c r="G17" s="3">
        <f t="shared" si="7"/>
        <v>0</v>
      </c>
      <c r="H17" s="3">
        <f t="shared" si="7"/>
        <v>0.0761579055910127</v>
      </c>
      <c r="I17" s="3">
        <f t="shared" si="7"/>
        <v>0.0761579055910127</v>
      </c>
      <c r="J17" s="3">
        <f t="shared" si="7"/>
        <v>1</v>
      </c>
      <c r="K17" s="3">
        <f t="shared" si="7"/>
        <v>0.0761579055910127</v>
      </c>
      <c r="L17" s="3">
        <f t="shared" si="7"/>
        <v>0.0761579055910127</v>
      </c>
      <c r="M17" s="3" t="e">
        <f t="shared" si="7"/>
        <v>#REF!</v>
      </c>
      <c r="N17" s="3">
        <f t="shared" si="7"/>
        <v>1</v>
      </c>
      <c r="O17" s="3">
        <f t="shared" si="7"/>
        <v>1</v>
      </c>
      <c r="P17" s="3">
        <f t="shared" si="7"/>
        <v>1</v>
      </c>
      <c r="Q17" s="3">
        <f t="shared" si="7"/>
        <v>1</v>
      </c>
      <c r="R17" s="3">
        <f t="shared" si="7"/>
        <v>1</v>
      </c>
      <c r="S17" s="3">
        <f t="shared" si="7"/>
        <v>1</v>
      </c>
      <c r="T17" s="3">
        <f t="shared" si="7"/>
        <v>1</v>
      </c>
      <c r="U17" s="3">
        <f t="shared" si="7"/>
        <v>1</v>
      </c>
      <c r="V17" s="3">
        <f t="shared" si="7"/>
        <v>1</v>
      </c>
      <c r="W17" s="3">
        <f t="shared" si="7"/>
        <v>1</v>
      </c>
    </row>
    <row r="18" customHeight="1" spans="1:23">
      <c r="A18" s="2">
        <v>5</v>
      </c>
      <c r="B18" s="3">
        <f t="shared" ref="B18:W18" si="8">MIN(1,IF($A18&lt;B$4+B$3,0,IF(B$2=0,1,IF(B$5=0,1/(1+(B$6*EXP(-($A18-B$4)/B$7))),IF(MOD($A18-B$4,B$5)=0,1/(1+(B$6*EXP(-($A18-B$4)/B$7))),1/(1+(B$6*EXP(-(QUOTIENT($A18-B$4,B$5)*B$5)/B$7))))))))</f>
        <v>0</v>
      </c>
      <c r="C18" s="3">
        <f t="shared" si="8"/>
        <v>0</v>
      </c>
      <c r="D18" s="3">
        <f t="shared" si="8"/>
        <v>0</v>
      </c>
      <c r="E18" s="3" t="e">
        <f t="shared" si="8"/>
        <v>#REF!</v>
      </c>
      <c r="F18" s="3">
        <f t="shared" si="8"/>
        <v>0</v>
      </c>
      <c r="G18" s="3">
        <f t="shared" si="8"/>
        <v>0</v>
      </c>
      <c r="H18" s="3">
        <f t="shared" si="8"/>
        <v>0.0854319071163215</v>
      </c>
      <c r="I18" s="3">
        <f t="shared" si="8"/>
        <v>0.0854319071163215</v>
      </c>
      <c r="J18" s="3">
        <f t="shared" si="8"/>
        <v>1</v>
      </c>
      <c r="K18" s="3">
        <f t="shared" si="8"/>
        <v>0.0854319071163215</v>
      </c>
      <c r="L18" s="3">
        <f t="shared" si="8"/>
        <v>0.0854319071163215</v>
      </c>
      <c r="M18" s="3" t="e">
        <f t="shared" si="8"/>
        <v>#REF!</v>
      </c>
      <c r="N18" s="3">
        <f t="shared" si="8"/>
        <v>1</v>
      </c>
      <c r="O18" s="3">
        <f t="shared" si="8"/>
        <v>1</v>
      </c>
      <c r="P18" s="3">
        <f t="shared" si="8"/>
        <v>1</v>
      </c>
      <c r="Q18" s="3">
        <f t="shared" si="8"/>
        <v>1</v>
      </c>
      <c r="R18" s="3">
        <f t="shared" si="8"/>
        <v>1</v>
      </c>
      <c r="S18" s="3">
        <f t="shared" si="8"/>
        <v>1</v>
      </c>
      <c r="T18" s="3">
        <f t="shared" si="8"/>
        <v>1</v>
      </c>
      <c r="U18" s="3">
        <f t="shared" si="8"/>
        <v>1</v>
      </c>
      <c r="V18" s="3">
        <f t="shared" si="8"/>
        <v>1</v>
      </c>
      <c r="W18" s="3">
        <f t="shared" si="8"/>
        <v>1</v>
      </c>
    </row>
    <row r="19" customHeight="1" spans="1:23">
      <c r="A19" s="2">
        <v>6</v>
      </c>
      <c r="B19" s="3">
        <f t="shared" ref="B19:W19" si="9">MIN(1,IF($A19&lt;B$4+B$3,0,IF(B$2=0,1,IF(B$5=0,1/(1+(B$6*EXP(-($A19-B$4)/B$7))),IF(MOD($A19-B$4,B$5)=0,1/(1+(B$6*EXP(-($A19-B$4)/B$7))),1/(1+(B$6*EXP(-(QUOTIENT($A19-B$4,B$5)*B$5)/B$7))))))))</f>
        <v>0</v>
      </c>
      <c r="C19" s="3">
        <f t="shared" si="9"/>
        <v>0</v>
      </c>
      <c r="D19" s="3" t="e">
        <f t="shared" si="9"/>
        <v>#DIV/0!</v>
      </c>
      <c r="E19" s="3" t="e">
        <f t="shared" si="9"/>
        <v>#REF!</v>
      </c>
      <c r="F19" s="3">
        <f t="shared" si="9"/>
        <v>0</v>
      </c>
      <c r="G19" s="3">
        <f t="shared" si="9"/>
        <v>0.181227933027875</v>
      </c>
      <c r="H19" s="3">
        <f t="shared" si="9"/>
        <v>0.0957182264783894</v>
      </c>
      <c r="I19" s="3">
        <f t="shared" si="9"/>
        <v>0.0957182264783894</v>
      </c>
      <c r="J19" s="3">
        <f t="shared" si="9"/>
        <v>1</v>
      </c>
      <c r="K19" s="3">
        <f t="shared" si="9"/>
        <v>0.0957182264783894</v>
      </c>
      <c r="L19" s="3">
        <f t="shared" si="9"/>
        <v>0.0957182264783894</v>
      </c>
      <c r="M19" s="3" t="e">
        <f t="shared" si="9"/>
        <v>#REF!</v>
      </c>
      <c r="N19" s="3">
        <f t="shared" si="9"/>
        <v>1</v>
      </c>
      <c r="O19" s="3">
        <f t="shared" si="9"/>
        <v>1</v>
      </c>
      <c r="P19" s="3">
        <f t="shared" si="9"/>
        <v>1</v>
      </c>
      <c r="Q19" s="3">
        <f t="shared" si="9"/>
        <v>1</v>
      </c>
      <c r="R19" s="3">
        <f t="shared" si="9"/>
        <v>1</v>
      </c>
      <c r="S19" s="3">
        <f t="shared" si="9"/>
        <v>1</v>
      </c>
      <c r="T19" s="3">
        <f t="shared" si="9"/>
        <v>1</v>
      </c>
      <c r="U19" s="3">
        <f t="shared" si="9"/>
        <v>1</v>
      </c>
      <c r="V19" s="3">
        <f t="shared" si="9"/>
        <v>1</v>
      </c>
      <c r="W19" s="3">
        <f t="shared" si="9"/>
        <v>1</v>
      </c>
    </row>
    <row r="20" customHeight="1" spans="1:23">
      <c r="A20" s="2">
        <v>7</v>
      </c>
      <c r="B20" s="3">
        <f t="shared" ref="B20:W20" si="10">MIN(1,IF($A20&lt;B$4+B$3,0,IF(B$2=0,1,IF(B$5=0,1/(1+(B$6*EXP(-($A20-B$4)/B$7))),IF(MOD($A20-B$4,B$5)=0,1/(1+(B$6*EXP(-($A20-B$4)/B$7))),1/(1+(B$6*EXP(-(QUOTIENT($A20-B$4,B$5)*B$5)/B$7))))))))</f>
        <v>0</v>
      </c>
      <c r="C20" s="3">
        <f t="shared" si="10"/>
        <v>0</v>
      </c>
      <c r="D20" s="3" t="e">
        <f t="shared" si="10"/>
        <v>#DIV/0!</v>
      </c>
      <c r="E20" s="3" t="e">
        <f t="shared" si="10"/>
        <v>#REF!</v>
      </c>
      <c r="F20" s="3">
        <f t="shared" si="10"/>
        <v>0</v>
      </c>
      <c r="G20" s="3">
        <f t="shared" si="10"/>
        <v>0.212813298936803</v>
      </c>
      <c r="H20" s="3">
        <f t="shared" si="10"/>
        <v>0.10709802445363</v>
      </c>
      <c r="I20" s="3">
        <f t="shared" si="10"/>
        <v>0.10709802445363</v>
      </c>
      <c r="J20" s="3">
        <f t="shared" si="10"/>
        <v>1</v>
      </c>
      <c r="K20" s="3">
        <f t="shared" si="10"/>
        <v>0.10709802445363</v>
      </c>
      <c r="L20" s="3">
        <f t="shared" si="10"/>
        <v>0.10709802445363</v>
      </c>
      <c r="M20" s="3" t="e">
        <f t="shared" si="10"/>
        <v>#REF!</v>
      </c>
      <c r="N20" s="3">
        <f t="shared" si="10"/>
        <v>1</v>
      </c>
      <c r="O20" s="3">
        <f t="shared" si="10"/>
        <v>1</v>
      </c>
      <c r="P20" s="3">
        <f t="shared" si="10"/>
        <v>1</v>
      </c>
      <c r="Q20" s="3">
        <f t="shared" si="10"/>
        <v>1</v>
      </c>
      <c r="R20" s="3">
        <f t="shared" si="10"/>
        <v>1</v>
      </c>
      <c r="S20" s="3">
        <f t="shared" si="10"/>
        <v>1</v>
      </c>
      <c r="T20" s="3">
        <f t="shared" si="10"/>
        <v>1</v>
      </c>
      <c r="U20" s="3">
        <f t="shared" si="10"/>
        <v>1</v>
      </c>
      <c r="V20" s="3">
        <f t="shared" si="10"/>
        <v>1</v>
      </c>
      <c r="W20" s="3">
        <f t="shared" si="10"/>
        <v>1</v>
      </c>
    </row>
    <row r="21" customHeight="1" spans="1:23">
      <c r="A21" s="2">
        <v>8</v>
      </c>
      <c r="B21" s="3">
        <f t="shared" ref="B21:W21" si="11">MIN(1,IF($A21&lt;B$4+B$3,0,IF(B$2=0,1,IF(B$5=0,1/(1+(B$6*EXP(-($A21-B$4)/B$7))),IF(MOD($A21-B$4,B$5)=0,1/(1+(B$6*EXP(-($A21-B$4)/B$7))),1/(1+(B$6*EXP(-(QUOTIENT($A21-B$4,B$5)*B$5)/B$7))))))))</f>
        <v>0</v>
      </c>
      <c r="C21" s="3">
        <f t="shared" si="11"/>
        <v>0</v>
      </c>
      <c r="D21" s="3" t="e">
        <f t="shared" si="11"/>
        <v>#DIV/0!</v>
      </c>
      <c r="E21" s="3" t="e">
        <f t="shared" si="11"/>
        <v>#REF!</v>
      </c>
      <c r="F21" s="3">
        <f t="shared" si="11"/>
        <v>0</v>
      </c>
      <c r="G21" s="3">
        <f t="shared" si="11"/>
        <v>0.248234570016506</v>
      </c>
      <c r="H21" s="3">
        <f t="shared" si="11"/>
        <v>0.119651734624309</v>
      </c>
      <c r="I21" s="3">
        <f t="shared" si="11"/>
        <v>0.119651734624309</v>
      </c>
      <c r="J21" s="3">
        <f t="shared" si="11"/>
        <v>1</v>
      </c>
      <c r="K21" s="3">
        <f t="shared" si="11"/>
        <v>0.119651734624309</v>
      </c>
      <c r="L21" s="3">
        <f t="shared" si="11"/>
        <v>0.119651734624309</v>
      </c>
      <c r="M21" s="3" t="e">
        <f t="shared" si="11"/>
        <v>#REF!</v>
      </c>
      <c r="N21" s="3">
        <f t="shared" si="11"/>
        <v>1</v>
      </c>
      <c r="O21" s="3">
        <f t="shared" si="11"/>
        <v>1</v>
      </c>
      <c r="P21" s="3">
        <f t="shared" si="11"/>
        <v>1</v>
      </c>
      <c r="Q21" s="3">
        <f t="shared" si="11"/>
        <v>1</v>
      </c>
      <c r="R21" s="3">
        <f t="shared" si="11"/>
        <v>1</v>
      </c>
      <c r="S21" s="3">
        <f t="shared" si="11"/>
        <v>1</v>
      </c>
      <c r="T21" s="3">
        <f t="shared" si="11"/>
        <v>1</v>
      </c>
      <c r="U21" s="3">
        <f t="shared" si="11"/>
        <v>1</v>
      </c>
      <c r="V21" s="3">
        <f t="shared" si="11"/>
        <v>1</v>
      </c>
      <c r="W21" s="3">
        <f t="shared" si="11"/>
        <v>1</v>
      </c>
    </row>
    <row r="22" customHeight="1" spans="1:23">
      <c r="A22" s="2">
        <v>9</v>
      </c>
      <c r="B22" s="3">
        <f t="shared" ref="B22:W22" si="12">MIN(1,IF($A22&lt;B$4+B$3,0,IF(B$2=0,1,IF(B$5=0,1/(1+(B$6*EXP(-($A22-B$4)/B$7))),IF(MOD($A22-B$4,B$5)=0,1/(1+(B$6*EXP(-($A22-B$4)/B$7))),1/(1+(B$6*EXP(-(QUOTIENT($A22-B$4,B$5)*B$5)/B$7))))))))</f>
        <v>0</v>
      </c>
      <c r="C22" s="3">
        <f t="shared" si="12"/>
        <v>0</v>
      </c>
      <c r="D22" s="3" t="e">
        <f t="shared" si="12"/>
        <v>#DIV/0!</v>
      </c>
      <c r="E22" s="3" t="e">
        <f t="shared" si="12"/>
        <v>#REF!</v>
      </c>
      <c r="F22" s="3">
        <f t="shared" si="12"/>
        <v>0</v>
      </c>
      <c r="G22" s="3">
        <f t="shared" si="12"/>
        <v>0.28739899205631</v>
      </c>
      <c r="H22" s="3">
        <f t="shared" si="12"/>
        <v>0.133457015117361</v>
      </c>
      <c r="I22" s="3">
        <f t="shared" si="12"/>
        <v>0.133457015117361</v>
      </c>
      <c r="J22" s="3">
        <f t="shared" si="12"/>
        <v>1</v>
      </c>
      <c r="K22" s="3">
        <f t="shared" si="12"/>
        <v>0.133457015117361</v>
      </c>
      <c r="L22" s="3">
        <f t="shared" si="12"/>
        <v>0.133457015117361</v>
      </c>
      <c r="M22" s="3" t="e">
        <f t="shared" si="12"/>
        <v>#REF!</v>
      </c>
      <c r="N22" s="3">
        <f t="shared" si="12"/>
        <v>1</v>
      </c>
      <c r="O22" s="3">
        <f t="shared" si="12"/>
        <v>1</v>
      </c>
      <c r="P22" s="3">
        <f t="shared" si="12"/>
        <v>1</v>
      </c>
      <c r="Q22" s="3">
        <f t="shared" si="12"/>
        <v>1</v>
      </c>
      <c r="R22" s="3">
        <f t="shared" si="12"/>
        <v>1</v>
      </c>
      <c r="S22" s="3">
        <f t="shared" si="12"/>
        <v>1</v>
      </c>
      <c r="T22" s="3">
        <f t="shared" si="12"/>
        <v>1</v>
      </c>
      <c r="U22" s="3">
        <f t="shared" si="12"/>
        <v>1</v>
      </c>
      <c r="V22" s="3">
        <f t="shared" si="12"/>
        <v>1</v>
      </c>
      <c r="W22" s="3">
        <f t="shared" si="12"/>
        <v>1</v>
      </c>
    </row>
    <row r="23" customHeight="1" spans="1:23">
      <c r="A23" s="2">
        <v>10</v>
      </c>
      <c r="B23" s="3">
        <f t="shared" ref="B23:W23" si="13">MIN(1,IF($A23&lt;B$4+B$3,0,IF(B$2=0,1,IF(B$5=0,1/(1+(B$6*EXP(-($A23-B$4)/B$7))),IF(MOD($A23-B$4,B$5)=0,1/(1+(B$6*EXP(-($A23-B$4)/B$7))),1/(1+(B$6*EXP(-(QUOTIENT($A23-B$4,B$5)*B$5)/B$7))))))))</f>
        <v>0</v>
      </c>
      <c r="C23" s="3">
        <f t="shared" si="13"/>
        <v>0</v>
      </c>
      <c r="D23" s="3" t="e">
        <f t="shared" si="13"/>
        <v>#DIV/0!</v>
      </c>
      <c r="E23" s="3" t="e">
        <f t="shared" si="13"/>
        <v>#REF!</v>
      </c>
      <c r="F23" s="3">
        <f t="shared" si="13"/>
        <v>0</v>
      </c>
      <c r="G23" s="3">
        <f t="shared" si="13"/>
        <v>0.330029817526946</v>
      </c>
      <c r="H23" s="3">
        <f t="shared" si="13"/>
        <v>0.148586291983154</v>
      </c>
      <c r="I23" s="3">
        <f t="shared" si="13"/>
        <v>0.148586291983154</v>
      </c>
      <c r="J23" s="3">
        <f t="shared" si="13"/>
        <v>1</v>
      </c>
      <c r="K23" s="3">
        <f t="shared" si="13"/>
        <v>0.148586291983154</v>
      </c>
      <c r="L23" s="3">
        <f t="shared" si="13"/>
        <v>0.148586291983154</v>
      </c>
      <c r="M23" s="3" t="e">
        <f t="shared" si="13"/>
        <v>#REF!</v>
      </c>
      <c r="N23" s="3">
        <f t="shared" si="13"/>
        <v>1</v>
      </c>
      <c r="O23" s="3">
        <f t="shared" si="13"/>
        <v>1</v>
      </c>
      <c r="P23" s="3">
        <f t="shared" si="13"/>
        <v>1</v>
      </c>
      <c r="Q23" s="3">
        <f t="shared" si="13"/>
        <v>1</v>
      </c>
      <c r="R23" s="3">
        <f t="shared" si="13"/>
        <v>1</v>
      </c>
      <c r="S23" s="3">
        <f t="shared" si="13"/>
        <v>1</v>
      </c>
      <c r="T23" s="3">
        <f t="shared" si="13"/>
        <v>1</v>
      </c>
      <c r="U23" s="3">
        <f t="shared" si="13"/>
        <v>1</v>
      </c>
      <c r="V23" s="3">
        <f t="shared" si="13"/>
        <v>1</v>
      </c>
      <c r="W23" s="3">
        <f t="shared" si="13"/>
        <v>1</v>
      </c>
    </row>
    <row r="24" customHeight="1" spans="1:23">
      <c r="A24" s="2">
        <v>11</v>
      </c>
      <c r="B24" s="3">
        <f t="shared" ref="B24:W24" si="14">MIN(1,IF($A24&lt;B$4+B$3,0,IF(B$2=0,1,IF(B$5=0,1/(1+(B$6*EXP(-($A24-B$4)/B$7))),IF(MOD($A24-B$4,B$5)=0,1/(1+(B$6*EXP(-($A24-B$4)/B$7))),1/(1+(B$6*EXP(-(QUOTIENT($A24-B$4,B$5)*B$5)/B$7))))))))</f>
        <v>0</v>
      </c>
      <c r="C24" s="3">
        <f t="shared" si="14"/>
        <v>0</v>
      </c>
      <c r="D24" s="3" t="e">
        <f t="shared" si="14"/>
        <v>#DIV/0!</v>
      </c>
      <c r="E24" s="3" t="e">
        <f t="shared" si="14"/>
        <v>#REF!</v>
      </c>
      <c r="F24" s="3">
        <f t="shared" si="14"/>
        <v>0</v>
      </c>
      <c r="G24" s="3">
        <f t="shared" si="14"/>
        <v>0.375650715020272</v>
      </c>
      <c r="H24" s="3">
        <f t="shared" si="14"/>
        <v>0.165103905475548</v>
      </c>
      <c r="I24" s="3">
        <f t="shared" si="14"/>
        <v>0.165103905475548</v>
      </c>
      <c r="J24" s="3">
        <f t="shared" si="14"/>
        <v>1</v>
      </c>
      <c r="K24" s="3">
        <f t="shared" si="14"/>
        <v>0.165103905475548</v>
      </c>
      <c r="L24" s="3">
        <f t="shared" si="14"/>
        <v>0.165103905475548</v>
      </c>
      <c r="M24" s="3" t="e">
        <f t="shared" si="14"/>
        <v>#REF!</v>
      </c>
      <c r="N24" s="3">
        <f t="shared" si="14"/>
        <v>1</v>
      </c>
      <c r="O24" s="3">
        <f t="shared" si="14"/>
        <v>1</v>
      </c>
      <c r="P24" s="3">
        <f t="shared" si="14"/>
        <v>1</v>
      </c>
      <c r="Q24" s="3">
        <f t="shared" si="14"/>
        <v>1</v>
      </c>
      <c r="R24" s="3">
        <f t="shared" si="14"/>
        <v>1</v>
      </c>
      <c r="S24" s="3">
        <f t="shared" si="14"/>
        <v>1</v>
      </c>
      <c r="T24" s="3">
        <f t="shared" si="14"/>
        <v>1</v>
      </c>
      <c r="U24" s="3">
        <f t="shared" si="14"/>
        <v>1</v>
      </c>
      <c r="V24" s="3">
        <f t="shared" si="14"/>
        <v>1</v>
      </c>
      <c r="W24" s="3">
        <f t="shared" si="14"/>
        <v>1</v>
      </c>
    </row>
    <row r="25" customHeight="1" spans="1:23">
      <c r="A25" s="2">
        <v>12</v>
      </c>
      <c r="B25" s="3">
        <f t="shared" ref="B25:W25" si="15">MIN(1,IF($A25&lt;B$4+B$3,0,IF(B$2=0,1,IF(B$5=0,1/(1+(B$6*EXP(-($A25-B$4)/B$7))),IF(MOD($A25-B$4,B$5)=0,1/(1+(B$6*EXP(-($A25-B$4)/B$7))),1/(1+(B$6*EXP(-(QUOTIENT($A25-B$4,B$5)*B$5)/B$7))))))))</f>
        <v>0.18306290295011</v>
      </c>
      <c r="C25" s="3">
        <f t="shared" si="15"/>
        <v>0.18306290295011</v>
      </c>
      <c r="D25" s="3" t="e">
        <f t="shared" si="15"/>
        <v>#DIV/0!</v>
      </c>
      <c r="E25" s="3" t="e">
        <f t="shared" si="15"/>
        <v>#REF!</v>
      </c>
      <c r="F25" s="3">
        <f t="shared" si="15"/>
        <v>0.423590733867586</v>
      </c>
      <c r="G25" s="3">
        <f t="shared" si="15"/>
        <v>0.423590733867586</v>
      </c>
      <c r="H25" s="3">
        <f t="shared" si="15"/>
        <v>0.18306290295011</v>
      </c>
      <c r="I25" s="3">
        <f t="shared" si="15"/>
        <v>0.18306290295011</v>
      </c>
      <c r="J25" s="3">
        <f t="shared" si="15"/>
        <v>1</v>
      </c>
      <c r="K25" s="3">
        <f t="shared" si="15"/>
        <v>0.18306290295011</v>
      </c>
      <c r="L25" s="3">
        <f t="shared" si="15"/>
        <v>0.18306290295011</v>
      </c>
      <c r="M25" s="3" t="e">
        <f t="shared" si="15"/>
        <v>#REF!</v>
      </c>
      <c r="N25" s="3">
        <f t="shared" si="15"/>
        <v>1</v>
      </c>
      <c r="O25" s="3">
        <f t="shared" si="15"/>
        <v>1</v>
      </c>
      <c r="P25" s="3">
        <f t="shared" si="15"/>
        <v>1</v>
      </c>
      <c r="Q25" s="3">
        <f t="shared" si="15"/>
        <v>1</v>
      </c>
      <c r="R25" s="3">
        <f t="shared" si="15"/>
        <v>1</v>
      </c>
      <c r="S25" s="3">
        <f t="shared" si="15"/>
        <v>1</v>
      </c>
      <c r="T25" s="3">
        <f t="shared" si="15"/>
        <v>1</v>
      </c>
      <c r="U25" s="3">
        <f t="shared" si="15"/>
        <v>1</v>
      </c>
      <c r="V25" s="3">
        <f t="shared" si="15"/>
        <v>1</v>
      </c>
      <c r="W25" s="3">
        <f t="shared" si="15"/>
        <v>1</v>
      </c>
    </row>
    <row r="26" customHeight="1" spans="1:23">
      <c r="A26" s="2">
        <v>13</v>
      </c>
      <c r="B26" s="3">
        <f t="shared" ref="B26:W26" si="16">MIN(1,IF($A26&lt;B$4+B$3,0,IF(B$2=0,1,IF(B$5=0,1/(1+(B$6*EXP(-($A26-B$4)/B$7))),IF(MOD($A26-B$4,B$5)=0,1/(1+(B$6*EXP(-($A26-B$4)/B$7))),1/(1+(B$6*EXP(-(QUOTIENT($A26-B$4,B$5)*B$5)/B$7))))))))</f>
        <v>0.202501562385215</v>
      </c>
      <c r="C26" s="3">
        <f t="shared" si="16"/>
        <v>0.202501562385215</v>
      </c>
      <c r="D26" s="3" t="e">
        <f t="shared" si="16"/>
        <v>#DIV/0!</v>
      </c>
      <c r="E26" s="3" t="e">
        <f t="shared" si="16"/>
        <v>#REF!</v>
      </c>
      <c r="F26" s="3">
        <f t="shared" si="16"/>
        <v>0.473013699692058</v>
      </c>
      <c r="G26" s="3">
        <f t="shared" si="16"/>
        <v>0.473013699692058</v>
      </c>
      <c r="H26" s="3">
        <f t="shared" si="16"/>
        <v>0.202501562385215</v>
      </c>
      <c r="I26" s="3">
        <f t="shared" si="16"/>
        <v>0.202501562385215</v>
      </c>
      <c r="J26" s="3">
        <f t="shared" si="16"/>
        <v>1</v>
      </c>
      <c r="K26" s="3">
        <f t="shared" si="16"/>
        <v>0.202501562385215</v>
      </c>
      <c r="L26" s="3">
        <f t="shared" si="16"/>
        <v>0.202501562385215</v>
      </c>
      <c r="M26" s="3" t="e">
        <f t="shared" si="16"/>
        <v>#REF!</v>
      </c>
      <c r="N26" s="3">
        <f t="shared" si="16"/>
        <v>1</v>
      </c>
      <c r="O26" s="3">
        <f t="shared" si="16"/>
        <v>1</v>
      </c>
      <c r="P26" s="3">
        <f t="shared" si="16"/>
        <v>1</v>
      </c>
      <c r="Q26" s="3">
        <f t="shared" si="16"/>
        <v>1</v>
      </c>
      <c r="R26" s="3">
        <f t="shared" si="16"/>
        <v>1</v>
      </c>
      <c r="S26" s="3">
        <f t="shared" si="16"/>
        <v>1</v>
      </c>
      <c r="T26" s="3">
        <f t="shared" si="16"/>
        <v>1</v>
      </c>
      <c r="U26" s="3">
        <f t="shared" si="16"/>
        <v>1</v>
      </c>
      <c r="V26" s="3">
        <f t="shared" si="16"/>
        <v>1</v>
      </c>
      <c r="W26" s="3">
        <f t="shared" si="16"/>
        <v>1</v>
      </c>
    </row>
    <row r="27" customHeight="1" spans="1:23">
      <c r="A27" s="2">
        <v>14</v>
      </c>
      <c r="B27" s="3">
        <f t="shared" ref="B27:W27" si="17">MIN(1,IF($A27&lt;B$4+B$3,0,IF(B$2=0,1,IF(B$5=0,1/(1+(B$6*EXP(-($A27-B$4)/B$7))),IF(MOD($A27-B$4,B$5)=0,1/(1+(B$6*EXP(-($A27-B$4)/B$7))),1/(1+(B$6*EXP(-(QUOTIENT($A27-B$4,B$5)*B$5)/B$7))))))))</f>
        <v>0.223439776897316</v>
      </c>
      <c r="C27" s="3">
        <f t="shared" si="17"/>
        <v>0.223439776897316</v>
      </c>
      <c r="D27" s="3" t="e">
        <f t="shared" si="17"/>
        <v>#DIV/0!</v>
      </c>
      <c r="E27" s="3" t="e">
        <f t="shared" si="17"/>
        <v>#REF!</v>
      </c>
      <c r="F27" s="3">
        <f t="shared" si="17"/>
        <v>0.522971267281414</v>
      </c>
      <c r="G27" s="3">
        <f t="shared" si="17"/>
        <v>0.522971267281414</v>
      </c>
      <c r="H27" s="3">
        <f t="shared" si="17"/>
        <v>0.223439776897316</v>
      </c>
      <c r="I27" s="3">
        <f t="shared" si="17"/>
        <v>0.223439776897316</v>
      </c>
      <c r="J27" s="3">
        <f t="shared" si="17"/>
        <v>1</v>
      </c>
      <c r="K27" s="3">
        <f t="shared" si="17"/>
        <v>0.223439776897316</v>
      </c>
      <c r="L27" s="3">
        <f t="shared" si="17"/>
        <v>0.223439776897316</v>
      </c>
      <c r="M27" s="3" t="e">
        <f t="shared" si="17"/>
        <v>#REF!</v>
      </c>
      <c r="N27" s="3">
        <f t="shared" si="17"/>
        <v>1</v>
      </c>
      <c r="O27" s="3">
        <f t="shared" si="17"/>
        <v>1</v>
      </c>
      <c r="P27" s="3">
        <f t="shared" si="17"/>
        <v>1</v>
      </c>
      <c r="Q27" s="3">
        <f t="shared" si="17"/>
        <v>1</v>
      </c>
      <c r="R27" s="3">
        <f t="shared" si="17"/>
        <v>1</v>
      </c>
      <c r="S27" s="3">
        <f t="shared" si="17"/>
        <v>1</v>
      </c>
      <c r="T27" s="3">
        <f t="shared" si="17"/>
        <v>1</v>
      </c>
      <c r="U27" s="3">
        <f t="shared" si="17"/>
        <v>1</v>
      </c>
      <c r="V27" s="3">
        <f t="shared" si="17"/>
        <v>1</v>
      </c>
      <c r="W27" s="3">
        <f t="shared" si="17"/>
        <v>1</v>
      </c>
    </row>
    <row r="28" customHeight="1" spans="1:23">
      <c r="A28" s="2">
        <v>15</v>
      </c>
      <c r="B28" s="3">
        <f t="shared" ref="B28:W28" si="18">MIN(1,IF($A28&lt;B$4+B$3,0,IF(B$2=0,1,IF(B$5=0,1/(1+(B$6*EXP(-($A28-B$4)/B$7))),IF(MOD($A28-B$4,B$5)=0,1/(1+(B$6*EXP(-($A28-B$4)/B$7))),1/(1+(B$6*EXP(-(QUOTIENT($A28-B$4,B$5)*B$5)/B$7))))))))</f>
        <v>0.245875479589974</v>
      </c>
      <c r="C28" s="3">
        <f t="shared" si="18"/>
        <v>0.245875479589974</v>
      </c>
      <c r="D28" s="3" t="e">
        <f t="shared" si="18"/>
        <v>#DIV/0!</v>
      </c>
      <c r="E28" s="3" t="e">
        <f t="shared" si="18"/>
        <v>#REF!</v>
      </c>
      <c r="F28" s="3">
        <f t="shared" si="18"/>
        <v>0.572473408833979</v>
      </c>
      <c r="G28" s="3">
        <f t="shared" si="18"/>
        <v>0.572473408833979</v>
      </c>
      <c r="H28" s="3">
        <f t="shared" si="18"/>
        <v>0.245875479589974</v>
      </c>
      <c r="I28" s="3">
        <f t="shared" si="18"/>
        <v>0.245875479589974</v>
      </c>
      <c r="J28" s="3">
        <f t="shared" si="18"/>
        <v>1</v>
      </c>
      <c r="K28" s="3">
        <f t="shared" si="18"/>
        <v>0.245875479589974</v>
      </c>
      <c r="L28" s="3">
        <f t="shared" si="18"/>
        <v>0.245875479589974</v>
      </c>
      <c r="M28" s="3" t="e">
        <f t="shared" si="18"/>
        <v>#REF!</v>
      </c>
      <c r="N28" s="3">
        <f t="shared" si="18"/>
        <v>1</v>
      </c>
      <c r="O28" s="3">
        <f t="shared" si="18"/>
        <v>1</v>
      </c>
      <c r="P28" s="3">
        <f t="shared" si="18"/>
        <v>1</v>
      </c>
      <c r="Q28" s="3">
        <f t="shared" si="18"/>
        <v>1</v>
      </c>
      <c r="R28" s="3">
        <f t="shared" si="18"/>
        <v>1</v>
      </c>
      <c r="S28" s="3">
        <f t="shared" si="18"/>
        <v>1</v>
      </c>
      <c r="T28" s="3">
        <f t="shared" si="18"/>
        <v>1</v>
      </c>
      <c r="U28" s="3">
        <f t="shared" si="18"/>
        <v>1</v>
      </c>
      <c r="V28" s="3">
        <f t="shared" si="18"/>
        <v>1</v>
      </c>
      <c r="W28" s="3">
        <f t="shared" si="18"/>
        <v>1</v>
      </c>
    </row>
    <row r="29" customHeight="1" spans="1:23">
      <c r="A29" s="2">
        <v>16</v>
      </c>
      <c r="B29" s="3">
        <f t="shared" ref="B29:W29" si="19">MIN(1,IF($A29&lt;B$4+B$3,0,IF(B$2=0,1,IF(B$5=0,1/(1+(B$6*EXP(-($A29-B$4)/B$7))),IF(MOD($A29-B$4,B$5)=0,1/(1+(B$6*EXP(-($A29-B$4)/B$7))),1/(1+(B$6*EXP(-(QUOTIENT($A29-B$4,B$5)*B$5)/B$7))))))))</f>
        <v>0.269781334276034</v>
      </c>
      <c r="C29" s="3">
        <f t="shared" si="19"/>
        <v>0.269781334276034</v>
      </c>
      <c r="D29" s="3" t="e">
        <f t="shared" si="19"/>
        <v>#DIV/0!</v>
      </c>
      <c r="E29" s="3" t="e">
        <f t="shared" si="19"/>
        <v>#REF!</v>
      </c>
      <c r="F29" s="3">
        <f t="shared" si="19"/>
        <v>0.620565647450089</v>
      </c>
      <c r="G29" s="3">
        <f t="shared" si="19"/>
        <v>0.620565647450089</v>
      </c>
      <c r="H29" s="3">
        <f t="shared" si="19"/>
        <v>0.269781334276034</v>
      </c>
      <c r="I29" s="3">
        <f t="shared" si="19"/>
        <v>0.269781334276034</v>
      </c>
      <c r="J29" s="3">
        <f t="shared" si="19"/>
        <v>1</v>
      </c>
      <c r="K29" s="3">
        <f t="shared" si="19"/>
        <v>0.269781334276034</v>
      </c>
      <c r="L29" s="3">
        <f t="shared" si="19"/>
        <v>0.269781334276034</v>
      </c>
      <c r="M29" s="3" t="e">
        <f t="shared" si="19"/>
        <v>#REF!</v>
      </c>
      <c r="N29" s="3">
        <f t="shared" si="19"/>
        <v>1</v>
      </c>
      <c r="O29" s="3">
        <f t="shared" si="19"/>
        <v>1</v>
      </c>
      <c r="P29" s="3">
        <f t="shared" si="19"/>
        <v>1</v>
      </c>
      <c r="Q29" s="3">
        <f t="shared" si="19"/>
        <v>1</v>
      </c>
      <c r="R29" s="3">
        <f t="shared" si="19"/>
        <v>1</v>
      </c>
      <c r="S29" s="3">
        <f t="shared" si="19"/>
        <v>1</v>
      </c>
      <c r="T29" s="3">
        <f t="shared" si="19"/>
        <v>1</v>
      </c>
      <c r="U29" s="3">
        <f t="shared" si="19"/>
        <v>1</v>
      </c>
      <c r="V29" s="3">
        <f t="shared" si="19"/>
        <v>1</v>
      </c>
      <c r="W29" s="3">
        <f t="shared" si="19"/>
        <v>1</v>
      </c>
    </row>
    <row r="30" customHeight="1" spans="1:23">
      <c r="A30" s="2">
        <v>17</v>
      </c>
      <c r="B30" s="3">
        <f t="shared" ref="B30:W30" si="20">MIN(1,IF($A30&lt;B$4+B$3,0,IF(B$2=0,1,IF(B$5=0,1/(1+(B$6*EXP(-($A30-B$4)/B$7))),IF(MOD($A30-B$4,B$5)=0,1/(1+(B$6*EXP(-($A30-B$4)/B$7))),1/(1+(B$6*EXP(-(QUOTIENT($A30-B$4,B$5)*B$5)/B$7))))))))</f>
        <v>0.295101953955564</v>
      </c>
      <c r="C30" s="3">
        <f t="shared" si="20"/>
        <v>0.295101953955564</v>
      </c>
      <c r="D30" s="3" t="e">
        <f t="shared" si="20"/>
        <v>#DIV/0!</v>
      </c>
      <c r="E30" s="3" t="e">
        <f t="shared" si="20"/>
        <v>#REF!</v>
      </c>
      <c r="F30" s="3">
        <f t="shared" si="20"/>
        <v>0.666400528773213</v>
      </c>
      <c r="G30" s="3">
        <f t="shared" si="20"/>
        <v>0.666400528773213</v>
      </c>
      <c r="H30" s="3">
        <f t="shared" si="20"/>
        <v>0.295101953955564</v>
      </c>
      <c r="I30" s="3">
        <f t="shared" si="20"/>
        <v>0.295101953955564</v>
      </c>
      <c r="J30" s="3">
        <f t="shared" si="20"/>
        <v>1</v>
      </c>
      <c r="K30" s="3">
        <f t="shared" si="20"/>
        <v>0.295101953955564</v>
      </c>
      <c r="L30" s="3">
        <f t="shared" si="20"/>
        <v>0.295101953955564</v>
      </c>
      <c r="M30" s="3" t="e">
        <f t="shared" si="20"/>
        <v>#REF!</v>
      </c>
      <c r="N30" s="3">
        <f t="shared" si="20"/>
        <v>1</v>
      </c>
      <c r="O30" s="3">
        <f t="shared" si="20"/>
        <v>1</v>
      </c>
      <c r="P30" s="3">
        <f t="shared" si="20"/>
        <v>1</v>
      </c>
      <c r="Q30" s="3">
        <f t="shared" si="20"/>
        <v>1</v>
      </c>
      <c r="R30" s="3">
        <f t="shared" si="20"/>
        <v>1</v>
      </c>
      <c r="S30" s="3">
        <f t="shared" si="20"/>
        <v>1</v>
      </c>
      <c r="T30" s="3">
        <f t="shared" si="20"/>
        <v>1</v>
      </c>
      <c r="U30" s="3">
        <f t="shared" si="20"/>
        <v>1</v>
      </c>
      <c r="V30" s="3">
        <f t="shared" si="20"/>
        <v>1</v>
      </c>
      <c r="W30" s="3">
        <f t="shared" si="20"/>
        <v>1</v>
      </c>
    </row>
    <row r="31" customHeight="1" spans="1:23">
      <c r="A31" s="2">
        <v>18</v>
      </c>
      <c r="B31" s="3">
        <f t="shared" ref="B31:W31" si="21">MIN(1,IF($A31&lt;B$4+B$3,0,IF(B$2=0,1,IF(B$5=0,1/(1+(B$6*EXP(-($A31-B$4)/B$7))),IF(MOD($A31-B$4,B$5)=0,1/(1+(B$6*EXP(-($A31-B$4)/B$7))),1/(1+(B$6*EXP(-(QUOTIENT($A31-B$4,B$5)*B$5)/B$7))))))))</f>
        <v>0.321751927276156</v>
      </c>
      <c r="C31" s="3">
        <f t="shared" si="21"/>
        <v>0.321751927276156</v>
      </c>
      <c r="D31" s="3" t="e">
        <f t="shared" si="21"/>
        <v>#DIV/0!</v>
      </c>
      <c r="E31" s="3" t="e">
        <f t="shared" si="21"/>
        <v>#REF!</v>
      </c>
      <c r="F31" s="3">
        <f t="shared" si="21"/>
        <v>0.709292378669018</v>
      </c>
      <c r="G31" s="3">
        <f t="shared" si="21"/>
        <v>0.709292378669018</v>
      </c>
      <c r="H31" s="3">
        <f t="shared" si="21"/>
        <v>0.321751927276156</v>
      </c>
      <c r="I31" s="3">
        <f t="shared" si="21"/>
        <v>0.321751927276156</v>
      </c>
      <c r="J31" s="3">
        <f t="shared" si="21"/>
        <v>1</v>
      </c>
      <c r="K31" s="3">
        <f t="shared" si="21"/>
        <v>0.321751927276156</v>
      </c>
      <c r="L31" s="3">
        <f t="shared" si="21"/>
        <v>0.321751927276156</v>
      </c>
      <c r="M31" s="3" t="e">
        <f t="shared" si="21"/>
        <v>#REF!</v>
      </c>
      <c r="N31" s="3">
        <f t="shared" si="21"/>
        <v>1</v>
      </c>
      <c r="O31" s="3">
        <f t="shared" si="21"/>
        <v>1</v>
      </c>
      <c r="P31" s="3">
        <f t="shared" si="21"/>
        <v>1</v>
      </c>
      <c r="Q31" s="3">
        <f t="shared" si="21"/>
        <v>1</v>
      </c>
      <c r="R31" s="3">
        <f t="shared" si="21"/>
        <v>1</v>
      </c>
      <c r="S31" s="3">
        <f t="shared" si="21"/>
        <v>1</v>
      </c>
      <c r="T31" s="3">
        <f t="shared" si="21"/>
        <v>1</v>
      </c>
      <c r="U31" s="3">
        <f t="shared" si="21"/>
        <v>1</v>
      </c>
      <c r="V31" s="3">
        <f t="shared" si="21"/>
        <v>1</v>
      </c>
      <c r="W31" s="3">
        <f t="shared" si="21"/>
        <v>1</v>
      </c>
    </row>
    <row r="32" customHeight="1" spans="1:23">
      <c r="A32" s="2">
        <v>19</v>
      </c>
      <c r="B32" s="3">
        <f t="shared" ref="B32:W32" si="22">MIN(1,IF($A32&lt;B$4+B$3,0,IF(B$2=0,1,IF(B$5=0,1/(1+(B$6*EXP(-($A32-B$4)/B$7))),IF(MOD($A32-B$4,B$5)=0,1/(1+(B$6*EXP(-($A32-B$4)/B$7))),1/(1+(B$6*EXP(-(QUOTIENT($A32-B$4,B$5)*B$5)/B$7))))))))</f>
        <v>0.349614925564283</v>
      </c>
      <c r="C32" s="3">
        <f t="shared" si="22"/>
        <v>0.349614925564283</v>
      </c>
      <c r="D32" s="3" t="e">
        <f t="shared" si="22"/>
        <v>#DIV/0!</v>
      </c>
      <c r="E32" s="3" t="e">
        <f t="shared" si="22"/>
        <v>#REF!</v>
      </c>
      <c r="F32" s="3">
        <f t="shared" si="22"/>
        <v>0.748748703609337</v>
      </c>
      <c r="G32" s="3">
        <f t="shared" si="22"/>
        <v>0.748748703609337</v>
      </c>
      <c r="H32" s="3">
        <f t="shared" si="22"/>
        <v>0.349614925564283</v>
      </c>
      <c r="I32" s="3">
        <f t="shared" si="22"/>
        <v>0.349614925564283</v>
      </c>
      <c r="J32" s="3">
        <f t="shared" si="22"/>
        <v>1</v>
      </c>
      <c r="K32" s="3">
        <f t="shared" si="22"/>
        <v>0.349614925564283</v>
      </c>
      <c r="L32" s="3">
        <f t="shared" si="22"/>
        <v>0.349614925564283</v>
      </c>
      <c r="M32" s="3" t="e">
        <f t="shared" si="22"/>
        <v>#REF!</v>
      </c>
      <c r="N32" s="3">
        <f t="shared" si="22"/>
        <v>1</v>
      </c>
      <c r="O32" s="3">
        <f t="shared" si="22"/>
        <v>1</v>
      </c>
      <c r="P32" s="3">
        <f t="shared" si="22"/>
        <v>1</v>
      </c>
      <c r="Q32" s="3">
        <f t="shared" si="22"/>
        <v>1</v>
      </c>
      <c r="R32" s="3">
        <f t="shared" si="22"/>
        <v>1</v>
      </c>
      <c r="S32" s="3">
        <f t="shared" si="22"/>
        <v>1</v>
      </c>
      <c r="T32" s="3">
        <f t="shared" si="22"/>
        <v>1</v>
      </c>
      <c r="U32" s="3">
        <f t="shared" si="22"/>
        <v>1</v>
      </c>
      <c r="V32" s="3">
        <f t="shared" si="22"/>
        <v>1</v>
      </c>
      <c r="W32" s="3">
        <f t="shared" si="22"/>
        <v>1</v>
      </c>
    </row>
    <row r="33" customHeight="1" spans="1:23">
      <c r="A33" s="2">
        <v>20</v>
      </c>
      <c r="B33" s="3">
        <f t="shared" ref="B33:W33" si="23">MIN(1,IF($A33&lt;B$4+B$3,0,IF(B$2=0,1,IF(B$5=0,1/(1+(B$6*EXP(-($A33-B$4)/B$7))),IF(MOD($A33-B$4,B$5)=0,1/(1+(B$6*EXP(-($A33-B$4)/B$7))),1/(1+(B$6*EXP(-(QUOTIENT($A33-B$4,B$5)*B$5)/B$7))))))))</f>
        <v>0.378544123260893</v>
      </c>
      <c r="C33" s="3">
        <f t="shared" si="23"/>
        <v>0.378544123260893</v>
      </c>
      <c r="D33" s="3" t="e">
        <f t="shared" si="23"/>
        <v>#DIV/0!</v>
      </c>
      <c r="E33" s="3" t="e">
        <f t="shared" si="23"/>
        <v>#REF!</v>
      </c>
      <c r="F33" s="3">
        <f t="shared" si="23"/>
        <v>0.784477030023691</v>
      </c>
      <c r="G33" s="3">
        <f t="shared" si="23"/>
        <v>0.784477030023691</v>
      </c>
      <c r="H33" s="3">
        <f t="shared" si="23"/>
        <v>0.378544123260893</v>
      </c>
      <c r="I33" s="3">
        <f t="shared" si="23"/>
        <v>0.378544123260893</v>
      </c>
      <c r="J33" s="3">
        <f t="shared" si="23"/>
        <v>1</v>
      </c>
      <c r="K33" s="3">
        <f t="shared" si="23"/>
        <v>0.378544123260893</v>
      </c>
      <c r="L33" s="3">
        <f t="shared" si="23"/>
        <v>0.378544123260893</v>
      </c>
      <c r="M33" s="3" t="e">
        <f t="shared" si="23"/>
        <v>#REF!</v>
      </c>
      <c r="N33" s="3">
        <f t="shared" si="23"/>
        <v>1</v>
      </c>
      <c r="O33" s="3">
        <f t="shared" si="23"/>
        <v>1</v>
      </c>
      <c r="P33" s="3">
        <f t="shared" si="23"/>
        <v>1</v>
      </c>
      <c r="Q33" s="3">
        <f t="shared" si="23"/>
        <v>1</v>
      </c>
      <c r="R33" s="3">
        <f t="shared" si="23"/>
        <v>1</v>
      </c>
      <c r="S33" s="3">
        <f t="shared" si="23"/>
        <v>1</v>
      </c>
      <c r="T33" s="3">
        <f t="shared" si="23"/>
        <v>1</v>
      </c>
      <c r="U33" s="3">
        <f t="shared" si="23"/>
        <v>1</v>
      </c>
      <c r="V33" s="3">
        <f t="shared" si="23"/>
        <v>1</v>
      </c>
      <c r="W33" s="3">
        <f t="shared" si="23"/>
        <v>1</v>
      </c>
    </row>
    <row r="34" customHeight="1" spans="1:23">
      <c r="A34" s="2">
        <v>21</v>
      </c>
      <c r="B34" s="3">
        <f t="shared" ref="B34:W34" si="24">MIN(1,IF($A34&lt;B$4+B$3,0,IF(B$2=0,1,IF(B$5=0,1/(1+(B$6*EXP(-($A34-B$4)/B$7))),IF(MOD($A34-B$4,B$5)=0,1/(1+(B$6*EXP(-($A34-B$4)/B$7))),1/(1+(B$6*EXP(-(QUOTIENT($A34-B$4,B$5)*B$5)/B$7))))))))</f>
        <v>0.4083640903176</v>
      </c>
      <c r="C34" s="3">
        <f t="shared" si="24"/>
        <v>0.4083640903176</v>
      </c>
      <c r="D34" s="3" t="e">
        <f t="shared" si="24"/>
        <v>#DIV/0!</v>
      </c>
      <c r="E34" s="3" t="e">
        <f t="shared" si="24"/>
        <v>#REF!</v>
      </c>
      <c r="F34" s="3">
        <f t="shared" si="24"/>
        <v>0.816370746380016</v>
      </c>
      <c r="G34" s="3">
        <f t="shared" si="24"/>
        <v>0.816370746380016</v>
      </c>
      <c r="H34" s="3">
        <f t="shared" si="24"/>
        <v>0.4083640903176</v>
      </c>
      <c r="I34" s="3">
        <f t="shared" si="24"/>
        <v>0.4083640903176</v>
      </c>
      <c r="J34" s="3">
        <f t="shared" si="24"/>
        <v>1</v>
      </c>
      <c r="K34" s="3">
        <f t="shared" si="24"/>
        <v>0.4083640903176</v>
      </c>
      <c r="L34" s="3">
        <f t="shared" si="24"/>
        <v>0.4083640903176</v>
      </c>
      <c r="M34" s="3" t="e">
        <f t="shared" si="24"/>
        <v>#REF!</v>
      </c>
      <c r="N34" s="3">
        <f t="shared" si="24"/>
        <v>1</v>
      </c>
      <c r="O34" s="3">
        <f t="shared" si="24"/>
        <v>1</v>
      </c>
      <c r="P34" s="3">
        <f t="shared" si="24"/>
        <v>1</v>
      </c>
      <c r="Q34" s="3">
        <f t="shared" si="24"/>
        <v>1</v>
      </c>
      <c r="R34" s="3">
        <f t="shared" si="24"/>
        <v>1</v>
      </c>
      <c r="S34" s="3">
        <f t="shared" si="24"/>
        <v>1</v>
      </c>
      <c r="T34" s="3">
        <f t="shared" si="24"/>
        <v>1</v>
      </c>
      <c r="U34" s="3">
        <f t="shared" si="24"/>
        <v>1</v>
      </c>
      <c r="V34" s="3">
        <f t="shared" si="24"/>
        <v>1</v>
      </c>
      <c r="W34" s="3">
        <f t="shared" si="24"/>
        <v>1</v>
      </c>
    </row>
    <row r="35" customHeight="1" spans="1:23">
      <c r="A35" s="2">
        <v>22</v>
      </c>
      <c r="B35" s="3">
        <f t="shared" ref="B35:W35" si="25">MIN(1,IF($A35&lt;B$4+B$3,0,IF(B$2=0,1,IF(B$5=0,1/(1+(B$6*EXP(-($A35-B$4)/B$7))),IF(MOD($A35-B$4,B$5)=0,1/(1+(B$6*EXP(-($A35-B$4)/B$7))),1/(1+(B$6*EXP(-(QUOTIENT($A35-B$4,B$5)*B$5)/B$7))))))))</f>
        <v>0.438874209261959</v>
      </c>
      <c r="C35" s="3">
        <f t="shared" si="25"/>
        <v>0.438874209261959</v>
      </c>
      <c r="D35" s="3" t="e">
        <f t="shared" si="25"/>
        <v>#DIV/0!</v>
      </c>
      <c r="E35" s="3" t="e">
        <f t="shared" si="25"/>
        <v>#REF!</v>
      </c>
      <c r="F35" s="3">
        <f t="shared" si="25"/>
        <v>0.84448040533358</v>
      </c>
      <c r="G35" s="3">
        <f t="shared" si="25"/>
        <v>0.84448040533358</v>
      </c>
      <c r="H35" s="3">
        <f t="shared" si="25"/>
        <v>0.438874209261959</v>
      </c>
      <c r="I35" s="3">
        <f t="shared" si="25"/>
        <v>0.438874209261959</v>
      </c>
      <c r="J35" s="3">
        <f t="shared" si="25"/>
        <v>1</v>
      </c>
      <c r="K35" s="3">
        <f t="shared" si="25"/>
        <v>0.438874209261959</v>
      </c>
      <c r="L35" s="3">
        <f t="shared" si="25"/>
        <v>0.438874209261959</v>
      </c>
      <c r="M35" s="3" t="e">
        <f t="shared" si="25"/>
        <v>#REF!</v>
      </c>
      <c r="N35" s="3">
        <f t="shared" si="25"/>
        <v>1</v>
      </c>
      <c r="O35" s="3">
        <f t="shared" si="25"/>
        <v>1</v>
      </c>
      <c r="P35" s="3">
        <f t="shared" si="25"/>
        <v>1</v>
      </c>
      <c r="Q35" s="3">
        <f t="shared" si="25"/>
        <v>1</v>
      </c>
      <c r="R35" s="3">
        <f t="shared" si="25"/>
        <v>1</v>
      </c>
      <c r="S35" s="3">
        <f t="shared" si="25"/>
        <v>1</v>
      </c>
      <c r="T35" s="3">
        <f t="shared" si="25"/>
        <v>1</v>
      </c>
      <c r="U35" s="3">
        <f t="shared" si="25"/>
        <v>1</v>
      </c>
      <c r="V35" s="3">
        <f t="shared" si="25"/>
        <v>1</v>
      </c>
      <c r="W35" s="3">
        <f t="shared" si="25"/>
        <v>1</v>
      </c>
    </row>
    <row r="36" customHeight="1" spans="1:23">
      <c r="A36" s="2">
        <v>23</v>
      </c>
      <c r="B36" s="3">
        <f t="shared" ref="B36:W36" si="26">MIN(1,IF($A36&lt;B$4+B$3,0,IF(B$2=0,1,IF(B$5=0,1/(1+(B$6*EXP(-($A36-B$4)/B$7))),IF(MOD($A36-B$4,B$5)=0,1/(1+(B$6*EXP(-($A36-B$4)/B$7))),1/(1+(B$6*EXP(-(QUOTIENT($A36-B$4,B$5)*B$5)/B$7))))))))</f>
        <v>0.469853541325141</v>
      </c>
      <c r="C36" s="3">
        <f t="shared" si="26"/>
        <v>0.469853541325141</v>
      </c>
      <c r="D36" s="3" t="e">
        <f t="shared" si="26"/>
        <v>#DIV/0!</v>
      </c>
      <c r="E36" s="3" t="e">
        <f t="shared" si="26"/>
        <v>#REF!</v>
      </c>
      <c r="F36" s="3">
        <f t="shared" si="26"/>
        <v>0.868977685581712</v>
      </c>
      <c r="G36" s="3">
        <f t="shared" si="26"/>
        <v>0.868977685581712</v>
      </c>
      <c r="H36" s="3">
        <f t="shared" si="26"/>
        <v>0.469853541325141</v>
      </c>
      <c r="I36" s="3">
        <f t="shared" si="26"/>
        <v>0.469853541325141</v>
      </c>
      <c r="J36" s="3">
        <f t="shared" si="26"/>
        <v>1</v>
      </c>
      <c r="K36" s="3">
        <f t="shared" si="26"/>
        <v>0.469853541325141</v>
      </c>
      <c r="L36" s="3">
        <f t="shared" si="26"/>
        <v>0.469853541325141</v>
      </c>
      <c r="M36" s="3" t="e">
        <f t="shared" si="26"/>
        <v>#REF!</v>
      </c>
      <c r="N36" s="3">
        <f t="shared" si="26"/>
        <v>1</v>
      </c>
      <c r="O36" s="3">
        <f t="shared" si="26"/>
        <v>1</v>
      </c>
      <c r="P36" s="3">
        <f t="shared" si="26"/>
        <v>1</v>
      </c>
      <c r="Q36" s="3">
        <f t="shared" si="26"/>
        <v>1</v>
      </c>
      <c r="R36" s="3">
        <f t="shared" si="26"/>
        <v>1</v>
      </c>
      <c r="S36" s="3">
        <f t="shared" si="26"/>
        <v>1</v>
      </c>
      <c r="T36" s="3">
        <f t="shared" si="26"/>
        <v>1</v>
      </c>
      <c r="U36" s="3">
        <f t="shared" si="26"/>
        <v>1</v>
      </c>
      <c r="V36" s="3">
        <f t="shared" si="26"/>
        <v>1</v>
      </c>
      <c r="W36" s="3">
        <f t="shared" si="26"/>
        <v>1</v>
      </c>
    </row>
    <row r="37" customHeight="1" spans="1:23">
      <c r="A37" s="2">
        <v>24</v>
      </c>
      <c r="B37" s="3">
        <f t="shared" ref="B37:W37" si="27">MIN(1,IF($A37&lt;B$4+B$3,0,IF(B$2=0,1,IF(B$5=0,1/(1+(B$6*EXP(-($A37-B$4)/B$7))),IF(MOD($A37-B$4,B$5)=0,1/(1+(B$6*EXP(-($A37-B$4)/B$7))),1/(1+(B$6*EXP(-(QUOTIENT($A37-B$4,B$5)*B$5)/B$7))))))))</f>
        <v>0.501066929992126</v>
      </c>
      <c r="C37" s="3">
        <f t="shared" si="27"/>
        <v>0.501066929992126</v>
      </c>
      <c r="D37" s="3" t="e">
        <f t="shared" si="27"/>
        <v>#DIV/0!</v>
      </c>
      <c r="E37" s="3" t="e">
        <f t="shared" si="27"/>
        <v>#REF!</v>
      </c>
      <c r="F37" s="3">
        <f t="shared" si="27"/>
        <v>0.890118276153237</v>
      </c>
      <c r="G37" s="3">
        <f t="shared" si="27"/>
        <v>0.890118276153237</v>
      </c>
      <c r="H37" s="3">
        <f t="shared" si="27"/>
        <v>0.501066929992126</v>
      </c>
      <c r="I37" s="3">
        <f t="shared" si="27"/>
        <v>0.501066929992126</v>
      </c>
      <c r="J37" s="3">
        <f t="shared" si="27"/>
        <v>1</v>
      </c>
      <c r="K37" s="3">
        <f t="shared" si="27"/>
        <v>0.501066929992126</v>
      </c>
      <c r="L37" s="3">
        <f t="shared" si="27"/>
        <v>0.501066929992126</v>
      </c>
      <c r="M37" s="3" t="e">
        <f t="shared" si="27"/>
        <v>#REF!</v>
      </c>
      <c r="N37" s="3">
        <f t="shared" si="27"/>
        <v>1</v>
      </c>
      <c r="O37" s="3">
        <f t="shared" si="27"/>
        <v>1</v>
      </c>
      <c r="P37" s="3">
        <f t="shared" si="27"/>
        <v>1</v>
      </c>
      <c r="Q37" s="3">
        <f t="shared" si="27"/>
        <v>1</v>
      </c>
      <c r="R37" s="3">
        <f t="shared" si="27"/>
        <v>1</v>
      </c>
      <c r="S37" s="3">
        <f t="shared" si="27"/>
        <v>1</v>
      </c>
      <c r="T37" s="3">
        <f t="shared" si="27"/>
        <v>1</v>
      </c>
      <c r="U37" s="3">
        <f t="shared" si="27"/>
        <v>1</v>
      </c>
      <c r="V37" s="3">
        <f t="shared" si="27"/>
        <v>1</v>
      </c>
      <c r="W37" s="3">
        <f t="shared" si="27"/>
        <v>1</v>
      </c>
    </row>
    <row r="38" customHeight="1" spans="1:23">
      <c r="A38" s="2">
        <v>25</v>
      </c>
      <c r="B38" s="3">
        <f t="shared" ref="B38:W38" si="28">MIN(1,IF($A38&lt;B$4+B$3,0,IF(B$2=0,1,IF(B$5=0,1/(1+(B$6*EXP(-($A38-B$4)/B$7))),IF(MOD($A38-B$4,B$5)=0,1/(1+(B$6*EXP(-($A38-B$4)/B$7))),1/(1+(B$6*EXP(-(QUOTIENT($A38-B$4,B$5)*B$5)/B$7))))))))</f>
        <v>0.532272004965051</v>
      </c>
      <c r="C38" s="3">
        <f t="shared" si="28"/>
        <v>0.532272004965051</v>
      </c>
      <c r="D38" s="3" t="e">
        <f t="shared" si="28"/>
        <v>#DIV/0!</v>
      </c>
      <c r="E38" s="3" t="e">
        <f t="shared" si="28"/>
        <v>#REF!</v>
      </c>
      <c r="F38" s="3">
        <f t="shared" si="28"/>
        <v>0.908208126674888</v>
      </c>
      <c r="G38" s="3">
        <f t="shared" si="28"/>
        <v>0.908208126674888</v>
      </c>
      <c r="H38" s="3">
        <f t="shared" si="28"/>
        <v>0.532272004965051</v>
      </c>
      <c r="I38" s="3">
        <f t="shared" si="28"/>
        <v>0.532272004965051</v>
      </c>
      <c r="J38" s="3">
        <f t="shared" si="28"/>
        <v>1</v>
      </c>
      <c r="K38" s="3">
        <f t="shared" si="28"/>
        <v>0.532272004965051</v>
      </c>
      <c r="L38" s="3">
        <f t="shared" si="28"/>
        <v>0.532272004965051</v>
      </c>
      <c r="M38" s="3" t="e">
        <f t="shared" si="28"/>
        <v>#REF!</v>
      </c>
      <c r="N38" s="3">
        <f t="shared" si="28"/>
        <v>1</v>
      </c>
      <c r="O38" s="3">
        <f t="shared" si="28"/>
        <v>1</v>
      </c>
      <c r="P38" s="3">
        <f t="shared" si="28"/>
        <v>1</v>
      </c>
      <c r="Q38" s="3">
        <f t="shared" si="28"/>
        <v>1</v>
      </c>
      <c r="R38" s="3">
        <f t="shared" si="28"/>
        <v>1</v>
      </c>
      <c r="S38" s="3">
        <f t="shared" si="28"/>
        <v>1</v>
      </c>
      <c r="T38" s="3">
        <f t="shared" si="28"/>
        <v>1</v>
      </c>
      <c r="U38" s="3">
        <f t="shared" si="28"/>
        <v>1</v>
      </c>
      <c r="V38" s="3">
        <f t="shared" si="28"/>
        <v>1</v>
      </c>
      <c r="W38" s="3">
        <f t="shared" si="28"/>
        <v>1</v>
      </c>
    </row>
    <row r="39" customHeight="1" spans="1:23">
      <c r="A39" s="2">
        <v>26</v>
      </c>
      <c r="B39" s="3">
        <f t="shared" ref="B39:W39" si="29">MIN(1,IF($A39&lt;B$4+B$3,0,IF(B$2=0,1,IF(B$5=0,1/(1+(B$6*EXP(-($A39-B$4)/B$7))),IF(MOD($A39-B$4,B$5)=0,1/(1+(B$6*EXP(-($A39-B$4)/B$7))),1/(1+(B$6*EXP(-(QUOTIENT($A39-B$4,B$5)*B$5)/B$7))))))))</f>
        <v>0.563226653565624</v>
      </c>
      <c r="C39" s="3">
        <f t="shared" si="29"/>
        <v>0.563226653565624</v>
      </c>
      <c r="D39" s="3" t="e">
        <f t="shared" si="29"/>
        <v>#DIV/0!</v>
      </c>
      <c r="E39" s="3" t="e">
        <f t="shared" si="29"/>
        <v>#REF!</v>
      </c>
      <c r="F39" s="3">
        <f t="shared" si="29"/>
        <v>0.923575540500824</v>
      </c>
      <c r="G39" s="3">
        <f t="shared" si="29"/>
        <v>0.923575540500824</v>
      </c>
      <c r="H39" s="3">
        <f t="shared" si="29"/>
        <v>0.563226653565624</v>
      </c>
      <c r="I39" s="3">
        <f t="shared" si="29"/>
        <v>0.563226653565624</v>
      </c>
      <c r="J39" s="3">
        <f t="shared" si="29"/>
        <v>1</v>
      </c>
      <c r="K39" s="3">
        <f t="shared" si="29"/>
        <v>0.563226653565624</v>
      </c>
      <c r="L39" s="3">
        <f t="shared" si="29"/>
        <v>0.563226653565624</v>
      </c>
      <c r="M39" s="3" t="e">
        <f t="shared" si="29"/>
        <v>#REF!</v>
      </c>
      <c r="N39" s="3">
        <f t="shared" si="29"/>
        <v>1</v>
      </c>
      <c r="O39" s="3">
        <f t="shared" si="29"/>
        <v>1</v>
      </c>
      <c r="P39" s="3">
        <f t="shared" si="29"/>
        <v>1</v>
      </c>
      <c r="Q39" s="3">
        <f t="shared" si="29"/>
        <v>1</v>
      </c>
      <c r="R39" s="3">
        <f t="shared" si="29"/>
        <v>1</v>
      </c>
      <c r="S39" s="3">
        <f t="shared" si="29"/>
        <v>1</v>
      </c>
      <c r="T39" s="3">
        <f t="shared" si="29"/>
        <v>1</v>
      </c>
      <c r="U39" s="3">
        <f t="shared" si="29"/>
        <v>1</v>
      </c>
      <c r="V39" s="3">
        <f t="shared" si="29"/>
        <v>1</v>
      </c>
      <c r="W39" s="3">
        <f t="shared" si="29"/>
        <v>1</v>
      </c>
    </row>
    <row r="40" customHeight="1" spans="1:23">
      <c r="A40" s="2">
        <v>27</v>
      </c>
      <c r="B40" s="3">
        <f t="shared" ref="B40:W40" si="30">MIN(1,IF($A40&lt;B$4+B$3,0,IF(B$2=0,1,IF(B$5=0,1/(1+(B$6*EXP(-($A40-B$4)/B$7))),IF(MOD($A40-B$4,B$5)=0,1/(1+(B$6*EXP(-($A40-B$4)/B$7))),1/(1+(B$6*EXP(-(QUOTIENT($A40-B$4,B$5)*B$5)/B$7))))))))</f>
        <v>0.593696475323338</v>
      </c>
      <c r="C40" s="3">
        <f t="shared" si="30"/>
        <v>0.593696475323338</v>
      </c>
      <c r="D40" s="3" t="e">
        <f t="shared" si="30"/>
        <v>#DIV/0!</v>
      </c>
      <c r="E40" s="3" t="e">
        <f t="shared" si="30"/>
        <v>#REF!</v>
      </c>
      <c r="F40" s="3">
        <f t="shared" si="30"/>
        <v>0.936549945467452</v>
      </c>
      <c r="G40" s="3">
        <f t="shared" si="30"/>
        <v>0.936549945467452</v>
      </c>
      <c r="H40" s="3">
        <f t="shared" si="30"/>
        <v>0.593696475323338</v>
      </c>
      <c r="I40" s="3">
        <f t="shared" si="30"/>
        <v>0.593696475323338</v>
      </c>
      <c r="J40" s="3">
        <f t="shared" si="30"/>
        <v>1</v>
      </c>
      <c r="K40" s="3">
        <f t="shared" si="30"/>
        <v>0.593696475323338</v>
      </c>
      <c r="L40" s="3">
        <f t="shared" si="30"/>
        <v>0.593696475323338</v>
      </c>
      <c r="M40" s="3" t="e">
        <f t="shared" si="30"/>
        <v>#REF!</v>
      </c>
      <c r="N40" s="3">
        <f t="shared" si="30"/>
        <v>1</v>
      </c>
      <c r="O40" s="3">
        <f t="shared" si="30"/>
        <v>1</v>
      </c>
      <c r="P40" s="3">
        <f t="shared" si="30"/>
        <v>1</v>
      </c>
      <c r="Q40" s="3">
        <f t="shared" si="30"/>
        <v>1</v>
      </c>
      <c r="R40" s="3">
        <f t="shared" si="30"/>
        <v>1</v>
      </c>
      <c r="S40" s="3">
        <f t="shared" si="30"/>
        <v>1</v>
      </c>
      <c r="T40" s="3">
        <f t="shared" si="30"/>
        <v>1</v>
      </c>
      <c r="U40" s="3">
        <f t="shared" si="30"/>
        <v>1</v>
      </c>
      <c r="V40" s="3">
        <f t="shared" si="30"/>
        <v>1</v>
      </c>
      <c r="W40" s="3">
        <f t="shared" si="30"/>
        <v>1</v>
      </c>
    </row>
    <row r="41" customHeight="1" spans="1:23">
      <c r="A41" s="2">
        <v>28</v>
      </c>
      <c r="B41" s="3">
        <f t="shared" ref="B41:W41" si="31">MIN(1,IF($A41&lt;B$4+B$3,0,IF(B$2=0,1,IF(B$5=0,1/(1+(B$6*EXP(-($A41-B$4)/B$7))),IF(MOD($A41-B$4,B$5)=0,1/(1+(B$6*EXP(-($A41-B$4)/B$7))),1/(1+(B$6*EXP(-(QUOTIENT($A41-B$4,B$5)*B$5)/B$7))))))))</f>
        <v>0.623461737357447</v>
      </c>
      <c r="C41" s="3">
        <f t="shared" si="31"/>
        <v>0.623461737357447</v>
      </c>
      <c r="D41" s="3" t="e">
        <f t="shared" si="31"/>
        <v>#DIV/0!</v>
      </c>
      <c r="E41" s="3" t="e">
        <f t="shared" si="31"/>
        <v>#REF!</v>
      </c>
      <c r="F41" s="3">
        <f t="shared" si="31"/>
        <v>0.947447049012517</v>
      </c>
      <c r="G41" s="3">
        <f t="shared" si="31"/>
        <v>0.947447049012517</v>
      </c>
      <c r="H41" s="3">
        <f t="shared" si="31"/>
        <v>0.623461737357447</v>
      </c>
      <c r="I41" s="3">
        <f t="shared" si="31"/>
        <v>0.623461737357447</v>
      </c>
      <c r="J41" s="3">
        <f t="shared" si="31"/>
        <v>1</v>
      </c>
      <c r="K41" s="3">
        <f t="shared" si="31"/>
        <v>0.623461737357447</v>
      </c>
      <c r="L41" s="3">
        <f t="shared" si="31"/>
        <v>0.623461737357447</v>
      </c>
      <c r="M41" s="3" t="e">
        <f t="shared" si="31"/>
        <v>#REF!</v>
      </c>
      <c r="N41" s="3">
        <f t="shared" si="31"/>
        <v>1</v>
      </c>
      <c r="O41" s="3">
        <f t="shared" si="31"/>
        <v>1</v>
      </c>
      <c r="P41" s="3">
        <f t="shared" si="31"/>
        <v>1</v>
      </c>
      <c r="Q41" s="3">
        <f t="shared" si="31"/>
        <v>1</v>
      </c>
      <c r="R41" s="3">
        <f t="shared" si="31"/>
        <v>1</v>
      </c>
      <c r="S41" s="3">
        <f t="shared" si="31"/>
        <v>1</v>
      </c>
      <c r="T41" s="3">
        <f t="shared" si="31"/>
        <v>1</v>
      </c>
      <c r="U41" s="3">
        <f t="shared" si="31"/>
        <v>1</v>
      </c>
      <c r="V41" s="3">
        <f t="shared" si="31"/>
        <v>1</v>
      </c>
      <c r="W41" s="3">
        <f t="shared" si="31"/>
        <v>1</v>
      </c>
    </row>
    <row r="42" customHeight="1" spans="1:23">
      <c r="A42" s="2">
        <v>29</v>
      </c>
      <c r="B42" s="3">
        <f t="shared" ref="B42:W42" si="32">MIN(1,IF($A42&lt;B$4+B$3,0,IF(B$2=0,1,IF(B$5=0,1/(1+(B$6*EXP(-($A42-B$4)/B$7))),IF(MOD($A42-B$4,B$5)=0,1/(1+(B$6*EXP(-($A42-B$4)/B$7))),1/(1+(B$6*EXP(-(QUOTIENT($A42-B$4,B$5)*B$5)/B$7))))))))</f>
        <v>0.652323402852188</v>
      </c>
      <c r="C42" s="3">
        <f t="shared" si="32"/>
        <v>0.652323402852188</v>
      </c>
      <c r="D42" s="3" t="e">
        <f t="shared" si="32"/>
        <v>#DIV/0!</v>
      </c>
      <c r="E42" s="3" t="e">
        <f t="shared" si="32"/>
        <v>#REF!</v>
      </c>
      <c r="F42" s="3">
        <f t="shared" si="32"/>
        <v>0.956559458100888</v>
      </c>
      <c r="G42" s="3">
        <f t="shared" si="32"/>
        <v>0.956559458100888</v>
      </c>
      <c r="H42" s="3">
        <f t="shared" si="32"/>
        <v>0.652323402852188</v>
      </c>
      <c r="I42" s="3">
        <f t="shared" si="32"/>
        <v>0.652323402852188</v>
      </c>
      <c r="J42" s="3">
        <f t="shared" si="32"/>
        <v>1</v>
      </c>
      <c r="K42" s="3">
        <f t="shared" si="32"/>
        <v>0.652323402852188</v>
      </c>
      <c r="L42" s="3">
        <f t="shared" si="32"/>
        <v>0.652323402852188</v>
      </c>
      <c r="M42" s="3" t="e">
        <f t="shared" si="32"/>
        <v>#REF!</v>
      </c>
      <c r="N42" s="3">
        <f t="shared" si="32"/>
        <v>1</v>
      </c>
      <c r="O42" s="3">
        <f t="shared" si="32"/>
        <v>1</v>
      </c>
      <c r="P42" s="3">
        <f t="shared" si="32"/>
        <v>1</v>
      </c>
      <c r="Q42" s="3">
        <f t="shared" si="32"/>
        <v>1</v>
      </c>
      <c r="R42" s="3">
        <f t="shared" si="32"/>
        <v>1</v>
      </c>
      <c r="S42" s="3">
        <f t="shared" si="32"/>
        <v>1</v>
      </c>
      <c r="T42" s="3">
        <f t="shared" si="32"/>
        <v>1</v>
      </c>
      <c r="U42" s="3">
        <f t="shared" si="32"/>
        <v>1</v>
      </c>
      <c r="V42" s="3">
        <f t="shared" si="32"/>
        <v>1</v>
      </c>
      <c r="W42" s="3">
        <f t="shared" si="32"/>
        <v>1</v>
      </c>
    </row>
    <row r="43" customHeight="1" spans="1:23">
      <c r="A43" s="2">
        <v>30</v>
      </c>
      <c r="B43" s="3">
        <f t="shared" ref="B43:W43" si="33">MIN(1,IF($A43&lt;B$4+B$3,0,IF(B$2=0,1,IF(B$5=0,1/(1+(B$6*EXP(-($A43-B$4)/B$7))),IF(MOD($A43-B$4,B$5)=0,1/(1+(B$6*EXP(-($A43-B$4)/B$7))),1/(1+(B$6*EXP(-(QUOTIENT($A43-B$4,B$5)*B$5)/B$7))))))))</f>
        <v>0.680107903443195</v>
      </c>
      <c r="C43" s="3">
        <f t="shared" si="33"/>
        <v>0.680107903443195</v>
      </c>
      <c r="D43" s="3" t="e">
        <f t="shared" si="33"/>
        <v>#DIV/0!</v>
      </c>
      <c r="E43" s="3" t="e">
        <f t="shared" si="33"/>
        <v>#REF!</v>
      </c>
      <c r="F43" s="3">
        <f t="shared" si="33"/>
        <v>0.964151606597646</v>
      </c>
      <c r="G43" s="3">
        <f t="shared" si="33"/>
        <v>0.964151606597646</v>
      </c>
      <c r="H43" s="3">
        <f t="shared" si="33"/>
        <v>0.680107903443195</v>
      </c>
      <c r="I43" s="3">
        <f t="shared" si="33"/>
        <v>0.680107903443195</v>
      </c>
      <c r="J43" s="3">
        <f t="shared" si="33"/>
        <v>1</v>
      </c>
      <c r="K43" s="3">
        <f t="shared" si="33"/>
        <v>0.680107903443195</v>
      </c>
      <c r="L43" s="3">
        <f t="shared" si="33"/>
        <v>0.680107903443195</v>
      </c>
      <c r="M43" s="3" t="e">
        <f t="shared" si="33"/>
        <v>#REF!</v>
      </c>
      <c r="N43" s="3">
        <f t="shared" si="33"/>
        <v>1</v>
      </c>
      <c r="O43" s="3">
        <f t="shared" si="33"/>
        <v>1</v>
      </c>
      <c r="P43" s="3">
        <f t="shared" si="33"/>
        <v>1</v>
      </c>
      <c r="Q43" s="3">
        <f t="shared" si="33"/>
        <v>1</v>
      </c>
      <c r="R43" s="3">
        <f t="shared" si="33"/>
        <v>1</v>
      </c>
      <c r="S43" s="3">
        <f t="shared" si="33"/>
        <v>1</v>
      </c>
      <c r="T43" s="3">
        <f t="shared" si="33"/>
        <v>1</v>
      </c>
      <c r="U43" s="3">
        <f t="shared" si="33"/>
        <v>1</v>
      </c>
      <c r="V43" s="3">
        <f t="shared" si="33"/>
        <v>1</v>
      </c>
      <c r="W43" s="3">
        <f t="shared" si="33"/>
        <v>1</v>
      </c>
    </row>
    <row r="44" customHeight="1" spans="1:23">
      <c r="A44" s="2">
        <v>31</v>
      </c>
      <c r="B44" s="3">
        <f t="shared" ref="B44:W44" si="34">MIN(1,IF($A44&lt;B$4+B$3,0,IF(B$2=0,1,IF(B$5=0,1/(1+(B$6*EXP(-($A44-B$4)/B$7))),IF(MOD($A44-B$4,B$5)=0,1/(1+(B$6*EXP(-($A44-B$4)/B$7))),1/(1+(B$6*EXP(-(QUOTIENT($A44-B$4,B$5)*B$5)/B$7))))))))</f>
        <v>0.706670453043496</v>
      </c>
      <c r="C44" s="3">
        <f t="shared" si="34"/>
        <v>0.706670453043496</v>
      </c>
      <c r="D44" s="3" t="e">
        <f t="shared" si="34"/>
        <v>#DIV/0!</v>
      </c>
      <c r="E44" s="3" t="e">
        <f t="shared" si="34"/>
        <v>#REF!</v>
      </c>
      <c r="F44" s="3">
        <f t="shared" si="34"/>
        <v>0.970457846719508</v>
      </c>
      <c r="G44" s="3">
        <f t="shared" si="34"/>
        <v>0.970457846719508</v>
      </c>
      <c r="H44" s="3">
        <f t="shared" si="34"/>
        <v>0.706670453043496</v>
      </c>
      <c r="I44" s="3">
        <f t="shared" si="34"/>
        <v>0.706670453043496</v>
      </c>
      <c r="J44" s="3">
        <f t="shared" si="34"/>
        <v>1</v>
      </c>
      <c r="K44" s="3">
        <f t="shared" si="34"/>
        <v>0.706670453043496</v>
      </c>
      <c r="L44" s="3">
        <f t="shared" si="34"/>
        <v>0.706670453043496</v>
      </c>
      <c r="M44" s="3" t="e">
        <f t="shared" si="34"/>
        <v>#REF!</v>
      </c>
      <c r="N44" s="3">
        <f t="shared" si="34"/>
        <v>1</v>
      </c>
      <c r="O44" s="3">
        <f t="shared" si="34"/>
        <v>1</v>
      </c>
      <c r="P44" s="3">
        <f t="shared" si="34"/>
        <v>1</v>
      </c>
      <c r="Q44" s="3">
        <f t="shared" si="34"/>
        <v>1</v>
      </c>
      <c r="R44" s="3">
        <f t="shared" si="34"/>
        <v>1</v>
      </c>
      <c r="S44" s="3">
        <f t="shared" si="34"/>
        <v>1</v>
      </c>
      <c r="T44" s="3">
        <f t="shared" si="34"/>
        <v>1</v>
      </c>
      <c r="U44" s="3">
        <f t="shared" si="34"/>
        <v>1</v>
      </c>
      <c r="V44" s="3">
        <f t="shared" si="34"/>
        <v>1</v>
      </c>
      <c r="W44" s="3">
        <f t="shared" si="34"/>
        <v>1</v>
      </c>
    </row>
    <row r="45" customHeight="1" spans="1:23">
      <c r="A45" s="2">
        <v>32</v>
      </c>
      <c r="B45" s="3">
        <f t="shared" ref="B45:W45" si="35">MIN(1,IF($A45&lt;B$4+B$3,0,IF(B$2=0,1,IF(B$5=0,1/(1+(B$6*EXP(-($A45-B$4)/B$7))),IF(MOD($A45-B$4,B$5)=0,1/(1+(B$6*EXP(-($A45-B$4)/B$7))),1/(1+(B$6*EXP(-(QUOTIENT($A45-B$4,B$5)*B$5)/B$7))))))))</f>
        <v>0.731896836702868</v>
      </c>
      <c r="C45" s="3">
        <f t="shared" si="35"/>
        <v>0.731896836702868</v>
      </c>
      <c r="D45" s="3" t="e">
        <f t="shared" si="35"/>
        <v>#DIV/0!</v>
      </c>
      <c r="E45" s="3" t="e">
        <f t="shared" si="35"/>
        <v>#REF!</v>
      </c>
      <c r="F45" s="3">
        <f t="shared" si="35"/>
        <v>0.975682709466635</v>
      </c>
      <c r="G45" s="3">
        <f t="shared" si="35"/>
        <v>0.975682709466635</v>
      </c>
      <c r="H45" s="3">
        <f t="shared" si="35"/>
        <v>0.731896836702868</v>
      </c>
      <c r="I45" s="3">
        <f t="shared" si="35"/>
        <v>0.731896836702868</v>
      </c>
      <c r="J45" s="3">
        <f t="shared" si="35"/>
        <v>1</v>
      </c>
      <c r="K45" s="3">
        <f t="shared" si="35"/>
        <v>0.731896836702868</v>
      </c>
      <c r="L45" s="3">
        <f t="shared" si="35"/>
        <v>0.731896836702868</v>
      </c>
      <c r="M45" s="3" t="e">
        <f t="shared" si="35"/>
        <v>#REF!</v>
      </c>
      <c r="N45" s="3">
        <f t="shared" si="35"/>
        <v>1</v>
      </c>
      <c r="O45" s="3">
        <f t="shared" si="35"/>
        <v>1</v>
      </c>
      <c r="P45" s="3">
        <f t="shared" si="35"/>
        <v>1</v>
      </c>
      <c r="Q45" s="3">
        <f t="shared" si="35"/>
        <v>1</v>
      </c>
      <c r="R45" s="3">
        <f t="shared" si="35"/>
        <v>1</v>
      </c>
      <c r="S45" s="3">
        <f t="shared" si="35"/>
        <v>1</v>
      </c>
      <c r="T45" s="3">
        <f t="shared" si="35"/>
        <v>1</v>
      </c>
      <c r="U45" s="3">
        <f t="shared" si="35"/>
        <v>1</v>
      </c>
      <c r="V45" s="3">
        <f t="shared" si="35"/>
        <v>1</v>
      </c>
      <c r="W45" s="3">
        <f t="shared" si="35"/>
        <v>1</v>
      </c>
    </row>
    <row r="46" customHeight="1" spans="1:23">
      <c r="A46" s="2">
        <v>33</v>
      </c>
      <c r="B46" s="3">
        <f t="shared" ref="B46:W46" si="36">MIN(1,IF($A46&lt;B$4+B$3,0,IF(B$2=0,1,IF(B$5=0,1/(1+(B$6*EXP(-($A46-B$4)/B$7))),IF(MOD($A46-B$4,B$5)=0,1/(1+(B$6*EXP(-($A46-B$4)/B$7))),1/(1+(B$6*EXP(-(QUOTIENT($A46-B$4,B$5)*B$5)/B$7))))))))</f>
        <v>0.755703735288237</v>
      </c>
      <c r="C46" s="3">
        <f t="shared" si="36"/>
        <v>0.755703735288237</v>
      </c>
      <c r="D46" s="3" t="e">
        <f t="shared" si="36"/>
        <v>#DIV/0!</v>
      </c>
      <c r="E46" s="3" t="e">
        <f t="shared" si="36"/>
        <v>#REF!</v>
      </c>
      <c r="F46" s="3">
        <f t="shared" si="36"/>
        <v>0.980002538057658</v>
      </c>
      <c r="G46" s="3">
        <f t="shared" si="36"/>
        <v>0.980002538057658</v>
      </c>
      <c r="H46" s="3">
        <f t="shared" si="36"/>
        <v>0.755703735288237</v>
      </c>
      <c r="I46" s="3">
        <f t="shared" si="36"/>
        <v>0.755703735288237</v>
      </c>
      <c r="J46" s="3">
        <f t="shared" si="36"/>
        <v>1</v>
      </c>
      <c r="K46" s="3">
        <f t="shared" si="36"/>
        <v>0.755703735288237</v>
      </c>
      <c r="L46" s="3">
        <f t="shared" si="36"/>
        <v>0.755703735288237</v>
      </c>
      <c r="M46" s="3" t="e">
        <f t="shared" si="36"/>
        <v>#REF!</v>
      </c>
      <c r="N46" s="3">
        <f t="shared" si="36"/>
        <v>1</v>
      </c>
      <c r="O46" s="3">
        <f t="shared" si="36"/>
        <v>1</v>
      </c>
      <c r="P46" s="3">
        <f t="shared" si="36"/>
        <v>1</v>
      </c>
      <c r="Q46" s="3">
        <f t="shared" si="36"/>
        <v>1</v>
      </c>
      <c r="R46" s="3">
        <f t="shared" si="36"/>
        <v>1</v>
      </c>
      <c r="S46" s="3">
        <f t="shared" si="36"/>
        <v>1</v>
      </c>
      <c r="T46" s="3">
        <f t="shared" si="36"/>
        <v>1</v>
      </c>
      <c r="U46" s="3">
        <f t="shared" si="36"/>
        <v>1</v>
      </c>
      <c r="V46" s="3">
        <f t="shared" si="36"/>
        <v>1</v>
      </c>
      <c r="W46" s="3">
        <f t="shared" si="36"/>
        <v>1</v>
      </c>
    </row>
    <row r="47" customHeight="1" spans="1:23">
      <c r="A47" s="2">
        <v>34</v>
      </c>
      <c r="B47" s="3">
        <f t="shared" ref="B47:W47" si="37">MIN(1,IF($A47&lt;B$4+B$3,0,IF(B$2=0,1,IF(B$5=0,1/(1+(B$6*EXP(-($A47-B$4)/B$7))),IF(MOD($A47-B$4,B$5)=0,1/(1+(B$6*EXP(-($A47-B$4)/B$7))),1/(1+(B$6*EXP(-(QUOTIENT($A47-B$4,B$5)*B$5)/B$7))))))))</f>
        <v>0.778037750684183</v>
      </c>
      <c r="C47" s="3">
        <f t="shared" si="37"/>
        <v>0.778037750684183</v>
      </c>
      <c r="D47" s="3" t="e">
        <f t="shared" si="37"/>
        <v>#DIV/0!</v>
      </c>
      <c r="E47" s="3" t="e">
        <f t="shared" si="37"/>
        <v>#REF!</v>
      </c>
      <c r="F47" s="3">
        <f t="shared" si="37"/>
        <v>0.98356789778838</v>
      </c>
      <c r="G47" s="3">
        <f t="shared" si="37"/>
        <v>0.98356789778838</v>
      </c>
      <c r="H47" s="3">
        <f t="shared" si="37"/>
        <v>0.778037750684183</v>
      </c>
      <c r="I47" s="3">
        <f t="shared" si="37"/>
        <v>0.778037750684183</v>
      </c>
      <c r="J47" s="3">
        <f t="shared" si="37"/>
        <v>1</v>
      </c>
      <c r="K47" s="3">
        <f t="shared" si="37"/>
        <v>0.778037750684183</v>
      </c>
      <c r="L47" s="3">
        <f t="shared" si="37"/>
        <v>0.778037750684183</v>
      </c>
      <c r="M47" s="3" t="e">
        <f t="shared" si="37"/>
        <v>#REF!</v>
      </c>
      <c r="N47" s="3">
        <f t="shared" si="37"/>
        <v>1</v>
      </c>
      <c r="O47" s="3">
        <f t="shared" si="37"/>
        <v>1</v>
      </c>
      <c r="P47" s="3">
        <f t="shared" si="37"/>
        <v>1</v>
      </c>
      <c r="Q47" s="3">
        <f t="shared" si="37"/>
        <v>1</v>
      </c>
      <c r="R47" s="3">
        <f t="shared" si="37"/>
        <v>1</v>
      </c>
      <c r="S47" s="3">
        <f t="shared" si="37"/>
        <v>1</v>
      </c>
      <c r="T47" s="3">
        <f t="shared" si="37"/>
        <v>1</v>
      </c>
      <c r="U47" s="3">
        <f t="shared" si="37"/>
        <v>1</v>
      </c>
      <c r="V47" s="3">
        <f t="shared" si="37"/>
        <v>1</v>
      </c>
      <c r="W47" s="3">
        <f t="shared" si="37"/>
        <v>1</v>
      </c>
    </row>
    <row r="48" customHeight="1" spans="1:23">
      <c r="A48" s="2">
        <v>35</v>
      </c>
      <c r="B48" s="3">
        <f t="shared" ref="B48:W48" si="38">MIN(1,IF($A48&lt;B$4+B$3,0,IF(B$2=0,1,IF(B$5=0,1/(1+(B$6*EXP(-($A48-B$4)/B$7))),IF(MOD($A48-B$4,B$5)=0,1/(1+(B$6*EXP(-($A48-B$4)/B$7))),1/(1+(B$6*EXP(-(QUOTIENT($A48-B$4,B$5)*B$5)/B$7))))))))</f>
        <v>0.798873368158555</v>
      </c>
      <c r="C48" s="3">
        <f t="shared" si="38"/>
        <v>0.798873368158555</v>
      </c>
      <c r="D48" s="3" t="e">
        <f t="shared" si="38"/>
        <v>#DIV/0!</v>
      </c>
      <c r="E48" s="3" t="e">
        <f t="shared" si="38"/>
        <v>#REF!</v>
      </c>
      <c r="F48" s="3">
        <f t="shared" si="38"/>
        <v>0.986506339896153</v>
      </c>
      <c r="G48" s="3">
        <f t="shared" si="38"/>
        <v>0.986506339896153</v>
      </c>
      <c r="H48" s="3">
        <f t="shared" si="38"/>
        <v>0.798873368158555</v>
      </c>
      <c r="I48" s="3">
        <f t="shared" si="38"/>
        <v>0.798873368158555</v>
      </c>
      <c r="J48" s="3">
        <f t="shared" si="38"/>
        <v>1</v>
      </c>
      <c r="K48" s="3">
        <f t="shared" si="38"/>
        <v>0.798873368158555</v>
      </c>
      <c r="L48" s="3">
        <f t="shared" si="38"/>
        <v>0.798873368158555</v>
      </c>
      <c r="M48" s="3" t="e">
        <f t="shared" si="38"/>
        <v>#REF!</v>
      </c>
      <c r="N48" s="3">
        <f t="shared" si="38"/>
        <v>1</v>
      </c>
      <c r="O48" s="3">
        <f t="shared" si="38"/>
        <v>1</v>
      </c>
      <c r="P48" s="3">
        <f t="shared" si="38"/>
        <v>1</v>
      </c>
      <c r="Q48" s="3">
        <f t="shared" si="38"/>
        <v>1</v>
      </c>
      <c r="R48" s="3">
        <f t="shared" si="38"/>
        <v>1</v>
      </c>
      <c r="S48" s="3">
        <f t="shared" si="38"/>
        <v>1</v>
      </c>
      <c r="T48" s="3">
        <f t="shared" si="38"/>
        <v>1</v>
      </c>
      <c r="U48" s="3">
        <f t="shared" si="38"/>
        <v>1</v>
      </c>
      <c r="V48" s="3">
        <f t="shared" si="38"/>
        <v>1</v>
      </c>
      <c r="W48" s="3">
        <f t="shared" si="38"/>
        <v>1</v>
      </c>
    </row>
    <row r="49" customHeight="1" spans="1:23">
      <c r="A49" s="2">
        <v>36</v>
      </c>
      <c r="B49" s="3">
        <f t="shared" ref="B49:W49" si="39">MIN(1,IF($A49&lt;B$4+B$3,0,IF(B$2=0,1,IF(B$5=0,1/(1+(B$6*EXP(-($A49-B$4)/B$7))),IF(MOD($A49-B$4,B$5)=0,1/(1+(B$6*EXP(-($A49-B$4)/B$7))),1/(1+(B$6*EXP(-(QUOTIENT($A49-B$4,B$5)*B$5)/B$7))))))))</f>
        <v>0.818210129971775</v>
      </c>
      <c r="C49" s="3">
        <f t="shared" si="39"/>
        <v>0.818210129971775</v>
      </c>
      <c r="D49" s="3" t="e">
        <f t="shared" si="39"/>
        <v>#DIV/0!</v>
      </c>
      <c r="E49" s="3" t="e">
        <f t="shared" si="39"/>
        <v>#REF!</v>
      </c>
      <c r="F49" s="3">
        <f t="shared" si="39"/>
        <v>0.988925236790005</v>
      </c>
      <c r="G49" s="3">
        <f t="shared" si="39"/>
        <v>0.988925236790005</v>
      </c>
      <c r="H49" s="3">
        <f t="shared" si="39"/>
        <v>0.818210129971775</v>
      </c>
      <c r="I49" s="3">
        <f t="shared" si="39"/>
        <v>0.818210129971775</v>
      </c>
      <c r="J49" s="3">
        <f t="shared" si="39"/>
        <v>1</v>
      </c>
      <c r="K49" s="3">
        <f t="shared" si="39"/>
        <v>0.818210129971775</v>
      </c>
      <c r="L49" s="3">
        <f t="shared" si="39"/>
        <v>0.818210129971775</v>
      </c>
      <c r="M49" s="3" t="e">
        <f t="shared" si="39"/>
        <v>#REF!</v>
      </c>
      <c r="N49" s="3">
        <f t="shared" si="39"/>
        <v>1</v>
      </c>
      <c r="O49" s="3">
        <f t="shared" si="39"/>
        <v>1</v>
      </c>
      <c r="P49" s="3">
        <f t="shared" si="39"/>
        <v>1</v>
      </c>
      <c r="Q49" s="3">
        <f t="shared" si="39"/>
        <v>1</v>
      </c>
      <c r="R49" s="3">
        <f t="shared" si="39"/>
        <v>1</v>
      </c>
      <c r="S49" s="3">
        <f t="shared" si="39"/>
        <v>1</v>
      </c>
      <c r="T49" s="3">
        <f t="shared" si="39"/>
        <v>1</v>
      </c>
      <c r="U49" s="3">
        <f t="shared" si="39"/>
        <v>1</v>
      </c>
      <c r="V49" s="3">
        <f t="shared" si="39"/>
        <v>1</v>
      </c>
      <c r="W49" s="3">
        <f t="shared" si="39"/>
        <v>1</v>
      </c>
    </row>
    <row r="50" customHeight="1" spans="1:23">
      <c r="A50" s="2">
        <v>37</v>
      </c>
      <c r="B50" s="3">
        <f t="shared" ref="B50:W50" si="40">MIN(1,IF($A50&lt;B$4+B$3,0,IF(B$2=0,1,IF(B$5=0,1/(1+(B$6*EXP(-($A50-B$4)/B$7))),IF(MOD($A50-B$4,B$5)=0,1/(1+(B$6*EXP(-($A50-B$4)/B$7))),1/(1+(B$6*EXP(-(QUOTIENT($A50-B$4,B$5)*B$5)/B$7))))))))</f>
        <v>0.836069299945806</v>
      </c>
      <c r="C50" s="3">
        <f t="shared" si="40"/>
        <v>0.836069299945806</v>
      </c>
      <c r="D50" s="3" t="e">
        <f t="shared" si="40"/>
        <v>#DIV/0!</v>
      </c>
      <c r="E50" s="3" t="e">
        <f t="shared" si="40"/>
        <v>#REF!</v>
      </c>
      <c r="F50" s="3">
        <f t="shared" si="40"/>
        <v>0.990914511531743</v>
      </c>
      <c r="G50" s="3">
        <f t="shared" si="40"/>
        <v>0.990914511531743</v>
      </c>
      <c r="H50" s="3">
        <f t="shared" si="40"/>
        <v>0.836069299945806</v>
      </c>
      <c r="I50" s="3">
        <f t="shared" si="40"/>
        <v>0.836069299945806</v>
      </c>
      <c r="J50" s="3">
        <f t="shared" si="40"/>
        <v>1</v>
      </c>
      <c r="K50" s="3">
        <f t="shared" si="40"/>
        <v>0.836069299945806</v>
      </c>
      <c r="L50" s="3">
        <f t="shared" si="40"/>
        <v>0.836069299945806</v>
      </c>
      <c r="M50" s="3" t="e">
        <f t="shared" si="40"/>
        <v>#REF!</v>
      </c>
      <c r="N50" s="3">
        <f t="shared" si="40"/>
        <v>1</v>
      </c>
      <c r="O50" s="3">
        <f t="shared" si="40"/>
        <v>1</v>
      </c>
      <c r="P50" s="3">
        <f t="shared" si="40"/>
        <v>1</v>
      </c>
      <c r="Q50" s="3">
        <f t="shared" si="40"/>
        <v>1</v>
      </c>
      <c r="R50" s="3">
        <f t="shared" si="40"/>
        <v>1</v>
      </c>
      <c r="S50" s="3">
        <f t="shared" si="40"/>
        <v>1</v>
      </c>
      <c r="T50" s="3">
        <f t="shared" si="40"/>
        <v>1</v>
      </c>
      <c r="U50" s="3">
        <f t="shared" si="40"/>
        <v>1</v>
      </c>
      <c r="V50" s="3">
        <f t="shared" si="40"/>
        <v>1</v>
      </c>
      <c r="W50" s="3">
        <f t="shared" si="40"/>
        <v>1</v>
      </c>
    </row>
    <row r="51" customHeight="1" spans="1:23">
      <c r="A51" s="2">
        <v>38</v>
      </c>
      <c r="B51" s="3">
        <f t="shared" ref="B51:W51" si="41">MIN(1,IF($A51&lt;B$4+B$3,0,IF(B$2=0,1,IF(B$5=0,1/(1+(B$6*EXP(-($A51-B$4)/B$7))),IF(MOD($A51-B$4,B$5)=0,1/(1+(B$6*EXP(-($A51-B$4)/B$7))),1/(1+(B$6*EXP(-(QUOTIENT($A51-B$4,B$5)*B$5)/B$7))))))))</f>
        <v>0.852490278871593</v>
      </c>
      <c r="C51" s="3">
        <f t="shared" si="41"/>
        <v>0.852490278871593</v>
      </c>
      <c r="D51" s="3" t="e">
        <f t="shared" si="41"/>
        <v>#DIV/0!</v>
      </c>
      <c r="E51" s="3" t="e">
        <f t="shared" si="41"/>
        <v>#REF!</v>
      </c>
      <c r="F51" s="3">
        <f t="shared" si="41"/>
        <v>0.99254916024989</v>
      </c>
      <c r="G51" s="3">
        <f t="shared" si="41"/>
        <v>0.99254916024989</v>
      </c>
      <c r="H51" s="3">
        <f t="shared" si="41"/>
        <v>0.852490278871593</v>
      </c>
      <c r="I51" s="3">
        <f t="shared" si="41"/>
        <v>0.852490278871593</v>
      </c>
      <c r="J51" s="3">
        <f t="shared" si="41"/>
        <v>1</v>
      </c>
      <c r="K51" s="3">
        <f t="shared" si="41"/>
        <v>0.852490278871593</v>
      </c>
      <c r="L51" s="3">
        <f t="shared" si="41"/>
        <v>0.852490278871593</v>
      </c>
      <c r="M51" s="3" t="e">
        <f t="shared" si="41"/>
        <v>#REF!</v>
      </c>
      <c r="N51" s="3">
        <f t="shared" si="41"/>
        <v>1</v>
      </c>
      <c r="O51" s="3">
        <f t="shared" si="41"/>
        <v>1</v>
      </c>
      <c r="P51" s="3">
        <f t="shared" si="41"/>
        <v>1</v>
      </c>
      <c r="Q51" s="3">
        <f t="shared" si="41"/>
        <v>1</v>
      </c>
      <c r="R51" s="3">
        <f t="shared" si="41"/>
        <v>1</v>
      </c>
      <c r="S51" s="3">
        <f t="shared" si="41"/>
        <v>1</v>
      </c>
      <c r="T51" s="3">
        <f t="shared" si="41"/>
        <v>1</v>
      </c>
      <c r="U51" s="3">
        <f t="shared" si="41"/>
        <v>1</v>
      </c>
      <c r="V51" s="3">
        <f t="shared" si="41"/>
        <v>1</v>
      </c>
      <c r="W51" s="3">
        <f t="shared" si="41"/>
        <v>1</v>
      </c>
    </row>
    <row r="52" customHeight="1" spans="1:23">
      <c r="A52" s="2">
        <v>39</v>
      </c>
      <c r="B52" s="3">
        <f t="shared" ref="B52:W52" si="42">MIN(1,IF($A52&lt;B$4+B$3,0,IF(B$2=0,1,IF(B$5=0,1/(1+(B$6*EXP(-($A52-B$4)/B$7))),IF(MOD($A52-B$4,B$5)=0,1/(1+(B$6*EXP(-($A52-B$4)/B$7))),1/(1+(B$6*EXP(-(QUOTIENT($A52-B$4,B$5)*B$5)/B$7))))))))</f>
        <v>0.867526993365068</v>
      </c>
      <c r="C52" s="3">
        <f t="shared" si="42"/>
        <v>0.867526993365068</v>
      </c>
      <c r="D52" s="3" t="e">
        <f t="shared" si="42"/>
        <v>#DIV/0!</v>
      </c>
      <c r="E52" s="3" t="e">
        <f t="shared" si="42"/>
        <v>#REF!</v>
      </c>
      <c r="F52" s="3">
        <f t="shared" si="42"/>
        <v>0.993891518195261</v>
      </c>
      <c r="G52" s="3">
        <f t="shared" si="42"/>
        <v>0.993891518195261</v>
      </c>
      <c r="H52" s="3">
        <f t="shared" si="42"/>
        <v>0.867526993365068</v>
      </c>
      <c r="I52" s="3">
        <f t="shared" si="42"/>
        <v>0.867526993365068</v>
      </c>
      <c r="J52" s="3">
        <f t="shared" si="42"/>
        <v>1</v>
      </c>
      <c r="K52" s="3">
        <f t="shared" si="42"/>
        <v>0.867526993365068</v>
      </c>
      <c r="L52" s="3">
        <f t="shared" si="42"/>
        <v>0.867526993365068</v>
      </c>
      <c r="M52" s="3" t="e">
        <f t="shared" si="42"/>
        <v>#REF!</v>
      </c>
      <c r="N52" s="3">
        <f t="shared" si="42"/>
        <v>1</v>
      </c>
      <c r="O52" s="3">
        <f t="shared" si="42"/>
        <v>1</v>
      </c>
      <c r="P52" s="3">
        <f t="shared" si="42"/>
        <v>1</v>
      </c>
      <c r="Q52" s="3">
        <f t="shared" si="42"/>
        <v>1</v>
      </c>
      <c r="R52" s="3">
        <f t="shared" si="42"/>
        <v>1</v>
      </c>
      <c r="S52" s="3">
        <f t="shared" si="42"/>
        <v>1</v>
      </c>
      <c r="T52" s="3">
        <f t="shared" si="42"/>
        <v>1</v>
      </c>
      <c r="U52" s="3">
        <f t="shared" si="42"/>
        <v>1</v>
      </c>
      <c r="V52" s="3">
        <f t="shared" si="42"/>
        <v>1</v>
      </c>
      <c r="W52" s="3">
        <f t="shared" si="42"/>
        <v>1</v>
      </c>
    </row>
    <row r="53" customHeight="1" spans="1:23">
      <c r="A53" s="2">
        <v>40</v>
      </c>
      <c r="B53" s="3">
        <f t="shared" ref="B53:W53" si="43">MIN(1,IF($A53&lt;B$4+B$3,0,IF(B$2=0,1,IF(B$5=0,1/(1+(B$6*EXP(-($A53-B$4)/B$7))),IF(MOD($A53-B$4,B$5)=0,1/(1+(B$6*EXP(-($A53-B$4)/B$7))),1/(1+(B$6*EXP(-(QUOTIENT($A53-B$4,B$5)*B$5)/B$7))))))))</f>
        <v>0.881244434184514</v>
      </c>
      <c r="C53" s="3">
        <f t="shared" si="43"/>
        <v>0.881244434184514</v>
      </c>
      <c r="D53" s="3" t="e">
        <f t="shared" si="43"/>
        <v>#DIV/0!</v>
      </c>
      <c r="E53" s="3" t="e">
        <f t="shared" si="43"/>
        <v>#REF!</v>
      </c>
      <c r="F53" s="3">
        <f t="shared" si="43"/>
        <v>0.994993254222897</v>
      </c>
      <c r="G53" s="3">
        <f t="shared" si="43"/>
        <v>0.994993254222897</v>
      </c>
      <c r="H53" s="3">
        <f t="shared" si="43"/>
        <v>0.881244434184514</v>
      </c>
      <c r="I53" s="3">
        <f t="shared" si="43"/>
        <v>0.881244434184514</v>
      </c>
      <c r="J53" s="3">
        <f t="shared" si="43"/>
        <v>1</v>
      </c>
      <c r="K53" s="3">
        <f t="shared" si="43"/>
        <v>0.881244434184514</v>
      </c>
      <c r="L53" s="3">
        <f t="shared" si="43"/>
        <v>0.881244434184514</v>
      </c>
      <c r="M53" s="3" t="e">
        <f t="shared" si="43"/>
        <v>#REF!</v>
      </c>
      <c r="N53" s="3">
        <f t="shared" si="43"/>
        <v>1</v>
      </c>
      <c r="O53" s="3">
        <f t="shared" si="43"/>
        <v>1</v>
      </c>
      <c r="P53" s="3">
        <f t="shared" si="43"/>
        <v>1</v>
      </c>
      <c r="Q53" s="3">
        <f t="shared" si="43"/>
        <v>1</v>
      </c>
      <c r="R53" s="3">
        <f t="shared" si="43"/>
        <v>1</v>
      </c>
      <c r="S53" s="3">
        <f t="shared" si="43"/>
        <v>1</v>
      </c>
      <c r="T53" s="3">
        <f t="shared" si="43"/>
        <v>1</v>
      </c>
      <c r="U53" s="3">
        <f t="shared" si="43"/>
        <v>1</v>
      </c>
      <c r="V53" s="3">
        <f t="shared" si="43"/>
        <v>1</v>
      </c>
      <c r="W53" s="3">
        <f t="shared" si="43"/>
        <v>1</v>
      </c>
    </row>
    <row r="54" customHeight="1" spans="1:23">
      <c r="A54" s="2">
        <v>41</v>
      </c>
      <c r="B54" s="3">
        <f t="shared" ref="B54:W54" si="44">MIN(1,IF($A54&lt;B$4+B$3,0,IF(B$2=0,1,IF(B$5=0,1/(1+(B$6*EXP(-($A54-B$4)/B$7))),IF(MOD($A54-B$4,B$5)=0,1/(1+(B$6*EXP(-($A54-B$4)/B$7))),1/(1+(B$6*EXP(-(QUOTIENT($A54-B$4,B$5)*B$5)/B$7))))))))</f>
        <v>0.893715471082082</v>
      </c>
      <c r="C54" s="3">
        <f t="shared" si="44"/>
        <v>0.893715471082082</v>
      </c>
      <c r="D54" s="3" t="e">
        <f t="shared" si="44"/>
        <v>#DIV/0!</v>
      </c>
      <c r="E54" s="3" t="e">
        <f t="shared" si="44"/>
        <v>#REF!</v>
      </c>
      <c r="F54" s="3">
        <f t="shared" si="44"/>
        <v>0.995897099594074</v>
      </c>
      <c r="G54" s="3">
        <f t="shared" si="44"/>
        <v>0.995897099594074</v>
      </c>
      <c r="H54" s="3">
        <f t="shared" si="44"/>
        <v>0.893715471082082</v>
      </c>
      <c r="I54" s="3">
        <f t="shared" si="44"/>
        <v>0.893715471082082</v>
      </c>
      <c r="J54" s="3">
        <f t="shared" si="44"/>
        <v>1</v>
      </c>
      <c r="K54" s="3">
        <f t="shared" si="44"/>
        <v>0.893715471082082</v>
      </c>
      <c r="L54" s="3">
        <f t="shared" si="44"/>
        <v>0.893715471082082</v>
      </c>
      <c r="M54" s="3" t="e">
        <f t="shared" si="44"/>
        <v>#REF!</v>
      </c>
      <c r="N54" s="3">
        <f t="shared" si="44"/>
        <v>1</v>
      </c>
      <c r="O54" s="3">
        <f t="shared" si="44"/>
        <v>1</v>
      </c>
      <c r="P54" s="3">
        <f t="shared" si="44"/>
        <v>1</v>
      </c>
      <c r="Q54" s="3">
        <f t="shared" si="44"/>
        <v>1</v>
      </c>
      <c r="R54" s="3">
        <f t="shared" si="44"/>
        <v>1</v>
      </c>
      <c r="S54" s="3">
        <f t="shared" si="44"/>
        <v>1</v>
      </c>
      <c r="T54" s="3">
        <f t="shared" si="44"/>
        <v>1</v>
      </c>
      <c r="U54" s="3">
        <f t="shared" si="44"/>
        <v>1</v>
      </c>
      <c r="V54" s="3">
        <f t="shared" si="44"/>
        <v>1</v>
      </c>
      <c r="W54" s="3">
        <f t="shared" si="44"/>
        <v>1</v>
      </c>
    </row>
    <row r="55" customHeight="1" spans="1:23">
      <c r="A55" s="2">
        <v>42</v>
      </c>
      <c r="B55" s="3">
        <f t="shared" ref="B55:W55" si="45">MIN(1,IF($A55&lt;B$4+B$3,0,IF(B$2=0,1,IF(B$5=0,1/(1+(B$6*EXP(-($A55-B$4)/B$7))),IF(MOD($A55-B$4,B$5)=0,1/(1+(B$6*EXP(-($A55-B$4)/B$7))),1/(1+(B$6*EXP(-(QUOTIENT($A55-B$4,B$5)*B$5)/B$7))))))))</f>
        <v>0.905018025221217</v>
      </c>
      <c r="C55" s="3">
        <f t="shared" si="45"/>
        <v>0.905018025221217</v>
      </c>
      <c r="D55" s="3" t="e">
        <f t="shared" si="45"/>
        <v>#DIV/0!</v>
      </c>
      <c r="E55" s="3" t="e">
        <f t="shared" si="45"/>
        <v>#REF!</v>
      </c>
      <c r="F55" s="3">
        <f t="shared" si="45"/>
        <v>0.996638329086464</v>
      </c>
      <c r="G55" s="3">
        <f t="shared" si="45"/>
        <v>0.996638329086464</v>
      </c>
      <c r="H55" s="3">
        <f t="shared" si="45"/>
        <v>0.905018025221217</v>
      </c>
      <c r="I55" s="3">
        <f t="shared" si="45"/>
        <v>0.905018025221217</v>
      </c>
      <c r="J55" s="3">
        <f t="shared" si="45"/>
        <v>1</v>
      </c>
      <c r="K55" s="3">
        <f t="shared" si="45"/>
        <v>0.905018025221217</v>
      </c>
      <c r="L55" s="3">
        <f t="shared" si="45"/>
        <v>0.905018025221217</v>
      </c>
      <c r="M55" s="3" t="e">
        <f t="shared" si="45"/>
        <v>#REF!</v>
      </c>
      <c r="N55" s="3">
        <f t="shared" si="45"/>
        <v>1</v>
      </c>
      <c r="O55" s="3">
        <f t="shared" si="45"/>
        <v>1</v>
      </c>
      <c r="P55" s="3">
        <f t="shared" si="45"/>
        <v>1</v>
      </c>
      <c r="Q55" s="3">
        <f t="shared" si="45"/>
        <v>1</v>
      </c>
      <c r="R55" s="3">
        <f t="shared" si="45"/>
        <v>1</v>
      </c>
      <c r="S55" s="3">
        <f t="shared" si="45"/>
        <v>1</v>
      </c>
      <c r="T55" s="3">
        <f t="shared" si="45"/>
        <v>1</v>
      </c>
      <c r="U55" s="3">
        <f t="shared" si="45"/>
        <v>1</v>
      </c>
      <c r="V55" s="3">
        <f t="shared" si="45"/>
        <v>1</v>
      </c>
      <c r="W55" s="3">
        <f t="shared" si="45"/>
        <v>1</v>
      </c>
    </row>
    <row r="56" customHeight="1" spans="1:23">
      <c r="A56" s="2">
        <v>43</v>
      </c>
      <c r="B56" s="3">
        <f t="shared" ref="B56:W56" si="46">MIN(1,IF($A56&lt;B$4+B$3,0,IF(B$2=0,1,IF(B$5=0,1/(1+(B$6*EXP(-($A56-B$4)/B$7))),IF(MOD($A56-B$4,B$5)=0,1/(1+(B$6*EXP(-($A56-B$4)/B$7))),1/(1+(B$6*EXP(-(QUOTIENT($A56-B$4,B$5)*B$5)/B$7))))))))</f>
        <v>0.915232640400559</v>
      </c>
      <c r="C56" s="3">
        <f t="shared" si="46"/>
        <v>0.915232640400559</v>
      </c>
      <c r="D56" s="3" t="e">
        <f t="shared" si="46"/>
        <v>#DIV/0!</v>
      </c>
      <c r="E56" s="3" t="e">
        <f t="shared" si="46"/>
        <v>#REF!</v>
      </c>
      <c r="F56" s="3">
        <f t="shared" si="46"/>
        <v>0.997246018454359</v>
      </c>
      <c r="G56" s="3">
        <f t="shared" si="46"/>
        <v>0.997246018454359</v>
      </c>
      <c r="H56" s="3">
        <f t="shared" si="46"/>
        <v>0.915232640400559</v>
      </c>
      <c r="I56" s="3">
        <f t="shared" si="46"/>
        <v>0.915232640400559</v>
      </c>
      <c r="J56" s="3">
        <f t="shared" si="46"/>
        <v>1</v>
      </c>
      <c r="K56" s="3">
        <f t="shared" si="46"/>
        <v>0.915232640400559</v>
      </c>
      <c r="L56" s="3">
        <f t="shared" si="46"/>
        <v>0.915232640400559</v>
      </c>
      <c r="M56" s="3" t="e">
        <f t="shared" si="46"/>
        <v>#REF!</v>
      </c>
      <c r="N56" s="3">
        <f t="shared" si="46"/>
        <v>1</v>
      </c>
      <c r="O56" s="3">
        <f t="shared" si="46"/>
        <v>1</v>
      </c>
      <c r="P56" s="3">
        <f t="shared" si="46"/>
        <v>1</v>
      </c>
      <c r="Q56" s="3">
        <f t="shared" si="46"/>
        <v>1</v>
      </c>
      <c r="R56" s="3">
        <f t="shared" si="46"/>
        <v>1</v>
      </c>
      <c r="S56" s="3">
        <f t="shared" si="46"/>
        <v>1</v>
      </c>
      <c r="T56" s="3">
        <f t="shared" si="46"/>
        <v>1</v>
      </c>
      <c r="U56" s="3">
        <f t="shared" si="46"/>
        <v>1</v>
      </c>
      <c r="V56" s="3">
        <f t="shared" si="46"/>
        <v>1</v>
      </c>
      <c r="W56" s="3">
        <f t="shared" si="46"/>
        <v>1</v>
      </c>
    </row>
    <row r="57" customHeight="1" spans="1:23">
      <c r="A57" s="2">
        <v>44</v>
      </c>
      <c r="B57" s="3">
        <f t="shared" ref="B57:W57" si="47">MIN(1,IF($A57&lt;B$4+B$3,0,IF(B$2=0,1,IF(B$5=0,1/(1+(B$6*EXP(-($A57-B$4)/B$7))),IF(MOD($A57-B$4,B$5)=0,1/(1+(B$6*EXP(-($A57-B$4)/B$7))),1/(1+(B$6*EXP(-(QUOTIENT($A57-B$4,B$5)*B$5)/B$7))))))))</f>
        <v>0.924440462431489</v>
      </c>
      <c r="C57" s="3">
        <f t="shared" si="47"/>
        <v>0.924440462431489</v>
      </c>
      <c r="D57" s="3" t="e">
        <f t="shared" si="47"/>
        <v>#DIV/0!</v>
      </c>
      <c r="E57" s="3" t="e">
        <f t="shared" si="47"/>
        <v>#REF!</v>
      </c>
      <c r="F57" s="3">
        <f t="shared" si="47"/>
        <v>0.99774410444468</v>
      </c>
      <c r="G57" s="3">
        <f t="shared" si="47"/>
        <v>0.99774410444468</v>
      </c>
      <c r="H57" s="3">
        <f t="shared" si="47"/>
        <v>0.924440462431489</v>
      </c>
      <c r="I57" s="3">
        <f t="shared" si="47"/>
        <v>0.924440462431489</v>
      </c>
      <c r="J57" s="3">
        <f t="shared" si="47"/>
        <v>1</v>
      </c>
      <c r="K57" s="3">
        <f t="shared" si="47"/>
        <v>0.924440462431489</v>
      </c>
      <c r="L57" s="3">
        <f t="shared" si="47"/>
        <v>0.924440462431489</v>
      </c>
      <c r="M57" s="3" t="e">
        <f t="shared" si="47"/>
        <v>#REF!</v>
      </c>
      <c r="N57" s="3">
        <f t="shared" si="47"/>
        <v>1</v>
      </c>
      <c r="O57" s="3">
        <f t="shared" si="47"/>
        <v>1</v>
      </c>
      <c r="P57" s="3">
        <f t="shared" si="47"/>
        <v>1</v>
      </c>
      <c r="Q57" s="3">
        <f t="shared" si="47"/>
        <v>1</v>
      </c>
      <c r="R57" s="3">
        <f t="shared" si="47"/>
        <v>1</v>
      </c>
      <c r="S57" s="3">
        <f t="shared" si="47"/>
        <v>1</v>
      </c>
      <c r="T57" s="3">
        <f t="shared" si="47"/>
        <v>1</v>
      </c>
      <c r="U57" s="3">
        <f t="shared" si="47"/>
        <v>1</v>
      </c>
      <c r="V57" s="3">
        <f t="shared" si="47"/>
        <v>1</v>
      </c>
      <c r="W57" s="3">
        <f t="shared" si="47"/>
        <v>1</v>
      </c>
    </row>
    <row r="58" customHeight="1" spans="1:23">
      <c r="A58" s="2">
        <v>45</v>
      </c>
      <c r="B58" s="3">
        <f t="shared" ref="B58:W58" si="48">MIN(1,IF($A58&lt;B$4+B$3,0,IF(B$2=0,1,IF(B$5=0,1/(1+(B$6*EXP(-($A58-B$4)/B$7))),IF(MOD($A58-B$4,B$5)=0,1/(1+(B$6*EXP(-($A58-B$4)/B$7))),1/(1+(B$6*EXP(-(QUOTIENT($A58-B$4,B$5)*B$5)/B$7))))))))</f>
        <v>0.932721612335698</v>
      </c>
      <c r="C58" s="3">
        <f t="shared" si="48"/>
        <v>0.932721612335698</v>
      </c>
      <c r="D58" s="3" t="e">
        <f t="shared" si="48"/>
        <v>#DIV/0!</v>
      </c>
      <c r="E58" s="3" t="e">
        <f t="shared" si="48"/>
        <v>#REF!</v>
      </c>
      <c r="F58" s="3">
        <f t="shared" si="48"/>
        <v>0.998152273352453</v>
      </c>
      <c r="G58" s="3">
        <f t="shared" si="48"/>
        <v>0.998152273352453</v>
      </c>
      <c r="H58" s="3">
        <f t="shared" si="48"/>
        <v>0.932721612335698</v>
      </c>
      <c r="I58" s="3">
        <f t="shared" si="48"/>
        <v>0.932721612335698</v>
      </c>
      <c r="J58" s="3">
        <f t="shared" si="48"/>
        <v>1</v>
      </c>
      <c r="K58" s="3">
        <f t="shared" si="48"/>
        <v>0.932721612335698</v>
      </c>
      <c r="L58" s="3">
        <f t="shared" si="48"/>
        <v>0.932721612335698</v>
      </c>
      <c r="M58" s="3" t="e">
        <f t="shared" si="48"/>
        <v>#REF!</v>
      </c>
      <c r="N58" s="3">
        <f t="shared" si="48"/>
        <v>1</v>
      </c>
      <c r="O58" s="3">
        <f t="shared" si="48"/>
        <v>1</v>
      </c>
      <c r="P58" s="3">
        <f t="shared" si="48"/>
        <v>1</v>
      </c>
      <c r="Q58" s="3">
        <f t="shared" si="48"/>
        <v>1</v>
      </c>
      <c r="R58" s="3">
        <f t="shared" si="48"/>
        <v>1</v>
      </c>
      <c r="S58" s="3">
        <f t="shared" si="48"/>
        <v>1</v>
      </c>
      <c r="T58" s="3">
        <f t="shared" si="48"/>
        <v>1</v>
      </c>
      <c r="U58" s="3">
        <f t="shared" si="48"/>
        <v>1</v>
      </c>
      <c r="V58" s="3">
        <f t="shared" si="48"/>
        <v>1</v>
      </c>
      <c r="W58" s="3">
        <f t="shared" si="48"/>
        <v>1</v>
      </c>
    </row>
    <row r="59" customHeight="1" spans="1:23">
      <c r="A59" s="2">
        <v>46</v>
      </c>
      <c r="B59" s="3">
        <f t="shared" ref="B59:W59" si="49">MIN(1,IF($A59&lt;B$4+B$3,0,IF(B$2=0,1,IF(B$5=0,1/(1+(B$6*EXP(-($A59-B$4)/B$7))),IF(MOD($A59-B$4,B$5)=0,1/(1+(B$6*EXP(-($A59-B$4)/B$7))),1/(1+(B$6*EXP(-(QUOTIENT($A59-B$4,B$5)*B$5)/B$7))))))))</f>
        <v>0.940153922964507</v>
      </c>
      <c r="C59" s="3">
        <f t="shared" si="49"/>
        <v>0.940153922964507</v>
      </c>
      <c r="D59" s="3" t="e">
        <f t="shared" si="49"/>
        <v>#DIV/0!</v>
      </c>
      <c r="E59" s="3" t="e">
        <f t="shared" si="49"/>
        <v>#REF!</v>
      </c>
      <c r="F59" s="3">
        <f t="shared" si="49"/>
        <v>0.998486702512538</v>
      </c>
      <c r="G59" s="3">
        <f t="shared" si="49"/>
        <v>0.998486702512538</v>
      </c>
      <c r="H59" s="3">
        <f t="shared" si="49"/>
        <v>0.940153922964507</v>
      </c>
      <c r="I59" s="3">
        <f t="shared" si="49"/>
        <v>0.940153922964507</v>
      </c>
      <c r="J59" s="3">
        <f t="shared" si="49"/>
        <v>1</v>
      </c>
      <c r="K59" s="3">
        <f t="shared" si="49"/>
        <v>0.940153922964507</v>
      </c>
      <c r="L59" s="3">
        <f t="shared" si="49"/>
        <v>0.940153922964507</v>
      </c>
      <c r="M59" s="3" t="e">
        <f t="shared" si="49"/>
        <v>#REF!</v>
      </c>
      <c r="N59" s="3">
        <f t="shared" si="49"/>
        <v>1</v>
      </c>
      <c r="O59" s="3">
        <f t="shared" si="49"/>
        <v>1</v>
      </c>
      <c r="P59" s="3">
        <f t="shared" si="49"/>
        <v>1</v>
      </c>
      <c r="Q59" s="3">
        <f t="shared" si="49"/>
        <v>1</v>
      </c>
      <c r="R59" s="3">
        <f t="shared" si="49"/>
        <v>1</v>
      </c>
      <c r="S59" s="3">
        <f t="shared" si="49"/>
        <v>1</v>
      </c>
      <c r="T59" s="3">
        <f t="shared" si="49"/>
        <v>1</v>
      </c>
      <c r="U59" s="3">
        <f t="shared" si="49"/>
        <v>1</v>
      </c>
      <c r="V59" s="3">
        <f t="shared" si="49"/>
        <v>1</v>
      </c>
      <c r="W59" s="3">
        <f t="shared" si="49"/>
        <v>1</v>
      </c>
    </row>
    <row r="60" customHeight="1" spans="1:23">
      <c r="A60" s="2">
        <v>47</v>
      </c>
      <c r="B60" s="3">
        <f t="shared" ref="B60:W60" si="50">MIN(1,IF($A60&lt;B$4+B$3,0,IF(B$2=0,1,IF(B$5=0,1/(1+(B$6*EXP(-($A60-B$4)/B$7))),IF(MOD($A60-B$4,B$5)=0,1/(1+(B$6*EXP(-($A60-B$4)/B$7))),1/(1+(B$6*EXP(-(QUOTIENT($A60-B$4,B$5)*B$5)/B$7))))))))</f>
        <v>0.946811999073884</v>
      </c>
      <c r="C60" s="3">
        <f t="shared" si="50"/>
        <v>0.946811999073884</v>
      </c>
      <c r="D60" s="3" t="e">
        <f t="shared" si="50"/>
        <v>#DIV/0!</v>
      </c>
      <c r="E60" s="3" t="e">
        <f t="shared" si="50"/>
        <v>#REF!</v>
      </c>
      <c r="F60" s="3">
        <f t="shared" si="50"/>
        <v>0.9987606768444</v>
      </c>
      <c r="G60" s="3">
        <f t="shared" si="50"/>
        <v>0.9987606768444</v>
      </c>
      <c r="H60" s="3">
        <f t="shared" si="50"/>
        <v>0.946811999073884</v>
      </c>
      <c r="I60" s="3">
        <f t="shared" si="50"/>
        <v>0.946811999073884</v>
      </c>
      <c r="J60" s="3">
        <f t="shared" si="50"/>
        <v>1</v>
      </c>
      <c r="K60" s="3">
        <f t="shared" si="50"/>
        <v>0.946811999073884</v>
      </c>
      <c r="L60" s="3">
        <f t="shared" si="50"/>
        <v>0.946811999073884</v>
      </c>
      <c r="M60" s="3" t="e">
        <f t="shared" si="50"/>
        <v>#REF!</v>
      </c>
      <c r="N60" s="3">
        <f t="shared" si="50"/>
        <v>1</v>
      </c>
      <c r="O60" s="3">
        <f t="shared" si="50"/>
        <v>1</v>
      </c>
      <c r="P60" s="3">
        <f t="shared" si="50"/>
        <v>1</v>
      </c>
      <c r="Q60" s="3">
        <f t="shared" si="50"/>
        <v>1</v>
      </c>
      <c r="R60" s="3">
        <f t="shared" si="50"/>
        <v>1</v>
      </c>
      <c r="S60" s="3">
        <f t="shared" si="50"/>
        <v>1</v>
      </c>
      <c r="T60" s="3">
        <f t="shared" si="50"/>
        <v>1</v>
      </c>
      <c r="U60" s="3">
        <f t="shared" si="50"/>
        <v>1</v>
      </c>
      <c r="V60" s="3">
        <f t="shared" si="50"/>
        <v>1</v>
      </c>
      <c r="W60" s="3">
        <f t="shared" si="50"/>
        <v>1</v>
      </c>
    </row>
    <row r="61" customHeight="1" spans="1:23">
      <c r="A61" s="2">
        <v>48</v>
      </c>
      <c r="B61" s="3">
        <f t="shared" ref="B61:W61" si="51">MIN(1,IF($A61&lt;B$4+B$3,0,IF(B$2=0,1,IF(B$5=0,1/(1+(B$6*EXP(-($A61-B$4)/B$7))),IF(MOD($A61-B$4,B$5)=0,1/(1+(B$6*EXP(-($A61-B$4)/B$7))),1/(1+(B$6*EXP(-(QUOTIENT($A61-B$4,B$5)*B$5)/B$7))))))))</f>
        <v>0.952766556485151</v>
      </c>
      <c r="C61" s="3">
        <f t="shared" si="51"/>
        <v>0.952766556485151</v>
      </c>
      <c r="D61" s="3" t="e">
        <f t="shared" si="51"/>
        <v>#DIV/0!</v>
      </c>
      <c r="E61" s="3" t="e">
        <f t="shared" si="51"/>
        <v>#REF!</v>
      </c>
      <c r="F61" s="3">
        <f t="shared" si="51"/>
        <v>0.998985100021036</v>
      </c>
      <c r="G61" s="3">
        <f t="shared" si="51"/>
        <v>0.998985100021036</v>
      </c>
      <c r="H61" s="3">
        <f t="shared" si="51"/>
        <v>0.952766556485151</v>
      </c>
      <c r="I61" s="3">
        <f t="shared" si="51"/>
        <v>0.952766556485151</v>
      </c>
      <c r="J61" s="3">
        <f t="shared" si="51"/>
        <v>1</v>
      </c>
      <c r="K61" s="3">
        <f t="shared" si="51"/>
        <v>0.952766556485151</v>
      </c>
      <c r="L61" s="3">
        <f t="shared" si="51"/>
        <v>0.952766556485151</v>
      </c>
      <c r="M61" s="3" t="e">
        <f t="shared" si="51"/>
        <v>#REF!</v>
      </c>
      <c r="N61" s="3">
        <f t="shared" si="51"/>
        <v>1</v>
      </c>
      <c r="O61" s="3">
        <f t="shared" si="51"/>
        <v>1</v>
      </c>
      <c r="P61" s="3">
        <f t="shared" si="51"/>
        <v>1</v>
      </c>
      <c r="Q61" s="3">
        <f t="shared" si="51"/>
        <v>1</v>
      </c>
      <c r="R61" s="3">
        <f t="shared" si="51"/>
        <v>1</v>
      </c>
      <c r="S61" s="3">
        <f t="shared" si="51"/>
        <v>1</v>
      </c>
      <c r="T61" s="3">
        <f t="shared" si="51"/>
        <v>1</v>
      </c>
      <c r="U61" s="3">
        <f t="shared" si="51"/>
        <v>1</v>
      </c>
      <c r="V61" s="3">
        <f t="shared" si="51"/>
        <v>1</v>
      </c>
      <c r="W61" s="3">
        <f t="shared" si="51"/>
        <v>1</v>
      </c>
    </row>
    <row r="62" customHeight="1" spans="1:23">
      <c r="A62" s="2">
        <v>49</v>
      </c>
      <c r="B62" s="3">
        <f t="shared" ref="B62:W62" si="52">MIN(1,IF($A62&lt;B$4+B$3,0,IF(B$2=0,1,IF(B$5=0,1/(1+(B$6*EXP(-($A62-B$4)/B$7))),IF(MOD($A62-B$4,B$5)=0,1/(1+(B$6*EXP(-($A62-B$4)/B$7))),1/(1+(B$6*EXP(-(QUOTIENT($A62-B$4,B$5)*B$5)/B$7))))))))</f>
        <v>0.958083995392131</v>
      </c>
      <c r="C62" s="3">
        <f t="shared" si="52"/>
        <v>0.958083995392131</v>
      </c>
      <c r="D62" s="3" t="e">
        <f t="shared" si="52"/>
        <v>#DIV/0!</v>
      </c>
      <c r="E62" s="3" t="e">
        <f t="shared" si="52"/>
        <v>#REF!</v>
      </c>
      <c r="F62" s="3">
        <f t="shared" si="52"/>
        <v>0.999168917281507</v>
      </c>
      <c r="G62" s="3">
        <f t="shared" si="52"/>
        <v>0.999168917281507</v>
      </c>
      <c r="H62" s="3">
        <f t="shared" si="52"/>
        <v>0.958083995392131</v>
      </c>
      <c r="I62" s="3">
        <f t="shared" si="52"/>
        <v>0.958083995392131</v>
      </c>
      <c r="J62" s="3">
        <f t="shared" si="52"/>
        <v>1</v>
      </c>
      <c r="K62" s="3">
        <f t="shared" si="52"/>
        <v>0.958083995392131</v>
      </c>
      <c r="L62" s="3">
        <f t="shared" si="52"/>
        <v>0.958083995392131</v>
      </c>
      <c r="M62" s="3" t="e">
        <f t="shared" si="52"/>
        <v>#REF!</v>
      </c>
      <c r="N62" s="3">
        <f t="shared" si="52"/>
        <v>1</v>
      </c>
      <c r="O62" s="3">
        <f t="shared" si="52"/>
        <v>1</v>
      </c>
      <c r="P62" s="3">
        <f t="shared" si="52"/>
        <v>1</v>
      </c>
      <c r="Q62" s="3">
        <f t="shared" si="52"/>
        <v>1</v>
      </c>
      <c r="R62" s="3">
        <f t="shared" si="52"/>
        <v>1</v>
      </c>
      <c r="S62" s="3">
        <f t="shared" si="52"/>
        <v>1</v>
      </c>
      <c r="T62" s="3">
        <f t="shared" si="52"/>
        <v>1</v>
      </c>
      <c r="U62" s="3">
        <f t="shared" si="52"/>
        <v>1</v>
      </c>
      <c r="V62" s="3">
        <f t="shared" si="52"/>
        <v>1</v>
      </c>
      <c r="W62" s="3">
        <f t="shared" si="52"/>
        <v>1</v>
      </c>
    </row>
    <row r="63" customHeight="1" spans="1:23">
      <c r="A63" s="2">
        <v>50</v>
      </c>
      <c r="B63" s="3">
        <f t="shared" ref="B63:W63" si="53">MIN(1,IF($A63&lt;B$4+B$3,0,IF(B$2=0,1,IF(B$5=0,1/(1+(B$6*EXP(-($A63-B$4)/B$7))),IF(MOD($A63-B$4,B$5)=0,1/(1+(B$6*EXP(-($A63-B$4)/B$7))),1/(1+(B$6*EXP(-(QUOTIENT($A63-B$4,B$5)*B$5)/B$7))))))))</f>
        <v>0.962826164948152</v>
      </c>
      <c r="C63" s="3">
        <f t="shared" si="53"/>
        <v>0.962826164948152</v>
      </c>
      <c r="D63" s="3" t="e">
        <f t="shared" si="53"/>
        <v>#DIV/0!</v>
      </c>
      <c r="E63" s="3" t="e">
        <f t="shared" si="53"/>
        <v>#REF!</v>
      </c>
      <c r="F63" s="3">
        <f t="shared" si="53"/>
        <v>0.999319464497523</v>
      </c>
      <c r="G63" s="3">
        <f t="shared" si="53"/>
        <v>0.999319464497523</v>
      </c>
      <c r="H63" s="3">
        <f t="shared" si="53"/>
        <v>0.962826164948152</v>
      </c>
      <c r="I63" s="3">
        <f t="shared" si="53"/>
        <v>0.962826164948152</v>
      </c>
      <c r="J63" s="3">
        <f t="shared" si="53"/>
        <v>1</v>
      </c>
      <c r="K63" s="3">
        <f t="shared" si="53"/>
        <v>0.962826164948152</v>
      </c>
      <c r="L63" s="3">
        <f t="shared" si="53"/>
        <v>0.962826164948152</v>
      </c>
      <c r="M63" s="3" t="e">
        <f t="shared" si="53"/>
        <v>#REF!</v>
      </c>
      <c r="N63" s="3">
        <f t="shared" si="53"/>
        <v>1</v>
      </c>
      <c r="O63" s="3">
        <f t="shared" si="53"/>
        <v>1</v>
      </c>
      <c r="P63" s="3">
        <f t="shared" si="53"/>
        <v>1</v>
      </c>
      <c r="Q63" s="3">
        <f t="shared" si="53"/>
        <v>1</v>
      </c>
      <c r="R63" s="3">
        <f t="shared" si="53"/>
        <v>1</v>
      </c>
      <c r="S63" s="3">
        <f t="shared" si="53"/>
        <v>1</v>
      </c>
      <c r="T63" s="3">
        <f t="shared" si="53"/>
        <v>1</v>
      </c>
      <c r="U63" s="3">
        <f t="shared" si="53"/>
        <v>1</v>
      </c>
      <c r="V63" s="3">
        <f t="shared" si="53"/>
        <v>1</v>
      </c>
      <c r="W63" s="3">
        <f t="shared" si="53"/>
        <v>1</v>
      </c>
    </row>
    <row r="64" customHeight="1" spans="1:23">
      <c r="A64" s="2">
        <v>51</v>
      </c>
      <c r="B64" s="3">
        <f t="shared" ref="B64:W64" si="54">MIN(1,IF($A64&lt;B$4+B$3,0,IF(B$2=0,1,IF(B$5=0,1/(1+(B$6*EXP(-($A64-B$4)/B$7))),IF(MOD($A64-B$4,B$5)=0,1/(1+(B$6*EXP(-($A64-B$4)/B$7))),1/(1+(B$6*EXP(-(QUOTIENT($A64-B$4,B$5)*B$5)/B$7))))))))</f>
        <v>0.96705027998947</v>
      </c>
      <c r="C64" s="3">
        <f t="shared" si="54"/>
        <v>0.96705027998947</v>
      </c>
      <c r="D64" s="3" t="e">
        <f t="shared" si="54"/>
        <v>#DIV/0!</v>
      </c>
      <c r="E64" s="3" t="e">
        <f t="shared" si="54"/>
        <v>#REF!</v>
      </c>
      <c r="F64" s="3">
        <f t="shared" si="54"/>
        <v>0.999442755913842</v>
      </c>
      <c r="G64" s="3">
        <f t="shared" si="54"/>
        <v>0.999442755913842</v>
      </c>
      <c r="H64" s="3">
        <f t="shared" si="54"/>
        <v>0.96705027998947</v>
      </c>
      <c r="I64" s="3">
        <f t="shared" si="54"/>
        <v>0.96705027998947</v>
      </c>
      <c r="J64" s="3">
        <f t="shared" si="54"/>
        <v>1</v>
      </c>
      <c r="K64" s="3">
        <f t="shared" si="54"/>
        <v>0.96705027998947</v>
      </c>
      <c r="L64" s="3">
        <f t="shared" si="54"/>
        <v>0.96705027998947</v>
      </c>
      <c r="M64" s="3" t="e">
        <f t="shared" si="54"/>
        <v>#REF!</v>
      </c>
      <c r="N64" s="3">
        <f t="shared" si="54"/>
        <v>1</v>
      </c>
      <c r="O64" s="3">
        <f t="shared" si="54"/>
        <v>1</v>
      </c>
      <c r="P64" s="3">
        <f t="shared" si="54"/>
        <v>1</v>
      </c>
      <c r="Q64" s="3">
        <f t="shared" si="54"/>
        <v>1</v>
      </c>
      <c r="R64" s="3">
        <f t="shared" si="54"/>
        <v>1</v>
      </c>
      <c r="S64" s="3">
        <f t="shared" si="54"/>
        <v>1</v>
      </c>
      <c r="T64" s="3">
        <f t="shared" si="54"/>
        <v>1</v>
      </c>
      <c r="U64" s="3">
        <f t="shared" si="54"/>
        <v>1</v>
      </c>
      <c r="V64" s="3">
        <f t="shared" si="54"/>
        <v>1</v>
      </c>
      <c r="W64" s="3">
        <f t="shared" si="54"/>
        <v>1</v>
      </c>
    </row>
    <row r="65" customHeight="1" spans="1:23">
      <c r="A65" s="2">
        <v>52</v>
      </c>
      <c r="B65" s="3">
        <f t="shared" ref="B65:W65" si="55">MIN(1,IF($A65&lt;B$4+B$3,0,IF(B$2=0,1,IF(B$5=0,1/(1+(B$6*EXP(-($A65-B$4)/B$7))),IF(MOD($A65-B$4,B$5)=0,1/(1+(B$6*EXP(-($A65-B$4)/B$7))),1/(1+(B$6*EXP(-(QUOTIENT($A65-B$4,B$5)*B$5)/B$7))))))))</f>
        <v>0.970808955352586</v>
      </c>
      <c r="C65" s="3">
        <f t="shared" si="55"/>
        <v>0.970808955352586</v>
      </c>
      <c r="D65" s="3" t="e">
        <f t="shared" si="55"/>
        <v>#DIV/0!</v>
      </c>
      <c r="E65" s="3" t="e">
        <f t="shared" si="55"/>
        <v>#REF!</v>
      </c>
      <c r="F65" s="3">
        <f t="shared" si="55"/>
        <v>0.999543721040399</v>
      </c>
      <c r="G65" s="3">
        <f t="shared" si="55"/>
        <v>0.999543721040399</v>
      </c>
      <c r="H65" s="3">
        <f t="shared" si="55"/>
        <v>0.970808955352586</v>
      </c>
      <c r="I65" s="3">
        <f t="shared" si="55"/>
        <v>0.970808955352586</v>
      </c>
      <c r="J65" s="3">
        <f t="shared" si="55"/>
        <v>1</v>
      </c>
      <c r="K65" s="3">
        <f t="shared" si="55"/>
        <v>0.970808955352586</v>
      </c>
      <c r="L65" s="3">
        <f t="shared" si="55"/>
        <v>0.970808955352586</v>
      </c>
      <c r="M65" s="3" t="e">
        <f t="shared" si="55"/>
        <v>#REF!</v>
      </c>
      <c r="N65" s="3">
        <f t="shared" si="55"/>
        <v>1</v>
      </c>
      <c r="O65" s="3">
        <f t="shared" si="55"/>
        <v>1</v>
      </c>
      <c r="P65" s="3">
        <f t="shared" si="55"/>
        <v>1</v>
      </c>
      <c r="Q65" s="3">
        <f t="shared" si="55"/>
        <v>1</v>
      </c>
      <c r="R65" s="3">
        <f t="shared" si="55"/>
        <v>1</v>
      </c>
      <c r="S65" s="3">
        <f t="shared" si="55"/>
        <v>1</v>
      </c>
      <c r="T65" s="3">
        <f t="shared" si="55"/>
        <v>1</v>
      </c>
      <c r="U65" s="3">
        <f t="shared" si="55"/>
        <v>1</v>
      </c>
      <c r="V65" s="3">
        <f t="shared" si="55"/>
        <v>1</v>
      </c>
      <c r="W65" s="3">
        <f t="shared" si="55"/>
        <v>1</v>
      </c>
    </row>
    <row r="66" customHeight="1" spans="1:23">
      <c r="A66" s="2">
        <v>53</v>
      </c>
      <c r="B66" s="3">
        <f t="shared" ref="B66:W66" si="56">MIN(1,IF($A66&lt;B$4+B$3,0,IF(B$2=0,1,IF(B$5=0,1/(1+(B$6*EXP(-($A66-B$4)/B$7))),IF(MOD($A66-B$4,B$5)=0,1/(1+(B$6*EXP(-($A66-B$4)/B$7))),1/(1+(B$6*EXP(-(QUOTIENT($A66-B$4,B$5)*B$5)/B$7))))))))</f>
        <v>0.974150328154521</v>
      </c>
      <c r="C66" s="3">
        <f t="shared" si="56"/>
        <v>0.974150328154521</v>
      </c>
      <c r="D66" s="3" t="e">
        <f t="shared" si="56"/>
        <v>#DIV/0!</v>
      </c>
      <c r="E66" s="3" t="e">
        <f t="shared" si="56"/>
        <v>#REF!</v>
      </c>
      <c r="F66" s="3">
        <f t="shared" si="56"/>
        <v>0.999626399483539</v>
      </c>
      <c r="G66" s="3">
        <f t="shared" si="56"/>
        <v>0.999626399483539</v>
      </c>
      <c r="H66" s="3">
        <f t="shared" si="56"/>
        <v>0.974150328154521</v>
      </c>
      <c r="I66" s="3">
        <f t="shared" si="56"/>
        <v>0.974150328154521</v>
      </c>
      <c r="J66" s="3">
        <f t="shared" si="56"/>
        <v>1</v>
      </c>
      <c r="K66" s="3">
        <f t="shared" si="56"/>
        <v>0.974150328154521</v>
      </c>
      <c r="L66" s="3">
        <f t="shared" si="56"/>
        <v>0.974150328154521</v>
      </c>
      <c r="M66" s="3" t="e">
        <f t="shared" si="56"/>
        <v>#REF!</v>
      </c>
      <c r="N66" s="3">
        <f t="shared" si="56"/>
        <v>1</v>
      </c>
      <c r="O66" s="3">
        <f t="shared" si="56"/>
        <v>1</v>
      </c>
      <c r="P66" s="3">
        <f t="shared" si="56"/>
        <v>1</v>
      </c>
      <c r="Q66" s="3">
        <f t="shared" si="56"/>
        <v>1</v>
      </c>
      <c r="R66" s="3">
        <f t="shared" si="56"/>
        <v>1</v>
      </c>
      <c r="S66" s="3">
        <f t="shared" si="56"/>
        <v>1</v>
      </c>
      <c r="T66" s="3">
        <f t="shared" si="56"/>
        <v>1</v>
      </c>
      <c r="U66" s="3">
        <f t="shared" si="56"/>
        <v>1</v>
      </c>
      <c r="V66" s="3">
        <f t="shared" si="56"/>
        <v>1</v>
      </c>
      <c r="W66" s="3">
        <f t="shared" si="56"/>
        <v>1</v>
      </c>
    </row>
    <row r="67" customHeight="1" spans="1:23">
      <c r="A67" s="2">
        <v>54</v>
      </c>
      <c r="B67" s="3">
        <f t="shared" ref="B67:W67" si="57">MIN(1,IF($A67&lt;B$4+B$3,0,IF(B$2=0,1,IF(B$5=0,1/(1+(B$6*EXP(-($A67-B$4)/B$7))),IF(MOD($A67-B$4,B$5)=0,1/(1+(B$6*EXP(-($A67-B$4)/B$7))),1/(1+(B$6*EXP(-(QUOTIENT($A67-B$4,B$5)*B$5)/B$7))))))))</f>
        <v>0.977118243237792</v>
      </c>
      <c r="C67" s="3">
        <f t="shared" si="57"/>
        <v>0.977118243237792</v>
      </c>
      <c r="D67" s="3" t="e">
        <f t="shared" si="57"/>
        <v>#DIV/0!</v>
      </c>
      <c r="E67" s="3" t="e">
        <f t="shared" si="57"/>
        <v>#REF!</v>
      </c>
      <c r="F67" s="3">
        <f t="shared" si="57"/>
        <v>0.999694101051632</v>
      </c>
      <c r="G67" s="3">
        <f t="shared" si="57"/>
        <v>0.999694101051632</v>
      </c>
      <c r="H67" s="3">
        <f t="shared" si="57"/>
        <v>0.977118243237792</v>
      </c>
      <c r="I67" s="3">
        <f t="shared" si="57"/>
        <v>0.977118243237792</v>
      </c>
      <c r="J67" s="3">
        <f t="shared" si="57"/>
        <v>1</v>
      </c>
      <c r="K67" s="3">
        <f t="shared" si="57"/>
        <v>0.977118243237792</v>
      </c>
      <c r="L67" s="3">
        <f t="shared" si="57"/>
        <v>0.977118243237792</v>
      </c>
      <c r="M67" s="3" t="e">
        <f t="shared" si="57"/>
        <v>#REF!</v>
      </c>
      <c r="N67" s="3">
        <f t="shared" si="57"/>
        <v>1</v>
      </c>
      <c r="O67" s="3">
        <f t="shared" si="57"/>
        <v>1</v>
      </c>
      <c r="P67" s="3">
        <f t="shared" si="57"/>
        <v>1</v>
      </c>
      <c r="Q67" s="3">
        <f t="shared" si="57"/>
        <v>1</v>
      </c>
      <c r="R67" s="3">
        <f t="shared" si="57"/>
        <v>1</v>
      </c>
      <c r="S67" s="3">
        <f t="shared" si="57"/>
        <v>1</v>
      </c>
      <c r="T67" s="3">
        <f t="shared" si="57"/>
        <v>1</v>
      </c>
      <c r="U67" s="3">
        <f t="shared" si="57"/>
        <v>1</v>
      </c>
      <c r="V67" s="3">
        <f t="shared" si="57"/>
        <v>1</v>
      </c>
      <c r="W67" s="3">
        <f t="shared" si="57"/>
        <v>1</v>
      </c>
    </row>
    <row r="68" customHeight="1" spans="1:23">
      <c r="A68" s="2">
        <v>55</v>
      </c>
      <c r="B68" s="3">
        <f t="shared" ref="B68:W68" si="58">MIN(1,IF($A68&lt;B$4+B$3,0,IF(B$2=0,1,IF(B$5=0,1/(1+(B$6*EXP(-($A68-B$4)/B$7))),IF(MOD($A68-B$4,B$5)=0,1/(1+(B$6*EXP(-($A68-B$4)/B$7))),1/(1+(B$6*EXP(-(QUOTIENT($A68-B$4,B$5)*B$5)/B$7))))))))</f>
        <v>0.979752481488378</v>
      </c>
      <c r="C68" s="3">
        <f t="shared" si="58"/>
        <v>0.979752481488378</v>
      </c>
      <c r="D68" s="3" t="e">
        <f t="shared" si="58"/>
        <v>#DIV/0!</v>
      </c>
      <c r="E68" s="3" t="e">
        <f t="shared" si="58"/>
        <v>#REF!</v>
      </c>
      <c r="F68" s="3">
        <f t="shared" si="58"/>
        <v>0.999749537235459</v>
      </c>
      <c r="G68" s="3">
        <f t="shared" si="58"/>
        <v>0.999749537235459</v>
      </c>
      <c r="H68" s="3">
        <f t="shared" si="58"/>
        <v>0.979752481488378</v>
      </c>
      <c r="I68" s="3">
        <f t="shared" si="58"/>
        <v>0.979752481488378</v>
      </c>
      <c r="J68" s="3">
        <f t="shared" si="58"/>
        <v>1</v>
      </c>
      <c r="K68" s="3">
        <f t="shared" si="58"/>
        <v>0.979752481488378</v>
      </c>
      <c r="L68" s="3">
        <f t="shared" si="58"/>
        <v>0.979752481488378</v>
      </c>
      <c r="M68" s="3" t="e">
        <f t="shared" si="58"/>
        <v>#REF!</v>
      </c>
      <c r="N68" s="3">
        <f t="shared" si="58"/>
        <v>1</v>
      </c>
      <c r="O68" s="3">
        <f t="shared" si="58"/>
        <v>1</v>
      </c>
      <c r="P68" s="3">
        <f t="shared" si="58"/>
        <v>1</v>
      </c>
      <c r="Q68" s="3">
        <f t="shared" si="58"/>
        <v>1</v>
      </c>
      <c r="R68" s="3">
        <f t="shared" si="58"/>
        <v>1</v>
      </c>
      <c r="S68" s="3">
        <f t="shared" si="58"/>
        <v>1</v>
      </c>
      <c r="T68" s="3">
        <f t="shared" si="58"/>
        <v>1</v>
      </c>
      <c r="U68" s="3">
        <f t="shared" si="58"/>
        <v>1</v>
      </c>
      <c r="V68" s="3">
        <f t="shared" si="58"/>
        <v>1</v>
      </c>
      <c r="W68" s="3">
        <f t="shared" si="58"/>
        <v>1</v>
      </c>
    </row>
    <row r="69" customHeight="1" spans="1:23">
      <c r="A69" s="2">
        <v>56</v>
      </c>
      <c r="B69" s="3">
        <f t="shared" ref="B69:W69" si="59">MIN(1,IF($A69&lt;B$4+B$3,0,IF(B$2=0,1,IF(B$5=0,1/(1+(B$6*EXP(-($A69-B$4)/B$7))),IF(MOD($A69-B$4,B$5)=0,1/(1+(B$6*EXP(-($A69-B$4)/B$7))),1/(1+(B$6*EXP(-(QUOTIENT($A69-B$4,B$5)*B$5)/B$7))))))))</f>
        <v>0.982089014777111</v>
      </c>
      <c r="C69" s="3">
        <f t="shared" si="59"/>
        <v>0.982089014777111</v>
      </c>
      <c r="D69" s="3" t="e">
        <f t="shared" si="59"/>
        <v>#DIV/0!</v>
      </c>
      <c r="E69" s="3" t="e">
        <f t="shared" si="59"/>
        <v>#REF!</v>
      </c>
      <c r="F69" s="3">
        <f t="shared" si="59"/>
        <v>0.999794929121706</v>
      </c>
      <c r="G69" s="3">
        <f t="shared" si="59"/>
        <v>0.999794929121706</v>
      </c>
      <c r="H69" s="3">
        <f t="shared" si="59"/>
        <v>0.982089014777111</v>
      </c>
      <c r="I69" s="3">
        <f t="shared" si="59"/>
        <v>0.982089014777111</v>
      </c>
      <c r="J69" s="3">
        <f t="shared" si="59"/>
        <v>1</v>
      </c>
      <c r="K69" s="3">
        <f t="shared" si="59"/>
        <v>0.982089014777111</v>
      </c>
      <c r="L69" s="3">
        <f t="shared" si="59"/>
        <v>0.982089014777111</v>
      </c>
      <c r="M69" s="3" t="e">
        <f t="shared" si="59"/>
        <v>#REF!</v>
      </c>
      <c r="N69" s="3">
        <f t="shared" si="59"/>
        <v>1</v>
      </c>
      <c r="O69" s="3">
        <f t="shared" si="59"/>
        <v>1</v>
      </c>
      <c r="P69" s="3">
        <f t="shared" si="59"/>
        <v>1</v>
      </c>
      <c r="Q69" s="3">
        <f t="shared" si="59"/>
        <v>1</v>
      </c>
      <c r="R69" s="3">
        <f t="shared" si="59"/>
        <v>1</v>
      </c>
      <c r="S69" s="3">
        <f t="shared" si="59"/>
        <v>1</v>
      </c>
      <c r="T69" s="3">
        <f t="shared" si="59"/>
        <v>1</v>
      </c>
      <c r="U69" s="3">
        <f t="shared" si="59"/>
        <v>1</v>
      </c>
      <c r="V69" s="3">
        <f t="shared" si="59"/>
        <v>1</v>
      </c>
      <c r="W69" s="3">
        <f t="shared" si="59"/>
        <v>1</v>
      </c>
    </row>
    <row r="70" customHeight="1" spans="1:23">
      <c r="A70" s="2">
        <v>57</v>
      </c>
      <c r="B70" s="3">
        <f t="shared" ref="B70:W70" si="60">MIN(1,IF($A70&lt;B$4+B$3,0,IF(B$2=0,1,IF(B$5=0,1/(1+(B$6*EXP(-($A70-B$4)/B$7))),IF(MOD($A70-B$4,B$5)=0,1/(1+(B$6*EXP(-($A70-B$4)/B$7))),1/(1+(B$6*EXP(-(QUOTIENT($A70-B$4,B$5)*B$5)/B$7))))))))</f>
        <v>0.984160274792425</v>
      </c>
      <c r="C70" s="3">
        <f t="shared" si="60"/>
        <v>0.984160274792425</v>
      </c>
      <c r="D70" s="3" t="e">
        <f t="shared" si="60"/>
        <v>#DIV/0!</v>
      </c>
      <c r="E70" s="3" t="e">
        <f t="shared" si="60"/>
        <v>#REF!</v>
      </c>
      <c r="F70" s="3">
        <f t="shared" si="60"/>
        <v>0.999832095923874</v>
      </c>
      <c r="G70" s="3">
        <f t="shared" si="60"/>
        <v>0.999832095923874</v>
      </c>
      <c r="H70" s="3">
        <f t="shared" si="60"/>
        <v>0.984160274792425</v>
      </c>
      <c r="I70" s="3">
        <f t="shared" si="60"/>
        <v>0.984160274792425</v>
      </c>
      <c r="J70" s="3">
        <f t="shared" si="60"/>
        <v>1</v>
      </c>
      <c r="K70" s="3">
        <f t="shared" si="60"/>
        <v>0.984160274792425</v>
      </c>
      <c r="L70" s="3">
        <f t="shared" si="60"/>
        <v>0.984160274792425</v>
      </c>
      <c r="M70" s="3" t="e">
        <f t="shared" si="60"/>
        <v>#REF!</v>
      </c>
      <c r="N70" s="3">
        <f t="shared" si="60"/>
        <v>1</v>
      </c>
      <c r="O70" s="3">
        <f t="shared" si="60"/>
        <v>1</v>
      </c>
      <c r="P70" s="3">
        <f t="shared" si="60"/>
        <v>1</v>
      </c>
      <c r="Q70" s="3">
        <f t="shared" si="60"/>
        <v>1</v>
      </c>
      <c r="R70" s="3">
        <f t="shared" si="60"/>
        <v>1</v>
      </c>
      <c r="S70" s="3">
        <f t="shared" si="60"/>
        <v>1</v>
      </c>
      <c r="T70" s="3">
        <f t="shared" si="60"/>
        <v>1</v>
      </c>
      <c r="U70" s="3">
        <f t="shared" si="60"/>
        <v>1</v>
      </c>
      <c r="V70" s="3">
        <f t="shared" si="60"/>
        <v>1</v>
      </c>
      <c r="W70" s="3">
        <f t="shared" si="60"/>
        <v>1</v>
      </c>
    </row>
    <row r="71" customHeight="1" spans="1:23">
      <c r="A71" s="2">
        <v>58</v>
      </c>
      <c r="B71" s="3">
        <f t="shared" ref="B71:W71" si="61">MIN(1,IF($A71&lt;B$4+B$3,0,IF(B$2=0,1,IF(B$5=0,1/(1+(B$6*EXP(-($A71-B$4)/B$7))),IF(MOD($A71-B$4,B$5)=0,1/(1+(B$6*EXP(-($A71-B$4)/B$7))),1/(1+(B$6*EXP(-(QUOTIENT($A71-B$4,B$5)*B$5)/B$7))))))))</f>
        <v>0.985995426018515</v>
      </c>
      <c r="C71" s="3">
        <f t="shared" si="61"/>
        <v>0.985995426018515</v>
      </c>
      <c r="D71" s="3" t="e">
        <f t="shared" si="61"/>
        <v>#DIV/0!</v>
      </c>
      <c r="E71" s="3" t="e">
        <f t="shared" si="61"/>
        <v>#REF!</v>
      </c>
      <c r="F71" s="3">
        <f t="shared" si="61"/>
        <v>0.99986252758522</v>
      </c>
      <c r="G71" s="3">
        <f t="shared" si="61"/>
        <v>0.99986252758522</v>
      </c>
      <c r="H71" s="3">
        <f t="shared" si="61"/>
        <v>0.985995426018515</v>
      </c>
      <c r="I71" s="3">
        <f t="shared" si="61"/>
        <v>0.985995426018515</v>
      </c>
      <c r="J71" s="3">
        <f t="shared" si="61"/>
        <v>1</v>
      </c>
      <c r="K71" s="3">
        <f t="shared" si="61"/>
        <v>0.985995426018515</v>
      </c>
      <c r="L71" s="3">
        <f t="shared" si="61"/>
        <v>0.985995426018515</v>
      </c>
      <c r="M71" s="3" t="e">
        <f t="shared" si="61"/>
        <v>#REF!</v>
      </c>
      <c r="N71" s="3">
        <f t="shared" si="61"/>
        <v>1</v>
      </c>
      <c r="O71" s="3">
        <f t="shared" si="61"/>
        <v>1</v>
      </c>
      <c r="P71" s="3">
        <f t="shared" si="61"/>
        <v>1</v>
      </c>
      <c r="Q71" s="3">
        <f t="shared" si="61"/>
        <v>1</v>
      </c>
      <c r="R71" s="3">
        <f t="shared" si="61"/>
        <v>1</v>
      </c>
      <c r="S71" s="3">
        <f t="shared" si="61"/>
        <v>1</v>
      </c>
      <c r="T71" s="3">
        <f t="shared" si="61"/>
        <v>1</v>
      </c>
      <c r="U71" s="3">
        <f t="shared" si="61"/>
        <v>1</v>
      </c>
      <c r="V71" s="3">
        <f t="shared" si="61"/>
        <v>1</v>
      </c>
      <c r="W71" s="3">
        <f t="shared" si="61"/>
        <v>1</v>
      </c>
    </row>
    <row r="72" customHeight="1" spans="1:23">
      <c r="A72" s="2">
        <v>59</v>
      </c>
      <c r="B72" s="3">
        <f t="shared" ref="B72:W72" si="62">MIN(1,IF($A72&lt;B$4+B$3,0,IF(B$2=0,1,IF(B$5=0,1/(1+(B$6*EXP(-($A72-B$4)/B$7))),IF(MOD($A72-B$4,B$5)=0,1/(1+(B$6*EXP(-($A72-B$4)/B$7))),1/(1+(B$6*EXP(-(QUOTIENT($A72-B$4,B$5)*B$5)/B$7))))))))</f>
        <v>0.987620635594684</v>
      </c>
      <c r="C72" s="3">
        <f t="shared" si="62"/>
        <v>0.987620635594684</v>
      </c>
      <c r="D72" s="3" t="e">
        <f t="shared" si="62"/>
        <v>#DIV/0!</v>
      </c>
      <c r="E72" s="3" t="e">
        <f t="shared" si="62"/>
        <v>#REF!</v>
      </c>
      <c r="F72" s="3">
        <f t="shared" si="62"/>
        <v>0.999887444301485</v>
      </c>
      <c r="G72" s="3">
        <f t="shared" si="62"/>
        <v>0.999887444301485</v>
      </c>
      <c r="H72" s="3">
        <f t="shared" si="62"/>
        <v>0.987620635594684</v>
      </c>
      <c r="I72" s="3">
        <f t="shared" si="62"/>
        <v>0.987620635594684</v>
      </c>
      <c r="J72" s="3">
        <f t="shared" si="62"/>
        <v>1</v>
      </c>
      <c r="K72" s="3">
        <f t="shared" si="62"/>
        <v>0.987620635594684</v>
      </c>
      <c r="L72" s="3">
        <f t="shared" si="62"/>
        <v>0.987620635594684</v>
      </c>
      <c r="M72" s="3" t="e">
        <f t="shared" si="62"/>
        <v>#REF!</v>
      </c>
      <c r="N72" s="3">
        <f t="shared" si="62"/>
        <v>1</v>
      </c>
      <c r="O72" s="3">
        <f t="shared" si="62"/>
        <v>1</v>
      </c>
      <c r="P72" s="3">
        <f t="shared" si="62"/>
        <v>1</v>
      </c>
      <c r="Q72" s="3">
        <f t="shared" si="62"/>
        <v>1</v>
      </c>
      <c r="R72" s="3">
        <f t="shared" si="62"/>
        <v>1</v>
      </c>
      <c r="S72" s="3">
        <f t="shared" si="62"/>
        <v>1</v>
      </c>
      <c r="T72" s="3">
        <f t="shared" si="62"/>
        <v>1</v>
      </c>
      <c r="U72" s="3">
        <f t="shared" si="62"/>
        <v>1</v>
      </c>
      <c r="V72" s="3">
        <f t="shared" si="62"/>
        <v>1</v>
      </c>
      <c r="W72" s="3">
        <f t="shared" si="62"/>
        <v>1</v>
      </c>
    </row>
    <row r="73" customHeight="1" spans="1:23">
      <c r="A73" s="2">
        <v>60</v>
      </c>
      <c r="B73" s="3">
        <f t="shared" ref="B73:W73" si="63">MIN(1,IF($A73&lt;B$4+B$3,0,IF(B$2=0,1,IF(B$5=0,1/(1+(B$6*EXP(-($A73-B$4)/B$7))),IF(MOD($A73-B$4,B$5)=0,1/(1+(B$6*EXP(-($A73-B$4)/B$7))),1/(1+(B$6*EXP(-(QUOTIENT($A73-B$4,B$5)*B$5)/B$7))))))))</f>
        <v>0.989059334815297</v>
      </c>
      <c r="C73" s="3">
        <f t="shared" si="63"/>
        <v>0.989059334815297</v>
      </c>
      <c r="D73" s="3" t="e">
        <f t="shared" si="63"/>
        <v>#DIV/0!</v>
      </c>
      <c r="E73" s="3" t="e">
        <f t="shared" si="63"/>
        <v>#REF!</v>
      </c>
      <c r="F73" s="3">
        <f t="shared" si="63"/>
        <v>0.99990784530797</v>
      </c>
      <c r="G73" s="3">
        <f t="shared" si="63"/>
        <v>0.99990784530797</v>
      </c>
      <c r="H73" s="3">
        <f t="shared" si="63"/>
        <v>0.989059334815297</v>
      </c>
      <c r="I73" s="3">
        <f t="shared" si="63"/>
        <v>0.989059334815297</v>
      </c>
      <c r="J73" s="3">
        <f t="shared" si="63"/>
        <v>1</v>
      </c>
      <c r="K73" s="3">
        <f t="shared" si="63"/>
        <v>0.989059334815297</v>
      </c>
      <c r="L73" s="3">
        <f t="shared" si="63"/>
        <v>0.989059334815297</v>
      </c>
      <c r="M73" s="3" t="e">
        <f t="shared" si="63"/>
        <v>#REF!</v>
      </c>
      <c r="N73" s="3">
        <f t="shared" si="63"/>
        <v>1</v>
      </c>
      <c r="O73" s="3">
        <f t="shared" si="63"/>
        <v>1</v>
      </c>
      <c r="P73" s="3">
        <f t="shared" si="63"/>
        <v>1</v>
      </c>
      <c r="Q73" s="3">
        <f t="shared" si="63"/>
        <v>1</v>
      </c>
      <c r="R73" s="3">
        <f t="shared" si="63"/>
        <v>1</v>
      </c>
      <c r="S73" s="3">
        <f t="shared" si="63"/>
        <v>1</v>
      </c>
      <c r="T73" s="3">
        <f t="shared" si="63"/>
        <v>1</v>
      </c>
      <c r="U73" s="3">
        <f t="shared" si="63"/>
        <v>1</v>
      </c>
      <c r="V73" s="3">
        <f t="shared" si="63"/>
        <v>1</v>
      </c>
      <c r="W73" s="3">
        <f t="shared" si="63"/>
        <v>1</v>
      </c>
    </row>
    <row r="74" customHeight="1" spans="1:23">
      <c r="A74" s="2">
        <v>61</v>
      </c>
      <c r="B74" s="3">
        <f t="shared" ref="B74:W74" si="64">MIN(1,IF($A74&lt;B$4+B$3,0,IF(B$2=0,1,IF(B$5=0,1/(1+(B$6*EXP(-($A74-B$4)/B$7))),IF(MOD($A74-B$4,B$5)=0,1/(1+(B$6*EXP(-($A74-B$4)/B$7))),1/(1+(B$6*EXP(-(QUOTIENT($A74-B$4,B$5)*B$5)/B$7))))))))</f>
        <v>0.990332468650894</v>
      </c>
      <c r="C74" s="3">
        <f t="shared" si="64"/>
        <v>0.990332468650894</v>
      </c>
      <c r="D74" s="3" t="e">
        <f t="shared" si="64"/>
        <v>#DIV/0!</v>
      </c>
      <c r="E74" s="3" t="e">
        <f t="shared" si="64"/>
        <v>#REF!</v>
      </c>
      <c r="F74" s="3">
        <f t="shared" si="64"/>
        <v>0.999924548859198</v>
      </c>
      <c r="G74" s="3">
        <f t="shared" si="64"/>
        <v>0.999924548859198</v>
      </c>
      <c r="H74" s="3">
        <f t="shared" si="64"/>
        <v>0.990332468650894</v>
      </c>
      <c r="I74" s="3">
        <f t="shared" si="64"/>
        <v>0.990332468650894</v>
      </c>
      <c r="J74" s="3">
        <f t="shared" si="64"/>
        <v>1</v>
      </c>
      <c r="K74" s="3">
        <f t="shared" si="64"/>
        <v>0.990332468650894</v>
      </c>
      <c r="L74" s="3">
        <f t="shared" si="64"/>
        <v>0.990332468650894</v>
      </c>
      <c r="M74" s="3" t="e">
        <f t="shared" si="64"/>
        <v>#REF!</v>
      </c>
      <c r="N74" s="3">
        <f t="shared" si="64"/>
        <v>1</v>
      </c>
      <c r="O74" s="3">
        <f t="shared" si="64"/>
        <v>1</v>
      </c>
      <c r="P74" s="3">
        <f t="shared" si="64"/>
        <v>1</v>
      </c>
      <c r="Q74" s="3">
        <f t="shared" si="64"/>
        <v>1</v>
      </c>
      <c r="R74" s="3">
        <f t="shared" si="64"/>
        <v>1</v>
      </c>
      <c r="S74" s="3">
        <f t="shared" si="64"/>
        <v>1</v>
      </c>
      <c r="T74" s="3">
        <f t="shared" si="64"/>
        <v>1</v>
      </c>
      <c r="U74" s="3">
        <f t="shared" si="64"/>
        <v>1</v>
      </c>
      <c r="V74" s="3">
        <f t="shared" si="64"/>
        <v>1</v>
      </c>
      <c r="W74" s="3">
        <f t="shared" si="64"/>
        <v>1</v>
      </c>
    </row>
    <row r="75" customHeight="1" spans="1:23">
      <c r="A75" s="2">
        <v>62</v>
      </c>
      <c r="B75" s="3">
        <f t="shared" ref="B75:W75" si="65">MIN(1,IF($A75&lt;B$4+B$3,0,IF(B$2=0,1,IF(B$5=0,1/(1+(B$6*EXP(-($A75-B$4)/B$7))),IF(MOD($A75-B$4,B$5)=0,1/(1+(B$6*EXP(-($A75-B$4)/B$7))),1/(1+(B$6*EXP(-(QUOTIENT($A75-B$4,B$5)*B$5)/B$7))))))))</f>
        <v>0.991458730947118</v>
      </c>
      <c r="C75" s="3">
        <f t="shared" si="65"/>
        <v>0.991458730947118</v>
      </c>
      <c r="D75" s="3" t="e">
        <f t="shared" si="65"/>
        <v>#DIV/0!</v>
      </c>
      <c r="E75" s="3" t="e">
        <f t="shared" si="65"/>
        <v>#REF!</v>
      </c>
      <c r="F75" s="3">
        <f t="shared" si="65"/>
        <v>0.999938224985775</v>
      </c>
      <c r="G75" s="3">
        <f t="shared" si="65"/>
        <v>0.999938224985775</v>
      </c>
      <c r="H75" s="3">
        <f t="shared" si="65"/>
        <v>0.991458730947118</v>
      </c>
      <c r="I75" s="3">
        <f t="shared" si="65"/>
        <v>0.991458730947118</v>
      </c>
      <c r="J75" s="3">
        <f t="shared" si="65"/>
        <v>1</v>
      </c>
      <c r="K75" s="3">
        <f t="shared" si="65"/>
        <v>0.991458730947118</v>
      </c>
      <c r="L75" s="3">
        <f t="shared" si="65"/>
        <v>0.991458730947118</v>
      </c>
      <c r="M75" s="3" t="e">
        <f t="shared" si="65"/>
        <v>#REF!</v>
      </c>
      <c r="N75" s="3">
        <f t="shared" si="65"/>
        <v>1</v>
      </c>
      <c r="O75" s="3">
        <f t="shared" si="65"/>
        <v>1</v>
      </c>
      <c r="P75" s="3">
        <f t="shared" si="65"/>
        <v>1</v>
      </c>
      <c r="Q75" s="3">
        <f t="shared" si="65"/>
        <v>1</v>
      </c>
      <c r="R75" s="3">
        <f t="shared" si="65"/>
        <v>1</v>
      </c>
      <c r="S75" s="3">
        <f t="shared" si="65"/>
        <v>1</v>
      </c>
      <c r="T75" s="3">
        <f t="shared" si="65"/>
        <v>1</v>
      </c>
      <c r="U75" s="3">
        <f t="shared" si="65"/>
        <v>1</v>
      </c>
      <c r="V75" s="3">
        <f t="shared" si="65"/>
        <v>1</v>
      </c>
      <c r="W75" s="3">
        <f t="shared" si="65"/>
        <v>1</v>
      </c>
    </row>
    <row r="76" customHeight="1" spans="1:23">
      <c r="A76" s="2">
        <v>63</v>
      </c>
      <c r="B76" s="3">
        <f t="shared" ref="B76:W76" si="66">MIN(1,IF($A76&lt;B$4+B$3,0,IF(B$2=0,1,IF(B$5=0,1/(1+(B$6*EXP(-($A76-B$4)/B$7))),IF(MOD($A76-B$4,B$5)=0,1/(1+(B$6*EXP(-($A76-B$4)/B$7))),1/(1+(B$6*EXP(-(QUOTIENT($A76-B$4,B$5)*B$5)/B$7))))))))</f>
        <v>0.992454783944929</v>
      </c>
      <c r="C76" s="3">
        <f t="shared" si="66"/>
        <v>0.992454783944929</v>
      </c>
      <c r="D76" s="3" t="e">
        <f t="shared" si="66"/>
        <v>#DIV/0!</v>
      </c>
      <c r="E76" s="3" t="e">
        <f t="shared" si="66"/>
        <v>#REF!</v>
      </c>
      <c r="F76" s="3">
        <f t="shared" si="66"/>
        <v>0.999949422329718</v>
      </c>
      <c r="G76" s="3">
        <f t="shared" si="66"/>
        <v>0.999949422329718</v>
      </c>
      <c r="H76" s="3">
        <f t="shared" si="66"/>
        <v>0.992454783944929</v>
      </c>
      <c r="I76" s="3">
        <f t="shared" si="66"/>
        <v>0.992454783944929</v>
      </c>
      <c r="J76" s="3">
        <f t="shared" si="66"/>
        <v>1</v>
      </c>
      <c r="K76" s="3">
        <f t="shared" si="66"/>
        <v>0.992454783944929</v>
      </c>
      <c r="L76" s="3">
        <f t="shared" si="66"/>
        <v>0.992454783944929</v>
      </c>
      <c r="M76" s="3" t="e">
        <f t="shared" si="66"/>
        <v>#REF!</v>
      </c>
      <c r="N76" s="3">
        <f t="shared" si="66"/>
        <v>1</v>
      </c>
      <c r="O76" s="3">
        <f t="shared" si="66"/>
        <v>1</v>
      </c>
      <c r="P76" s="3">
        <f t="shared" si="66"/>
        <v>1</v>
      </c>
      <c r="Q76" s="3">
        <f t="shared" si="66"/>
        <v>1</v>
      </c>
      <c r="R76" s="3">
        <f t="shared" si="66"/>
        <v>1</v>
      </c>
      <c r="S76" s="3">
        <f t="shared" si="66"/>
        <v>1</v>
      </c>
      <c r="T76" s="3">
        <f t="shared" si="66"/>
        <v>1</v>
      </c>
      <c r="U76" s="3">
        <f t="shared" si="66"/>
        <v>1</v>
      </c>
      <c r="V76" s="3">
        <f t="shared" si="66"/>
        <v>1</v>
      </c>
      <c r="W76" s="3">
        <f t="shared" si="66"/>
        <v>1</v>
      </c>
    </row>
    <row r="77" customHeight="1" spans="1:23">
      <c r="A77" s="2">
        <v>64</v>
      </c>
      <c r="B77" s="3">
        <f t="shared" ref="B77:W77" si="67">MIN(1,IF($A77&lt;B$4+B$3,0,IF(B$2=0,1,IF(B$5=0,1/(1+(B$6*EXP(-($A77-B$4)/B$7))),IF(MOD($A77-B$4,B$5)=0,1/(1+(B$6*EXP(-($A77-B$4)/B$7))),1/(1+(B$6*EXP(-(QUOTIENT($A77-B$4,B$5)*B$5)/B$7))))))))</f>
        <v>0.993335461513836</v>
      </c>
      <c r="C77" s="3">
        <f t="shared" si="67"/>
        <v>0.993335461513836</v>
      </c>
      <c r="D77" s="3" t="e">
        <f t="shared" si="67"/>
        <v>#DIV/0!</v>
      </c>
      <c r="E77" s="3" t="e">
        <f t="shared" si="67"/>
        <v>#REF!</v>
      </c>
      <c r="F77" s="3">
        <f t="shared" si="67"/>
        <v>0.999958590126268</v>
      </c>
      <c r="G77" s="3">
        <f t="shared" si="67"/>
        <v>0.999958590126268</v>
      </c>
      <c r="H77" s="3">
        <f t="shared" si="67"/>
        <v>0.993335461513836</v>
      </c>
      <c r="I77" s="3">
        <f t="shared" si="67"/>
        <v>0.993335461513836</v>
      </c>
      <c r="J77" s="3">
        <f t="shared" si="67"/>
        <v>1</v>
      </c>
      <c r="K77" s="3">
        <f t="shared" si="67"/>
        <v>0.993335461513836</v>
      </c>
      <c r="L77" s="3">
        <f t="shared" si="67"/>
        <v>0.993335461513836</v>
      </c>
      <c r="M77" s="3" t="e">
        <f t="shared" si="67"/>
        <v>#REF!</v>
      </c>
      <c r="N77" s="3">
        <f t="shared" si="67"/>
        <v>1</v>
      </c>
      <c r="O77" s="3">
        <f t="shared" si="67"/>
        <v>1</v>
      </c>
      <c r="P77" s="3">
        <f t="shared" si="67"/>
        <v>1</v>
      </c>
      <c r="Q77" s="3">
        <f t="shared" si="67"/>
        <v>1</v>
      </c>
      <c r="R77" s="3">
        <f t="shared" si="67"/>
        <v>1</v>
      </c>
      <c r="S77" s="3">
        <f t="shared" si="67"/>
        <v>1</v>
      </c>
      <c r="T77" s="3">
        <f t="shared" si="67"/>
        <v>1</v>
      </c>
      <c r="U77" s="3">
        <f t="shared" si="67"/>
        <v>1</v>
      </c>
      <c r="V77" s="3">
        <f t="shared" si="67"/>
        <v>1</v>
      </c>
      <c r="W77" s="3">
        <f t="shared" si="67"/>
        <v>1</v>
      </c>
    </row>
    <row r="78" customHeight="1" spans="1:23">
      <c r="A78" s="2">
        <v>65</v>
      </c>
      <c r="B78" s="3">
        <f t="shared" ref="B78:W78" si="68">MIN(1,IF($A78&lt;B$4+B$3,0,IF(B$2=0,1,IF(B$5=0,1/(1+(B$6*EXP(-($A78-B$4)/B$7))),IF(MOD($A78-B$4,B$5)=0,1/(1+(B$6*EXP(-($A78-B$4)/B$7))),1/(1+(B$6*EXP(-(QUOTIENT($A78-B$4,B$5)*B$5)/B$7))))))))</f>
        <v>0.99411395604474</v>
      </c>
      <c r="C78" s="3">
        <f t="shared" si="68"/>
        <v>0.99411395604474</v>
      </c>
      <c r="D78" s="3" t="e">
        <f t="shared" si="68"/>
        <v>#DIV/0!</v>
      </c>
      <c r="E78" s="3" t="e">
        <f t="shared" si="68"/>
        <v>#REF!</v>
      </c>
      <c r="F78" s="3">
        <f t="shared" si="68"/>
        <v>0.999966096208401</v>
      </c>
      <c r="G78" s="3">
        <f t="shared" si="68"/>
        <v>0.999966096208401</v>
      </c>
      <c r="H78" s="3">
        <f t="shared" si="68"/>
        <v>0.99411395604474</v>
      </c>
      <c r="I78" s="3">
        <f t="shared" si="68"/>
        <v>0.99411395604474</v>
      </c>
      <c r="J78" s="3">
        <f t="shared" si="68"/>
        <v>1</v>
      </c>
      <c r="K78" s="3">
        <f t="shared" si="68"/>
        <v>0.99411395604474</v>
      </c>
      <c r="L78" s="3">
        <f t="shared" si="68"/>
        <v>0.99411395604474</v>
      </c>
      <c r="M78" s="3" t="e">
        <f t="shared" si="68"/>
        <v>#REF!</v>
      </c>
      <c r="N78" s="3">
        <f t="shared" si="68"/>
        <v>1</v>
      </c>
      <c r="O78" s="3">
        <f t="shared" si="68"/>
        <v>1</v>
      </c>
      <c r="P78" s="3">
        <f t="shared" si="68"/>
        <v>1</v>
      </c>
      <c r="Q78" s="3">
        <f t="shared" si="68"/>
        <v>1</v>
      </c>
      <c r="R78" s="3">
        <f t="shared" si="68"/>
        <v>1</v>
      </c>
      <c r="S78" s="3">
        <f t="shared" si="68"/>
        <v>1</v>
      </c>
      <c r="T78" s="3">
        <f t="shared" si="68"/>
        <v>1</v>
      </c>
      <c r="U78" s="3">
        <f t="shared" si="68"/>
        <v>1</v>
      </c>
      <c r="V78" s="3">
        <f t="shared" si="68"/>
        <v>1</v>
      </c>
      <c r="W78" s="3">
        <f t="shared" si="68"/>
        <v>1</v>
      </c>
    </row>
    <row r="79" customHeight="1" spans="1:23">
      <c r="A79" s="2">
        <v>66</v>
      </c>
      <c r="B79" s="3">
        <f t="shared" ref="B79:W79" si="69">MIN(1,IF($A79&lt;B$4+B$3,0,IF(B$2=0,1,IF(B$5=0,1/(1+(B$6*EXP(-($A79-B$4)/B$7))),IF(MOD($A79-B$4,B$5)=0,1/(1+(B$6*EXP(-($A79-B$4)/B$7))),1/(1+(B$6*EXP(-(QUOTIENT($A79-B$4,B$5)*B$5)/B$7))))))))</f>
        <v>0.994801989349236</v>
      </c>
      <c r="C79" s="3">
        <f t="shared" si="69"/>
        <v>0.994801989349236</v>
      </c>
      <c r="D79" s="3" t="e">
        <f t="shared" si="69"/>
        <v>#DIV/0!</v>
      </c>
      <c r="E79" s="3" t="e">
        <f t="shared" si="69"/>
        <v>#REF!</v>
      </c>
      <c r="F79" s="3">
        <f t="shared" si="69"/>
        <v>0.999972241752578</v>
      </c>
      <c r="G79" s="3">
        <f t="shared" si="69"/>
        <v>0.999972241752578</v>
      </c>
      <c r="H79" s="3">
        <f t="shared" si="69"/>
        <v>0.994801989349236</v>
      </c>
      <c r="I79" s="3">
        <f t="shared" si="69"/>
        <v>0.994801989349236</v>
      </c>
      <c r="J79" s="3">
        <f t="shared" si="69"/>
        <v>1</v>
      </c>
      <c r="K79" s="3">
        <f t="shared" si="69"/>
        <v>0.994801989349236</v>
      </c>
      <c r="L79" s="3">
        <f t="shared" si="69"/>
        <v>0.994801989349236</v>
      </c>
      <c r="M79" s="3" t="e">
        <f t="shared" si="69"/>
        <v>#REF!</v>
      </c>
      <c r="N79" s="3">
        <f t="shared" si="69"/>
        <v>1</v>
      </c>
      <c r="O79" s="3">
        <f t="shared" si="69"/>
        <v>1</v>
      </c>
      <c r="P79" s="3">
        <f t="shared" si="69"/>
        <v>1</v>
      </c>
      <c r="Q79" s="3">
        <f t="shared" si="69"/>
        <v>1</v>
      </c>
      <c r="R79" s="3">
        <f t="shared" si="69"/>
        <v>1</v>
      </c>
      <c r="S79" s="3">
        <f t="shared" si="69"/>
        <v>1</v>
      </c>
      <c r="T79" s="3">
        <f t="shared" si="69"/>
        <v>1</v>
      </c>
      <c r="U79" s="3">
        <f t="shared" si="69"/>
        <v>1</v>
      </c>
      <c r="V79" s="3">
        <f t="shared" si="69"/>
        <v>1</v>
      </c>
      <c r="W79" s="3">
        <f t="shared" si="69"/>
        <v>1</v>
      </c>
    </row>
    <row r="80" customHeight="1" spans="1:23">
      <c r="A80" s="2">
        <v>67</v>
      </c>
      <c r="B80" s="3">
        <f t="shared" ref="B80:W80" si="70">MIN(1,IF($A80&lt;B$4+B$3,0,IF(B$2=0,1,IF(B$5=0,1/(1+(B$6*EXP(-($A80-B$4)/B$7))),IF(MOD($A80-B$4,B$5)=0,1/(1+(B$6*EXP(-($A80-B$4)/B$7))),1/(1+(B$6*EXP(-(QUOTIENT($A80-B$4,B$5)*B$5)/B$7))))))))</f>
        <v>0.995409968190675</v>
      </c>
      <c r="C80" s="3">
        <f t="shared" si="70"/>
        <v>0.995409968190675</v>
      </c>
      <c r="D80" s="3" t="e">
        <f t="shared" si="70"/>
        <v>#DIV/0!</v>
      </c>
      <c r="E80" s="3" t="e">
        <f t="shared" si="70"/>
        <v>#REF!</v>
      </c>
      <c r="F80" s="3">
        <f t="shared" si="70"/>
        <v>0.99997727335483</v>
      </c>
      <c r="G80" s="3">
        <f t="shared" si="70"/>
        <v>0.99997727335483</v>
      </c>
      <c r="H80" s="3">
        <f t="shared" si="70"/>
        <v>0.995409968190675</v>
      </c>
      <c r="I80" s="3">
        <f t="shared" si="70"/>
        <v>0.995409968190675</v>
      </c>
      <c r="J80" s="3">
        <f t="shared" si="70"/>
        <v>1</v>
      </c>
      <c r="K80" s="3">
        <f t="shared" si="70"/>
        <v>0.995409968190675</v>
      </c>
      <c r="L80" s="3">
        <f t="shared" si="70"/>
        <v>0.995409968190675</v>
      </c>
      <c r="M80" s="3" t="e">
        <f t="shared" si="70"/>
        <v>#REF!</v>
      </c>
      <c r="N80" s="3">
        <f t="shared" si="70"/>
        <v>1</v>
      </c>
      <c r="O80" s="3">
        <f t="shared" si="70"/>
        <v>1</v>
      </c>
      <c r="P80" s="3">
        <f t="shared" si="70"/>
        <v>1</v>
      </c>
      <c r="Q80" s="3">
        <f t="shared" si="70"/>
        <v>1</v>
      </c>
      <c r="R80" s="3">
        <f t="shared" si="70"/>
        <v>1</v>
      </c>
      <c r="S80" s="3">
        <f t="shared" si="70"/>
        <v>1</v>
      </c>
      <c r="T80" s="3">
        <f t="shared" si="70"/>
        <v>1</v>
      </c>
      <c r="U80" s="3">
        <f t="shared" si="70"/>
        <v>1</v>
      </c>
      <c r="V80" s="3">
        <f t="shared" si="70"/>
        <v>1</v>
      </c>
      <c r="W80" s="3">
        <f t="shared" si="70"/>
        <v>1</v>
      </c>
    </row>
    <row r="81" customHeight="1" spans="1:23">
      <c r="A81" s="2">
        <v>68</v>
      </c>
      <c r="B81" s="3">
        <f t="shared" ref="B81:W81" si="71">MIN(1,IF($A81&lt;B$4+B$3,0,IF(B$2=0,1,IF(B$5=0,1/(1+(B$6*EXP(-($A81-B$4)/B$7))),IF(MOD($A81-B$4,B$5)=0,1/(1+(B$6*EXP(-($A81-B$4)/B$7))),1/(1+(B$6*EXP(-(QUOTIENT($A81-B$4,B$5)*B$5)/B$7))))))))</f>
        <v>0.995947125256066</v>
      </c>
      <c r="C81" s="3">
        <f t="shared" si="71"/>
        <v>0.995947125256066</v>
      </c>
      <c r="D81" s="3" t="e">
        <f t="shared" si="71"/>
        <v>#DIV/0!</v>
      </c>
      <c r="E81" s="3" t="e">
        <f t="shared" si="71"/>
        <v>#REF!</v>
      </c>
      <c r="F81" s="3">
        <f t="shared" si="71"/>
        <v>0.99998139292003</v>
      </c>
      <c r="G81" s="3">
        <f t="shared" si="71"/>
        <v>0.99998139292003</v>
      </c>
      <c r="H81" s="3">
        <f t="shared" si="71"/>
        <v>0.995947125256066</v>
      </c>
      <c r="I81" s="3">
        <f t="shared" si="71"/>
        <v>0.995947125256066</v>
      </c>
      <c r="J81" s="3">
        <f t="shared" si="71"/>
        <v>1</v>
      </c>
      <c r="K81" s="3">
        <f t="shared" si="71"/>
        <v>0.995947125256066</v>
      </c>
      <c r="L81" s="3">
        <f t="shared" si="71"/>
        <v>0.995947125256066</v>
      </c>
      <c r="M81" s="3" t="e">
        <f t="shared" si="71"/>
        <v>#REF!</v>
      </c>
      <c r="N81" s="3">
        <f t="shared" si="71"/>
        <v>1</v>
      </c>
      <c r="O81" s="3">
        <f t="shared" si="71"/>
        <v>1</v>
      </c>
      <c r="P81" s="3">
        <f t="shared" si="71"/>
        <v>1</v>
      </c>
      <c r="Q81" s="3">
        <f t="shared" si="71"/>
        <v>1</v>
      </c>
      <c r="R81" s="3">
        <f t="shared" si="71"/>
        <v>1</v>
      </c>
      <c r="S81" s="3">
        <f t="shared" si="71"/>
        <v>1</v>
      </c>
      <c r="T81" s="3">
        <f t="shared" si="71"/>
        <v>1</v>
      </c>
      <c r="U81" s="3">
        <f t="shared" si="71"/>
        <v>1</v>
      </c>
      <c r="V81" s="3">
        <f t="shared" si="71"/>
        <v>1</v>
      </c>
      <c r="W81" s="3">
        <f t="shared" si="71"/>
        <v>1</v>
      </c>
    </row>
    <row r="82" customHeight="1" spans="1:23">
      <c r="A82" s="2">
        <v>69</v>
      </c>
      <c r="B82" s="3">
        <f t="shared" ref="B82:W82" si="72">MIN(1,IF($A82&lt;B$4+B$3,0,IF(B$2=0,1,IF(B$5=0,1/(1+(B$6*EXP(-($A82-B$4)/B$7))),IF(MOD($A82-B$4,B$5)=0,1/(1+(B$6*EXP(-($A82-B$4)/B$7))),1/(1+(B$6*EXP(-(QUOTIENT($A82-B$4,B$5)*B$5)/B$7))))))))</f>
        <v>0.996421646489313</v>
      </c>
      <c r="C82" s="3">
        <f t="shared" si="72"/>
        <v>0.996421646489313</v>
      </c>
      <c r="D82" s="3" t="e">
        <f t="shared" si="72"/>
        <v>#DIV/0!</v>
      </c>
      <c r="E82" s="3" t="e">
        <f t="shared" si="72"/>
        <v>#REF!</v>
      </c>
      <c r="F82" s="3">
        <f t="shared" si="72"/>
        <v>0.999984765760021</v>
      </c>
      <c r="G82" s="3">
        <f t="shared" si="72"/>
        <v>0.999984765760021</v>
      </c>
      <c r="H82" s="3">
        <f t="shared" si="72"/>
        <v>0.996421646489313</v>
      </c>
      <c r="I82" s="3">
        <f t="shared" si="72"/>
        <v>0.996421646489313</v>
      </c>
      <c r="J82" s="3">
        <f t="shared" si="72"/>
        <v>1</v>
      </c>
      <c r="K82" s="3">
        <f t="shared" si="72"/>
        <v>0.996421646489313</v>
      </c>
      <c r="L82" s="3">
        <f t="shared" si="72"/>
        <v>0.996421646489313</v>
      </c>
      <c r="M82" s="3" t="e">
        <f t="shared" si="72"/>
        <v>#REF!</v>
      </c>
      <c r="N82" s="3">
        <f t="shared" si="72"/>
        <v>1</v>
      </c>
      <c r="O82" s="3">
        <f t="shared" si="72"/>
        <v>1</v>
      </c>
      <c r="P82" s="3">
        <f t="shared" si="72"/>
        <v>1</v>
      </c>
      <c r="Q82" s="3">
        <f t="shared" si="72"/>
        <v>1</v>
      </c>
      <c r="R82" s="3">
        <f t="shared" si="72"/>
        <v>1</v>
      </c>
      <c r="S82" s="3">
        <f t="shared" si="72"/>
        <v>1</v>
      </c>
      <c r="T82" s="3">
        <f t="shared" si="72"/>
        <v>1</v>
      </c>
      <c r="U82" s="3">
        <f t="shared" si="72"/>
        <v>1</v>
      </c>
      <c r="V82" s="3">
        <f t="shared" si="72"/>
        <v>1</v>
      </c>
      <c r="W82" s="3">
        <f t="shared" si="72"/>
        <v>1</v>
      </c>
    </row>
    <row r="83" customHeight="1" spans="1:23">
      <c r="A83" s="2">
        <v>70</v>
      </c>
      <c r="B83" s="3">
        <f t="shared" ref="B83:W83" si="73">MIN(1,IF($A83&lt;B$4+B$3,0,IF(B$2=0,1,IF(B$5=0,1/(1+(B$6*EXP(-($A83-B$4)/B$7))),IF(MOD($A83-B$4,B$5)=0,1/(1+(B$6*EXP(-($A83-B$4)/B$7))),1/(1+(B$6*EXP(-(QUOTIENT($A83-B$4,B$5)*B$5)/B$7))))))))</f>
        <v>0.996840785763171</v>
      </c>
      <c r="C83" s="3">
        <f t="shared" si="73"/>
        <v>0.996840785763171</v>
      </c>
      <c r="D83" s="3" t="e">
        <f t="shared" si="73"/>
        <v>#DIV/0!</v>
      </c>
      <c r="E83" s="3" t="e">
        <f t="shared" si="73"/>
        <v>#REF!</v>
      </c>
      <c r="F83" s="3">
        <f t="shared" si="73"/>
        <v>0.999987527224785</v>
      </c>
      <c r="G83" s="3">
        <f t="shared" si="73"/>
        <v>0.999987527224785</v>
      </c>
      <c r="H83" s="3">
        <f t="shared" si="73"/>
        <v>0.996840785763171</v>
      </c>
      <c r="I83" s="3">
        <f t="shared" si="73"/>
        <v>0.996840785763171</v>
      </c>
      <c r="J83" s="3">
        <f t="shared" si="73"/>
        <v>1</v>
      </c>
      <c r="K83" s="3">
        <f t="shared" si="73"/>
        <v>0.996840785763171</v>
      </c>
      <c r="L83" s="3">
        <f t="shared" si="73"/>
        <v>0.996840785763171</v>
      </c>
      <c r="M83" s="3" t="e">
        <f t="shared" si="73"/>
        <v>#REF!</v>
      </c>
      <c r="N83" s="3">
        <f t="shared" si="73"/>
        <v>1</v>
      </c>
      <c r="O83" s="3">
        <f t="shared" si="73"/>
        <v>1</v>
      </c>
      <c r="P83" s="3">
        <f t="shared" si="73"/>
        <v>1</v>
      </c>
      <c r="Q83" s="3">
        <f t="shared" si="73"/>
        <v>1</v>
      </c>
      <c r="R83" s="3">
        <f t="shared" si="73"/>
        <v>1</v>
      </c>
      <c r="S83" s="3">
        <f t="shared" si="73"/>
        <v>1</v>
      </c>
      <c r="T83" s="3">
        <f t="shared" si="73"/>
        <v>1</v>
      </c>
      <c r="U83" s="3">
        <f t="shared" si="73"/>
        <v>1</v>
      </c>
      <c r="V83" s="3">
        <f t="shared" si="73"/>
        <v>1</v>
      </c>
      <c r="W83" s="3">
        <f t="shared" si="73"/>
        <v>1</v>
      </c>
    </row>
    <row r="84" customHeight="1" spans="1:23">
      <c r="A84" s="2">
        <v>71</v>
      </c>
      <c r="B84" s="3">
        <f t="shared" ref="B84:W84" si="74">MIN(1,IF($A84&lt;B$4+B$3,0,IF(B$2=0,1,IF(B$5=0,1/(1+(B$6*EXP(-($A84-B$4)/B$7))),IF(MOD($A84-B$4,B$5)=0,1/(1+(B$6*EXP(-($A84-B$4)/B$7))),1/(1+(B$6*EXP(-(QUOTIENT($A84-B$4,B$5)*B$5)/B$7))))))))</f>
        <v>0.997210967883984</v>
      </c>
      <c r="C84" s="3">
        <f t="shared" si="74"/>
        <v>0.997210967883984</v>
      </c>
      <c r="D84" s="3" t="e">
        <f t="shared" si="74"/>
        <v>#DIV/0!</v>
      </c>
      <c r="E84" s="3" t="e">
        <f t="shared" si="74"/>
        <v>#REF!</v>
      </c>
      <c r="F84" s="3">
        <f t="shared" si="74"/>
        <v>0.999989788132267</v>
      </c>
      <c r="G84" s="3">
        <f t="shared" si="74"/>
        <v>0.999989788132267</v>
      </c>
      <c r="H84" s="3">
        <f t="shared" si="74"/>
        <v>0.997210967883984</v>
      </c>
      <c r="I84" s="3">
        <f t="shared" si="74"/>
        <v>0.997210967883984</v>
      </c>
      <c r="J84" s="3">
        <f t="shared" si="74"/>
        <v>1</v>
      </c>
      <c r="K84" s="3">
        <f t="shared" si="74"/>
        <v>0.997210967883984</v>
      </c>
      <c r="L84" s="3">
        <f t="shared" si="74"/>
        <v>0.997210967883984</v>
      </c>
      <c r="M84" s="3" t="e">
        <f t="shared" si="74"/>
        <v>#REF!</v>
      </c>
      <c r="N84" s="3">
        <f t="shared" si="74"/>
        <v>1</v>
      </c>
      <c r="O84" s="3">
        <f t="shared" si="74"/>
        <v>1</v>
      </c>
      <c r="P84" s="3">
        <f t="shared" si="74"/>
        <v>1</v>
      </c>
      <c r="Q84" s="3">
        <f t="shared" si="74"/>
        <v>1</v>
      </c>
      <c r="R84" s="3">
        <f t="shared" si="74"/>
        <v>1</v>
      </c>
      <c r="S84" s="3">
        <f t="shared" si="74"/>
        <v>1</v>
      </c>
      <c r="T84" s="3">
        <f t="shared" si="74"/>
        <v>1</v>
      </c>
      <c r="U84" s="3">
        <f t="shared" si="74"/>
        <v>1</v>
      </c>
      <c r="V84" s="3">
        <f t="shared" si="74"/>
        <v>1</v>
      </c>
      <c r="W84" s="3">
        <f t="shared" si="74"/>
        <v>1</v>
      </c>
    </row>
    <row r="85" customHeight="1" spans="1:23">
      <c r="A85" s="2">
        <v>72</v>
      </c>
      <c r="B85" s="3">
        <f t="shared" ref="B85:W85" si="75">MIN(1,IF($A85&lt;B$4+B$3,0,IF(B$2=0,1,IF(B$5=0,1/(1+(B$6*EXP(-($A85-B$4)/B$7))),IF(MOD($A85-B$4,B$5)=0,1/(1+(B$6*EXP(-($A85-B$4)/B$7))),1/(1+(B$6*EXP(-(QUOTIENT($A85-B$4,B$5)*B$5)/B$7))))))))</f>
        <v>0.997537880910955</v>
      </c>
      <c r="C85" s="3">
        <f t="shared" si="75"/>
        <v>0.997537880910955</v>
      </c>
      <c r="D85" s="3" t="e">
        <f t="shared" si="75"/>
        <v>#DIV/0!</v>
      </c>
      <c r="E85" s="3" t="e">
        <f t="shared" si="75"/>
        <v>#REF!</v>
      </c>
      <c r="F85" s="3">
        <f t="shared" si="75"/>
        <v>0.999991639214364</v>
      </c>
      <c r="G85" s="3">
        <f t="shared" si="75"/>
        <v>0.999991639214364</v>
      </c>
      <c r="H85" s="3">
        <f t="shared" si="75"/>
        <v>0.997537880910955</v>
      </c>
      <c r="I85" s="3">
        <f t="shared" si="75"/>
        <v>0.997537880910955</v>
      </c>
      <c r="J85" s="3">
        <f t="shared" si="75"/>
        <v>1</v>
      </c>
      <c r="K85" s="3">
        <f t="shared" si="75"/>
        <v>0.997537880910955</v>
      </c>
      <c r="L85" s="3">
        <f t="shared" si="75"/>
        <v>0.997537880910955</v>
      </c>
      <c r="M85" s="3" t="e">
        <f t="shared" si="75"/>
        <v>#REF!</v>
      </c>
      <c r="N85" s="3">
        <f t="shared" si="75"/>
        <v>1</v>
      </c>
      <c r="O85" s="3">
        <f t="shared" si="75"/>
        <v>1</v>
      </c>
      <c r="P85" s="3">
        <f t="shared" si="75"/>
        <v>1</v>
      </c>
      <c r="Q85" s="3">
        <f t="shared" si="75"/>
        <v>1</v>
      </c>
      <c r="R85" s="3">
        <f t="shared" si="75"/>
        <v>1</v>
      </c>
      <c r="S85" s="3">
        <f t="shared" si="75"/>
        <v>1</v>
      </c>
      <c r="T85" s="3">
        <f t="shared" si="75"/>
        <v>1</v>
      </c>
      <c r="U85" s="3">
        <f t="shared" si="75"/>
        <v>1</v>
      </c>
      <c r="V85" s="3">
        <f t="shared" si="75"/>
        <v>1</v>
      </c>
      <c r="W85" s="3">
        <f t="shared" si="75"/>
        <v>1</v>
      </c>
    </row>
    <row r="86" customHeight="1" spans="1:23">
      <c r="A86" s="2">
        <v>73</v>
      </c>
      <c r="B86" s="3">
        <f t="shared" ref="B86:W86" si="76">MIN(1,IF($A86&lt;B$4+B$3,0,IF(B$2=0,1,IF(B$5=0,1/(1+(B$6*EXP(-($A86-B$4)/B$7))),IF(MOD($A86-B$4,B$5)=0,1/(1+(B$6*EXP(-($A86-B$4)/B$7))),1/(1+(B$6*EXP(-(QUOTIENT($A86-B$4,B$5)*B$5)/B$7))))))))</f>
        <v>0.99782655873918</v>
      </c>
      <c r="C86" s="3">
        <f t="shared" si="76"/>
        <v>0.99782655873918</v>
      </c>
      <c r="D86" s="3" t="e">
        <f t="shared" si="76"/>
        <v>#DIV/0!</v>
      </c>
      <c r="E86" s="3" t="e">
        <f t="shared" si="76"/>
        <v>#REF!</v>
      </c>
      <c r="F86" s="3">
        <f t="shared" si="76"/>
        <v>0.999993154757306</v>
      </c>
      <c r="G86" s="3">
        <f t="shared" si="76"/>
        <v>0.999993154757306</v>
      </c>
      <c r="H86" s="3">
        <f t="shared" si="76"/>
        <v>0.99782655873918</v>
      </c>
      <c r="I86" s="3">
        <f t="shared" si="76"/>
        <v>0.99782655873918</v>
      </c>
      <c r="J86" s="3">
        <f t="shared" si="76"/>
        <v>1</v>
      </c>
      <c r="K86" s="3">
        <f t="shared" si="76"/>
        <v>0.99782655873918</v>
      </c>
      <c r="L86" s="3">
        <f t="shared" si="76"/>
        <v>0.99782655873918</v>
      </c>
      <c r="M86" s="3" t="e">
        <f t="shared" si="76"/>
        <v>#REF!</v>
      </c>
      <c r="N86" s="3">
        <f t="shared" si="76"/>
        <v>1</v>
      </c>
      <c r="O86" s="3">
        <f t="shared" si="76"/>
        <v>1</v>
      </c>
      <c r="P86" s="3">
        <f t="shared" si="76"/>
        <v>1</v>
      </c>
      <c r="Q86" s="3">
        <f t="shared" si="76"/>
        <v>1</v>
      </c>
      <c r="R86" s="3">
        <f t="shared" si="76"/>
        <v>1</v>
      </c>
      <c r="S86" s="3">
        <f t="shared" si="76"/>
        <v>1</v>
      </c>
      <c r="T86" s="3">
        <f t="shared" si="76"/>
        <v>1</v>
      </c>
      <c r="U86" s="3">
        <f t="shared" si="76"/>
        <v>1</v>
      </c>
      <c r="V86" s="3">
        <f t="shared" si="76"/>
        <v>1</v>
      </c>
      <c r="W86" s="3">
        <f t="shared" si="76"/>
        <v>1</v>
      </c>
    </row>
    <row r="87" customHeight="1" spans="1:23">
      <c r="A87" s="2">
        <v>74</v>
      </c>
      <c r="B87" s="3">
        <f t="shared" ref="B87:W87" si="77">MIN(1,IF($A87&lt;B$4+B$3,0,IF(B$2=0,1,IF(B$5=0,1/(1+(B$6*EXP(-($A87-B$4)/B$7))),IF(MOD($A87-B$4,B$5)=0,1/(1+(B$6*EXP(-($A87-B$4)/B$7))),1/(1+(B$6*EXP(-(QUOTIENT($A87-B$4,B$5)*B$5)/B$7))))))))</f>
        <v>0.998081454849651</v>
      </c>
      <c r="C87" s="3">
        <f t="shared" si="77"/>
        <v>0.998081454849651</v>
      </c>
      <c r="D87" s="3" t="e">
        <f t="shared" si="77"/>
        <v>#DIV/0!</v>
      </c>
      <c r="E87" s="3" t="e">
        <f t="shared" si="77"/>
        <v>#REF!</v>
      </c>
      <c r="F87" s="3">
        <f t="shared" si="77"/>
        <v>0.99999439558234</v>
      </c>
      <c r="G87" s="3">
        <f t="shared" si="77"/>
        <v>0.99999439558234</v>
      </c>
      <c r="H87" s="3">
        <f t="shared" si="77"/>
        <v>0.998081454849651</v>
      </c>
      <c r="I87" s="3">
        <f t="shared" si="77"/>
        <v>0.998081454849651</v>
      </c>
      <c r="J87" s="3">
        <f t="shared" si="77"/>
        <v>1</v>
      </c>
      <c r="K87" s="3">
        <f t="shared" si="77"/>
        <v>0.998081454849651</v>
      </c>
      <c r="L87" s="3">
        <f t="shared" si="77"/>
        <v>0.998081454849651</v>
      </c>
      <c r="M87" s="3" t="e">
        <f t="shared" si="77"/>
        <v>#REF!</v>
      </c>
      <c r="N87" s="3">
        <f t="shared" si="77"/>
        <v>1</v>
      </c>
      <c r="O87" s="3">
        <f t="shared" si="77"/>
        <v>1</v>
      </c>
      <c r="P87" s="3">
        <f t="shared" si="77"/>
        <v>1</v>
      </c>
      <c r="Q87" s="3">
        <f t="shared" si="77"/>
        <v>1</v>
      </c>
      <c r="R87" s="3">
        <f t="shared" si="77"/>
        <v>1</v>
      </c>
      <c r="S87" s="3">
        <f t="shared" si="77"/>
        <v>1</v>
      </c>
      <c r="T87" s="3">
        <f t="shared" si="77"/>
        <v>1</v>
      </c>
      <c r="U87" s="3">
        <f t="shared" si="77"/>
        <v>1</v>
      </c>
      <c r="V87" s="3">
        <f t="shared" si="77"/>
        <v>1</v>
      </c>
      <c r="W87" s="3">
        <f t="shared" si="77"/>
        <v>1</v>
      </c>
    </row>
    <row r="88" customHeight="1" spans="1:23">
      <c r="A88" s="2">
        <v>75</v>
      </c>
      <c r="B88" s="3">
        <f t="shared" ref="B88:W88" si="78">MIN(1,IF($A88&lt;B$4+B$3,0,IF(B$2=0,1,IF(B$5=0,1/(1+(B$6*EXP(-($A88-B$4)/B$7))),IF(MOD($A88-B$4,B$5)=0,1/(1+(B$6*EXP(-($A88-B$4)/B$7))),1/(1+(B$6*EXP(-(QUOTIENT($A88-B$4,B$5)*B$5)/B$7))))))))</f>
        <v>0.998306508075</v>
      </c>
      <c r="C88" s="3">
        <f t="shared" si="78"/>
        <v>0.998306508075</v>
      </c>
      <c r="D88" s="3" t="e">
        <f t="shared" si="78"/>
        <v>#DIV/0!</v>
      </c>
      <c r="E88" s="3" t="e">
        <f t="shared" si="78"/>
        <v>#REF!</v>
      </c>
      <c r="F88" s="3">
        <f t="shared" si="78"/>
        <v>0.999995411486247</v>
      </c>
      <c r="G88" s="3">
        <f t="shared" si="78"/>
        <v>0.999995411486247</v>
      </c>
      <c r="H88" s="3">
        <f t="shared" si="78"/>
        <v>0.998306508075</v>
      </c>
      <c r="I88" s="3">
        <f t="shared" si="78"/>
        <v>0.998306508075</v>
      </c>
      <c r="J88" s="3">
        <f t="shared" si="78"/>
        <v>1</v>
      </c>
      <c r="K88" s="3">
        <f t="shared" si="78"/>
        <v>0.998306508075</v>
      </c>
      <c r="L88" s="3">
        <f t="shared" si="78"/>
        <v>0.998306508075</v>
      </c>
      <c r="M88" s="3" t="e">
        <f t="shared" si="78"/>
        <v>#REF!</v>
      </c>
      <c r="N88" s="3">
        <f t="shared" si="78"/>
        <v>1</v>
      </c>
      <c r="O88" s="3">
        <f t="shared" si="78"/>
        <v>1</v>
      </c>
      <c r="P88" s="3">
        <f t="shared" si="78"/>
        <v>1</v>
      </c>
      <c r="Q88" s="3">
        <f t="shared" si="78"/>
        <v>1</v>
      </c>
      <c r="R88" s="3">
        <f t="shared" si="78"/>
        <v>1</v>
      </c>
      <c r="S88" s="3">
        <f t="shared" si="78"/>
        <v>1</v>
      </c>
      <c r="T88" s="3">
        <f t="shared" si="78"/>
        <v>1</v>
      </c>
      <c r="U88" s="3">
        <f t="shared" si="78"/>
        <v>1</v>
      </c>
      <c r="V88" s="3">
        <f t="shared" si="78"/>
        <v>1</v>
      </c>
      <c r="W88" s="3">
        <f t="shared" si="78"/>
        <v>1</v>
      </c>
    </row>
    <row r="89" customHeight="1" spans="1:23">
      <c r="A89" s="2">
        <v>76</v>
      </c>
      <c r="B89" s="3">
        <f t="shared" ref="B89:W89" si="79">MIN(1,IF($A89&lt;B$4+B$3,0,IF(B$2=0,1,IF(B$5=0,1/(1+(B$6*EXP(-($A89-B$4)/B$7))),IF(MOD($A89-B$4,B$5)=0,1/(1+(B$6*EXP(-($A89-B$4)/B$7))),1/(1+(B$6*EXP(-(QUOTIENT($A89-B$4,B$5)*B$5)/B$7))))))))</f>
        <v>0.9985052011708</v>
      </c>
      <c r="C89" s="3">
        <f t="shared" si="79"/>
        <v>0.9985052011708</v>
      </c>
      <c r="D89" s="3" t="e">
        <f t="shared" si="79"/>
        <v>#DIV/0!</v>
      </c>
      <c r="E89" s="3" t="e">
        <f t="shared" si="79"/>
        <v>#REF!</v>
      </c>
      <c r="F89" s="3">
        <f t="shared" si="79"/>
        <v>0.999996243239555</v>
      </c>
      <c r="G89" s="3">
        <f t="shared" si="79"/>
        <v>0.999996243239555</v>
      </c>
      <c r="H89" s="3">
        <f t="shared" si="79"/>
        <v>0.9985052011708</v>
      </c>
      <c r="I89" s="3">
        <f t="shared" si="79"/>
        <v>0.9985052011708</v>
      </c>
      <c r="J89" s="3">
        <f t="shared" si="79"/>
        <v>1</v>
      </c>
      <c r="K89" s="3">
        <f t="shared" si="79"/>
        <v>0.9985052011708</v>
      </c>
      <c r="L89" s="3">
        <f t="shared" si="79"/>
        <v>0.9985052011708</v>
      </c>
      <c r="M89" s="3" t="e">
        <f t="shared" si="79"/>
        <v>#REF!</v>
      </c>
      <c r="N89" s="3">
        <f t="shared" si="79"/>
        <v>1</v>
      </c>
      <c r="O89" s="3">
        <f t="shared" si="79"/>
        <v>1</v>
      </c>
      <c r="P89" s="3">
        <f t="shared" si="79"/>
        <v>1</v>
      </c>
      <c r="Q89" s="3">
        <f t="shared" si="79"/>
        <v>1</v>
      </c>
      <c r="R89" s="3">
        <f t="shared" si="79"/>
        <v>1</v>
      </c>
      <c r="S89" s="3">
        <f t="shared" si="79"/>
        <v>1</v>
      </c>
      <c r="T89" s="3">
        <f t="shared" si="79"/>
        <v>1</v>
      </c>
      <c r="U89" s="3">
        <f t="shared" si="79"/>
        <v>1</v>
      </c>
      <c r="V89" s="3">
        <f t="shared" si="79"/>
        <v>1</v>
      </c>
      <c r="W89" s="3">
        <f t="shared" si="79"/>
        <v>1</v>
      </c>
    </row>
    <row r="90" customHeight="1" spans="1:23">
      <c r="A90" s="2">
        <v>77</v>
      </c>
      <c r="B90" s="3">
        <f t="shared" ref="B90:W90" si="80">MIN(1,IF($A90&lt;B$4+B$3,0,IF(B$2=0,1,IF(B$5=0,1/(1+(B$6*EXP(-($A90-B$4)/B$7))),IF(MOD($A90-B$4,B$5)=0,1/(1+(B$6*EXP(-($A90-B$4)/B$7))),1/(1+(B$6*EXP(-(QUOTIENT($A90-B$4,B$5)*B$5)/B$7))))))))</f>
        <v>0.998680612921489</v>
      </c>
      <c r="C90" s="3">
        <f t="shared" si="80"/>
        <v>0.998680612921489</v>
      </c>
      <c r="D90" s="3" t="e">
        <f t="shared" si="80"/>
        <v>#DIV/0!</v>
      </c>
      <c r="E90" s="3" t="e">
        <f t="shared" si="80"/>
        <v>#REF!</v>
      </c>
      <c r="F90" s="3">
        <f t="shared" si="80"/>
        <v>0.999996924222597</v>
      </c>
      <c r="G90" s="3">
        <f t="shared" si="80"/>
        <v>0.999996924222597</v>
      </c>
      <c r="H90" s="3">
        <f t="shared" si="80"/>
        <v>0.998680612921489</v>
      </c>
      <c r="I90" s="3">
        <f t="shared" si="80"/>
        <v>0.998680612921489</v>
      </c>
      <c r="J90" s="3">
        <f t="shared" si="80"/>
        <v>1</v>
      </c>
      <c r="K90" s="3">
        <f t="shared" si="80"/>
        <v>0.998680612921489</v>
      </c>
      <c r="L90" s="3">
        <f t="shared" si="80"/>
        <v>0.998680612921489</v>
      </c>
      <c r="M90" s="3" t="e">
        <f t="shared" si="80"/>
        <v>#REF!</v>
      </c>
      <c r="N90" s="3">
        <f t="shared" si="80"/>
        <v>1</v>
      </c>
      <c r="O90" s="3">
        <f t="shared" si="80"/>
        <v>1</v>
      </c>
      <c r="P90" s="3">
        <f t="shared" si="80"/>
        <v>1</v>
      </c>
      <c r="Q90" s="3">
        <f t="shared" si="80"/>
        <v>1</v>
      </c>
      <c r="R90" s="3">
        <f t="shared" si="80"/>
        <v>1</v>
      </c>
      <c r="S90" s="3">
        <f t="shared" si="80"/>
        <v>1</v>
      </c>
      <c r="T90" s="3">
        <f t="shared" si="80"/>
        <v>1</v>
      </c>
      <c r="U90" s="3">
        <f t="shared" si="80"/>
        <v>1</v>
      </c>
      <c r="V90" s="3">
        <f t="shared" si="80"/>
        <v>1</v>
      </c>
      <c r="W90" s="3">
        <f t="shared" si="80"/>
        <v>1</v>
      </c>
    </row>
    <row r="91" customHeight="1" spans="1:23">
      <c r="A91" s="2">
        <v>78</v>
      </c>
      <c r="B91" s="3">
        <f t="shared" ref="B91:W91" si="81">MIN(1,IF($A91&lt;B$4+B$3,0,IF(B$2=0,1,IF(B$5=0,1/(1+(B$6*EXP(-($A91-B$4)/B$7))),IF(MOD($A91-B$4,B$5)=0,1/(1+(B$6*EXP(-($A91-B$4)/B$7))),1/(1+(B$6*EXP(-(QUOTIENT($A91-B$4,B$5)*B$5)/B$7))))))))</f>
        <v>0.998835464449549</v>
      </c>
      <c r="C91" s="3">
        <f t="shared" si="81"/>
        <v>0.998835464449549</v>
      </c>
      <c r="D91" s="3" t="e">
        <f t="shared" si="81"/>
        <v>#DIV/0!</v>
      </c>
      <c r="E91" s="3" t="e">
        <f t="shared" si="81"/>
        <v>#REF!</v>
      </c>
      <c r="F91" s="3">
        <f t="shared" si="81"/>
        <v>0.999997481765046</v>
      </c>
      <c r="G91" s="3">
        <f t="shared" si="81"/>
        <v>0.999997481765046</v>
      </c>
      <c r="H91" s="3">
        <f t="shared" si="81"/>
        <v>0.998835464449549</v>
      </c>
      <c r="I91" s="3">
        <f t="shared" si="81"/>
        <v>0.998835464449549</v>
      </c>
      <c r="J91" s="3">
        <f t="shared" si="81"/>
        <v>1</v>
      </c>
      <c r="K91" s="3">
        <f t="shared" si="81"/>
        <v>0.998835464449549</v>
      </c>
      <c r="L91" s="3">
        <f t="shared" si="81"/>
        <v>0.998835464449549</v>
      </c>
      <c r="M91" s="3" t="e">
        <f t="shared" si="81"/>
        <v>#REF!</v>
      </c>
      <c r="N91" s="3">
        <f t="shared" si="81"/>
        <v>1</v>
      </c>
      <c r="O91" s="3">
        <f t="shared" si="81"/>
        <v>1</v>
      </c>
      <c r="P91" s="3">
        <f t="shared" si="81"/>
        <v>1</v>
      </c>
      <c r="Q91" s="3">
        <f t="shared" si="81"/>
        <v>1</v>
      </c>
      <c r="R91" s="3">
        <f t="shared" si="81"/>
        <v>1</v>
      </c>
      <c r="S91" s="3">
        <f t="shared" si="81"/>
        <v>1</v>
      </c>
      <c r="T91" s="3">
        <f t="shared" si="81"/>
        <v>1</v>
      </c>
      <c r="U91" s="3">
        <f t="shared" si="81"/>
        <v>1</v>
      </c>
      <c r="V91" s="3">
        <f t="shared" si="81"/>
        <v>1</v>
      </c>
      <c r="W91" s="3">
        <f t="shared" si="81"/>
        <v>1</v>
      </c>
    </row>
    <row r="92" customHeight="1" spans="1:23">
      <c r="A92" s="2">
        <v>79</v>
      </c>
      <c r="B92" s="3">
        <f t="shared" ref="B92:W92" si="82">MIN(1,IF($A92&lt;B$4+B$3,0,IF(B$2=0,1,IF(B$5=0,1/(1+(B$6*EXP(-($A92-B$4)/B$7))),IF(MOD($A92-B$4,B$5)=0,1/(1+(B$6*EXP(-($A92-B$4)/B$7))),1/(1+(B$6*EXP(-(QUOTIENT($A92-B$4,B$5)*B$5)/B$7))))))))</f>
        <v>0.99897216033776</v>
      </c>
      <c r="C92" s="3">
        <f t="shared" si="82"/>
        <v>0.99897216033776</v>
      </c>
      <c r="D92" s="3" t="e">
        <f t="shared" si="82"/>
        <v>#DIV/0!</v>
      </c>
      <c r="E92" s="3" t="e">
        <f t="shared" si="82"/>
        <v>#REF!</v>
      </c>
      <c r="F92" s="3">
        <f t="shared" si="82"/>
        <v>0.999997938242659</v>
      </c>
      <c r="G92" s="3">
        <f t="shared" si="82"/>
        <v>0.999997938242659</v>
      </c>
      <c r="H92" s="3">
        <f t="shared" si="82"/>
        <v>0.99897216033776</v>
      </c>
      <c r="I92" s="3">
        <f t="shared" si="82"/>
        <v>0.99897216033776</v>
      </c>
      <c r="J92" s="3">
        <f t="shared" si="82"/>
        <v>1</v>
      </c>
      <c r="K92" s="3">
        <f t="shared" si="82"/>
        <v>0.99897216033776</v>
      </c>
      <c r="L92" s="3">
        <f t="shared" si="82"/>
        <v>0.99897216033776</v>
      </c>
      <c r="M92" s="3" t="e">
        <f t="shared" si="82"/>
        <v>#REF!</v>
      </c>
      <c r="N92" s="3">
        <f t="shared" si="82"/>
        <v>1</v>
      </c>
      <c r="O92" s="3">
        <f t="shared" si="82"/>
        <v>1</v>
      </c>
      <c r="P92" s="3">
        <f t="shared" si="82"/>
        <v>1</v>
      </c>
      <c r="Q92" s="3">
        <f t="shared" si="82"/>
        <v>1</v>
      </c>
      <c r="R92" s="3">
        <f t="shared" si="82"/>
        <v>1</v>
      </c>
      <c r="S92" s="3">
        <f t="shared" si="82"/>
        <v>1</v>
      </c>
      <c r="T92" s="3">
        <f t="shared" si="82"/>
        <v>1</v>
      </c>
      <c r="U92" s="3">
        <f t="shared" si="82"/>
        <v>1</v>
      </c>
      <c r="V92" s="3">
        <f t="shared" si="82"/>
        <v>1</v>
      </c>
      <c r="W92" s="3">
        <f t="shared" si="82"/>
        <v>1</v>
      </c>
    </row>
    <row r="93" customHeight="1" spans="1:23">
      <c r="A93" s="2">
        <v>80</v>
      </c>
      <c r="B93" s="3">
        <f t="shared" ref="B93:W93" si="83">MIN(1,IF($A93&lt;B$4+B$3,0,IF(B$2=0,1,IF(B$5=0,1/(1+(B$6*EXP(-($A93-B$4)/B$7))),IF(MOD($A93-B$4,B$5)=0,1/(1+(B$6*EXP(-($A93-B$4)/B$7))),1/(1+(B$6*EXP(-(QUOTIENT($A93-B$4,B$5)*B$5)/B$7))))))))</f>
        <v>0.999092825118269</v>
      </c>
      <c r="C93" s="3">
        <f t="shared" si="83"/>
        <v>0.999092825118269</v>
      </c>
      <c r="D93" s="3" t="e">
        <f t="shared" si="83"/>
        <v>#DIV/0!</v>
      </c>
      <c r="E93" s="3" t="e">
        <f t="shared" si="83"/>
        <v>#REF!</v>
      </c>
      <c r="F93" s="3">
        <f t="shared" si="83"/>
        <v>0.999998311975229</v>
      </c>
      <c r="G93" s="3">
        <f t="shared" si="83"/>
        <v>0.999998311975229</v>
      </c>
      <c r="H93" s="3">
        <f t="shared" si="83"/>
        <v>0.999092825118269</v>
      </c>
      <c r="I93" s="3">
        <f t="shared" si="83"/>
        <v>0.999092825118269</v>
      </c>
      <c r="J93" s="3">
        <f t="shared" si="83"/>
        <v>1</v>
      </c>
      <c r="K93" s="3">
        <f t="shared" si="83"/>
        <v>0.999092825118269</v>
      </c>
      <c r="L93" s="3">
        <f t="shared" si="83"/>
        <v>0.999092825118269</v>
      </c>
      <c r="M93" s="3" t="e">
        <f t="shared" si="83"/>
        <v>#REF!</v>
      </c>
      <c r="N93" s="3">
        <f t="shared" si="83"/>
        <v>1</v>
      </c>
      <c r="O93" s="3">
        <f t="shared" si="83"/>
        <v>1</v>
      </c>
      <c r="P93" s="3">
        <f t="shared" si="83"/>
        <v>1</v>
      </c>
      <c r="Q93" s="3">
        <f t="shared" si="83"/>
        <v>1</v>
      </c>
      <c r="R93" s="3">
        <f t="shared" si="83"/>
        <v>1</v>
      </c>
      <c r="S93" s="3">
        <f t="shared" si="83"/>
        <v>1</v>
      </c>
      <c r="T93" s="3">
        <f t="shared" si="83"/>
        <v>1</v>
      </c>
      <c r="U93" s="3">
        <f t="shared" si="83"/>
        <v>1</v>
      </c>
      <c r="V93" s="3">
        <f t="shared" si="83"/>
        <v>1</v>
      </c>
      <c r="W93" s="3">
        <f t="shared" si="83"/>
        <v>1</v>
      </c>
    </row>
    <row r="94" customHeight="1" spans="1:23">
      <c r="A94" s="2">
        <v>81</v>
      </c>
      <c r="B94" s="3">
        <f t="shared" ref="B94:W94" si="84">MIN(1,IF($A94&lt;B$4+B$3,0,IF(B$2=0,1,IF(B$5=0,1/(1+(B$6*EXP(-($A94-B$4)/B$7))),IF(MOD($A94-B$4,B$5)=0,1/(1+(B$6*EXP(-($A94-B$4)/B$7))),1/(1+(B$6*EXP(-(QUOTIENT($A94-B$4,B$5)*B$5)/B$7))))))))</f>
        <v>0.999199335629263</v>
      </c>
      <c r="C94" s="3">
        <f t="shared" si="84"/>
        <v>0.999199335629263</v>
      </c>
      <c r="D94" s="3" t="e">
        <f t="shared" si="84"/>
        <v>#DIV/0!</v>
      </c>
      <c r="E94" s="3" t="e">
        <f t="shared" si="84"/>
        <v>#REF!</v>
      </c>
      <c r="F94" s="3">
        <f t="shared" si="84"/>
        <v>0.999998617961785</v>
      </c>
      <c r="G94" s="3">
        <f t="shared" si="84"/>
        <v>0.999998617961785</v>
      </c>
      <c r="H94" s="3">
        <f t="shared" si="84"/>
        <v>0.999199335629263</v>
      </c>
      <c r="I94" s="3">
        <f t="shared" si="84"/>
        <v>0.999199335629263</v>
      </c>
      <c r="J94" s="3">
        <f t="shared" si="84"/>
        <v>1</v>
      </c>
      <c r="K94" s="3">
        <f t="shared" si="84"/>
        <v>0.999199335629263</v>
      </c>
      <c r="L94" s="3">
        <f t="shared" si="84"/>
        <v>0.999199335629263</v>
      </c>
      <c r="M94" s="3" t="e">
        <f t="shared" si="84"/>
        <v>#REF!</v>
      </c>
      <c r="N94" s="3">
        <f t="shared" si="84"/>
        <v>1</v>
      </c>
      <c r="O94" s="3">
        <f t="shared" si="84"/>
        <v>1</v>
      </c>
      <c r="P94" s="3">
        <f t="shared" si="84"/>
        <v>1</v>
      </c>
      <c r="Q94" s="3">
        <f t="shared" si="84"/>
        <v>1</v>
      </c>
      <c r="R94" s="3">
        <f t="shared" si="84"/>
        <v>1</v>
      </c>
      <c r="S94" s="3">
        <f t="shared" si="84"/>
        <v>1</v>
      </c>
      <c r="T94" s="3">
        <f t="shared" si="84"/>
        <v>1</v>
      </c>
      <c r="U94" s="3">
        <f t="shared" si="84"/>
        <v>1</v>
      </c>
      <c r="V94" s="3">
        <f t="shared" si="84"/>
        <v>1</v>
      </c>
      <c r="W94" s="3">
        <f t="shared" si="84"/>
        <v>1</v>
      </c>
    </row>
    <row r="95" customHeight="1" spans="1:23">
      <c r="A95" s="2">
        <v>82</v>
      </c>
      <c r="B95" s="3">
        <f t="shared" ref="B95:W95" si="85">MIN(1,IF($A95&lt;B$4+B$3,0,IF(B$2=0,1,IF(B$5=0,1/(1+(B$6*EXP(-($A95-B$4)/B$7))),IF(MOD($A95-B$4,B$5)=0,1/(1+(B$6*EXP(-($A95-B$4)/B$7))),1/(1+(B$6*EXP(-(QUOTIENT($A95-B$4,B$5)*B$5)/B$7))))))))</f>
        <v>0.99929334969077</v>
      </c>
      <c r="C95" s="3">
        <f t="shared" si="85"/>
        <v>0.99929334969077</v>
      </c>
      <c r="D95" s="3" t="e">
        <f t="shared" si="85"/>
        <v>#DIV/0!</v>
      </c>
      <c r="E95" s="3" t="e">
        <f t="shared" si="85"/>
        <v>#REF!</v>
      </c>
      <c r="F95" s="3">
        <f t="shared" si="85"/>
        <v>0.999998868482528</v>
      </c>
      <c r="G95" s="3">
        <f t="shared" si="85"/>
        <v>0.999998868482528</v>
      </c>
      <c r="H95" s="3">
        <f t="shared" si="85"/>
        <v>0.99929334969077</v>
      </c>
      <c r="I95" s="3">
        <f t="shared" si="85"/>
        <v>0.99929334969077</v>
      </c>
      <c r="J95" s="3">
        <f t="shared" si="85"/>
        <v>1</v>
      </c>
      <c r="K95" s="3">
        <f t="shared" si="85"/>
        <v>0.99929334969077</v>
      </c>
      <c r="L95" s="3">
        <f t="shared" si="85"/>
        <v>0.99929334969077</v>
      </c>
      <c r="M95" s="3" t="e">
        <f t="shared" si="85"/>
        <v>#REF!</v>
      </c>
      <c r="N95" s="3">
        <f t="shared" si="85"/>
        <v>1</v>
      </c>
      <c r="O95" s="3">
        <f t="shared" si="85"/>
        <v>1</v>
      </c>
      <c r="P95" s="3">
        <f t="shared" si="85"/>
        <v>1</v>
      </c>
      <c r="Q95" s="3">
        <f t="shared" si="85"/>
        <v>1</v>
      </c>
      <c r="R95" s="3">
        <f t="shared" si="85"/>
        <v>1</v>
      </c>
      <c r="S95" s="3">
        <f t="shared" si="85"/>
        <v>1</v>
      </c>
      <c r="T95" s="3">
        <f t="shared" si="85"/>
        <v>1</v>
      </c>
      <c r="U95" s="3">
        <f t="shared" si="85"/>
        <v>1</v>
      </c>
      <c r="V95" s="3">
        <f t="shared" si="85"/>
        <v>1</v>
      </c>
      <c r="W95" s="3">
        <f t="shared" si="85"/>
        <v>1</v>
      </c>
    </row>
    <row r="96" customHeight="1" spans="1:23">
      <c r="A96" s="2">
        <v>83</v>
      </c>
      <c r="B96" s="3">
        <f t="shared" ref="B96:W96" si="86">MIN(1,IF($A96&lt;B$4+B$3,0,IF(B$2=0,1,IF(B$5=0,1/(1+(B$6*EXP(-($A96-B$4)/B$7))),IF(MOD($A96-B$4,B$5)=0,1/(1+(B$6*EXP(-($A96-B$4)/B$7))),1/(1+(B$6*EXP(-(QUOTIENT($A96-B$4,B$5)*B$5)/B$7))))))))</f>
        <v>0.999376331505454</v>
      </c>
      <c r="C96" s="3">
        <f t="shared" si="86"/>
        <v>0.999376331505454</v>
      </c>
      <c r="D96" s="3" t="e">
        <f t="shared" si="86"/>
        <v>#DIV/0!</v>
      </c>
      <c r="E96" s="3" t="e">
        <f t="shared" si="86"/>
        <v>#REF!</v>
      </c>
      <c r="F96" s="3">
        <f t="shared" si="86"/>
        <v>0.999999073591658</v>
      </c>
      <c r="G96" s="3">
        <f t="shared" si="86"/>
        <v>0.999999073591658</v>
      </c>
      <c r="H96" s="3">
        <f t="shared" si="86"/>
        <v>0.999376331505454</v>
      </c>
      <c r="I96" s="3">
        <f t="shared" si="86"/>
        <v>0.999376331505454</v>
      </c>
      <c r="J96" s="3">
        <f t="shared" si="86"/>
        <v>1</v>
      </c>
      <c r="K96" s="3">
        <f t="shared" si="86"/>
        <v>0.999376331505454</v>
      </c>
      <c r="L96" s="3">
        <f t="shared" si="86"/>
        <v>0.999376331505454</v>
      </c>
      <c r="M96" s="3" t="e">
        <f t="shared" si="86"/>
        <v>#REF!</v>
      </c>
      <c r="N96" s="3">
        <f t="shared" si="86"/>
        <v>1</v>
      </c>
      <c r="O96" s="3">
        <f t="shared" si="86"/>
        <v>1</v>
      </c>
      <c r="P96" s="3">
        <f t="shared" si="86"/>
        <v>1</v>
      </c>
      <c r="Q96" s="3">
        <f t="shared" si="86"/>
        <v>1</v>
      </c>
      <c r="R96" s="3">
        <f t="shared" si="86"/>
        <v>1</v>
      </c>
      <c r="S96" s="3">
        <f t="shared" si="86"/>
        <v>1</v>
      </c>
      <c r="T96" s="3">
        <f t="shared" si="86"/>
        <v>1</v>
      </c>
      <c r="U96" s="3">
        <f t="shared" si="86"/>
        <v>1</v>
      </c>
      <c r="V96" s="3">
        <f t="shared" si="86"/>
        <v>1</v>
      </c>
      <c r="W96" s="3">
        <f t="shared" si="86"/>
        <v>1</v>
      </c>
    </row>
    <row r="97" customHeight="1" spans="1:23">
      <c r="A97" s="2">
        <v>84</v>
      </c>
      <c r="B97" s="3">
        <f t="shared" ref="B97:W97" si="87">MIN(1,IF($A97&lt;B$4+B$3,0,IF(B$2=0,1,IF(B$5=0,1/(1+(B$6*EXP(-($A97-B$4)/B$7))),IF(MOD($A97-B$4,B$5)=0,1/(1+(B$6*EXP(-($A97-B$4)/B$7))),1/(1+(B$6*EXP(-(QUOTIENT($A97-B$4,B$5)*B$5)/B$7))))))))</f>
        <v>0.999449574148477</v>
      </c>
      <c r="C97" s="3">
        <f t="shared" si="87"/>
        <v>0.999449574148477</v>
      </c>
      <c r="D97" s="3" t="e">
        <f t="shared" si="87"/>
        <v>#DIV/0!</v>
      </c>
      <c r="E97" s="3" t="e">
        <f t="shared" si="87"/>
        <v>#REF!</v>
      </c>
      <c r="F97" s="3">
        <f t="shared" si="87"/>
        <v>0.999999241520873</v>
      </c>
      <c r="G97" s="3">
        <f t="shared" si="87"/>
        <v>0.999999241520873</v>
      </c>
      <c r="H97" s="3">
        <f t="shared" si="87"/>
        <v>0.999449574148477</v>
      </c>
      <c r="I97" s="3">
        <f t="shared" si="87"/>
        <v>0.999449574148477</v>
      </c>
      <c r="J97" s="3">
        <f t="shared" si="87"/>
        <v>1</v>
      </c>
      <c r="K97" s="3">
        <f t="shared" si="87"/>
        <v>0.999449574148477</v>
      </c>
      <c r="L97" s="3">
        <f t="shared" si="87"/>
        <v>0.999449574148477</v>
      </c>
      <c r="M97" s="3" t="e">
        <f t="shared" si="87"/>
        <v>#REF!</v>
      </c>
      <c r="N97" s="3">
        <f t="shared" si="87"/>
        <v>1</v>
      </c>
      <c r="O97" s="3">
        <f t="shared" si="87"/>
        <v>1</v>
      </c>
      <c r="P97" s="3">
        <f t="shared" si="87"/>
        <v>1</v>
      </c>
      <c r="Q97" s="3">
        <f t="shared" si="87"/>
        <v>1</v>
      </c>
      <c r="R97" s="3">
        <f t="shared" si="87"/>
        <v>1</v>
      </c>
      <c r="S97" s="3">
        <f t="shared" si="87"/>
        <v>1</v>
      </c>
      <c r="T97" s="3">
        <f t="shared" si="87"/>
        <v>1</v>
      </c>
      <c r="U97" s="3">
        <f t="shared" si="87"/>
        <v>1</v>
      </c>
      <c r="V97" s="3">
        <f t="shared" si="87"/>
        <v>1</v>
      </c>
      <c r="W97" s="3">
        <f t="shared" si="87"/>
        <v>1</v>
      </c>
    </row>
    <row r="98" customHeight="1" spans="1:23">
      <c r="A98" s="2">
        <v>85</v>
      </c>
      <c r="B98" s="3">
        <f t="shared" ref="B98:W98" si="88">MIN(1,IF($A98&lt;B$4+B$3,0,IF(B$2=0,1,IF(B$5=0,1/(1+(B$6*EXP(-($A98-B$4)/B$7))),IF(MOD($A98-B$4,B$5)=0,1/(1+(B$6*EXP(-($A98-B$4)/B$7))),1/(1+(B$6*EXP(-(QUOTIENT($A98-B$4,B$5)*B$5)/B$7))))))))</f>
        <v>0.999514219472226</v>
      </c>
      <c r="C98" s="3">
        <f t="shared" si="88"/>
        <v>0.999514219472226</v>
      </c>
      <c r="D98" s="3" t="e">
        <f t="shared" si="88"/>
        <v>#DIV/0!</v>
      </c>
      <c r="E98" s="3" t="e">
        <f t="shared" si="88"/>
        <v>#REF!</v>
      </c>
      <c r="F98" s="3">
        <f t="shared" si="88"/>
        <v>0.999999379009728</v>
      </c>
      <c r="G98" s="3">
        <f t="shared" si="88"/>
        <v>0.999999379009728</v>
      </c>
      <c r="H98" s="3">
        <f t="shared" si="88"/>
        <v>0.999514219472226</v>
      </c>
      <c r="I98" s="3">
        <f t="shared" si="88"/>
        <v>0.999514219472226</v>
      </c>
      <c r="J98" s="3">
        <f t="shared" si="88"/>
        <v>1</v>
      </c>
      <c r="K98" s="3">
        <f t="shared" si="88"/>
        <v>0.999514219472226</v>
      </c>
      <c r="L98" s="3">
        <f t="shared" si="88"/>
        <v>0.999514219472226</v>
      </c>
      <c r="M98" s="3" t="e">
        <f t="shared" si="88"/>
        <v>#REF!</v>
      </c>
      <c r="N98" s="3">
        <f t="shared" si="88"/>
        <v>1</v>
      </c>
      <c r="O98" s="3">
        <f t="shared" si="88"/>
        <v>1</v>
      </c>
      <c r="P98" s="3">
        <f t="shared" si="88"/>
        <v>1</v>
      </c>
      <c r="Q98" s="3">
        <f t="shared" si="88"/>
        <v>1</v>
      </c>
      <c r="R98" s="3">
        <f t="shared" si="88"/>
        <v>1</v>
      </c>
      <c r="S98" s="3">
        <f t="shared" si="88"/>
        <v>1</v>
      </c>
      <c r="T98" s="3">
        <f t="shared" si="88"/>
        <v>1</v>
      </c>
      <c r="U98" s="3">
        <f t="shared" si="88"/>
        <v>1</v>
      </c>
      <c r="V98" s="3">
        <f t="shared" si="88"/>
        <v>1</v>
      </c>
      <c r="W98" s="3">
        <f t="shared" si="88"/>
        <v>1</v>
      </c>
    </row>
    <row r="99" customHeight="1" spans="1:23">
      <c r="A99" s="2">
        <v>86</v>
      </c>
      <c r="B99" s="3">
        <f t="shared" ref="B99:W99" si="89">MIN(1,IF($A99&lt;B$4+B$3,0,IF(B$2=0,1,IF(B$5=0,1/(1+(B$6*EXP(-($A99-B$4)/B$7))),IF(MOD($A99-B$4,B$5)=0,1/(1+(B$6*EXP(-($A99-B$4)/B$7))),1/(1+(B$6*EXP(-(QUOTIENT($A99-B$4,B$5)*B$5)/B$7))))))))</f>
        <v>0.999571275717014</v>
      </c>
      <c r="C99" s="3">
        <f t="shared" si="89"/>
        <v>0.999571275717014</v>
      </c>
      <c r="D99" s="3" t="e">
        <f t="shared" si="89"/>
        <v>#DIV/0!</v>
      </c>
      <c r="E99" s="3" t="e">
        <f t="shared" si="89"/>
        <v>#REF!</v>
      </c>
      <c r="F99" s="3">
        <f t="shared" si="89"/>
        <v>0.999999491576109</v>
      </c>
      <c r="G99" s="3">
        <f t="shared" si="89"/>
        <v>0.999999491576109</v>
      </c>
      <c r="H99" s="3">
        <f t="shared" si="89"/>
        <v>0.999571275717014</v>
      </c>
      <c r="I99" s="3">
        <f t="shared" si="89"/>
        <v>0.999571275717014</v>
      </c>
      <c r="J99" s="3">
        <f t="shared" si="89"/>
        <v>1</v>
      </c>
      <c r="K99" s="3">
        <f t="shared" si="89"/>
        <v>0.999571275717014</v>
      </c>
      <c r="L99" s="3">
        <f t="shared" si="89"/>
        <v>0.999571275717014</v>
      </c>
      <c r="M99" s="3" t="e">
        <f t="shared" si="89"/>
        <v>#REF!</v>
      </c>
      <c r="N99" s="3">
        <f t="shared" si="89"/>
        <v>1</v>
      </c>
      <c r="O99" s="3">
        <f t="shared" si="89"/>
        <v>1</v>
      </c>
      <c r="P99" s="3">
        <f t="shared" si="89"/>
        <v>1</v>
      </c>
      <c r="Q99" s="3">
        <f t="shared" si="89"/>
        <v>1</v>
      </c>
      <c r="R99" s="3">
        <f t="shared" si="89"/>
        <v>1</v>
      </c>
      <c r="S99" s="3">
        <f t="shared" si="89"/>
        <v>1</v>
      </c>
      <c r="T99" s="3">
        <f t="shared" si="89"/>
        <v>1</v>
      </c>
      <c r="U99" s="3">
        <f t="shared" si="89"/>
        <v>1</v>
      </c>
      <c r="V99" s="3">
        <f t="shared" si="89"/>
        <v>1</v>
      </c>
      <c r="W99" s="3">
        <f t="shared" si="89"/>
        <v>1</v>
      </c>
    </row>
    <row r="100" customHeight="1" spans="1:23">
      <c r="A100" s="2">
        <v>87</v>
      </c>
      <c r="B100" s="3">
        <f t="shared" ref="B100:W100" si="90">MIN(1,IF($A100&lt;B$4+B$3,0,IF(B$2=0,1,IF(B$5=0,1/(1+(B$6*EXP(-($A100-B$4)/B$7))),IF(MOD($A100-B$4,B$5)=0,1/(1+(B$6*EXP(-($A100-B$4)/B$7))),1/(1+(B$6*EXP(-(QUOTIENT($A100-B$4,B$5)*B$5)/B$7))))))))</f>
        <v>0.999621633087428</v>
      </c>
      <c r="C100" s="3">
        <f t="shared" si="90"/>
        <v>0.999621633087428</v>
      </c>
      <c r="D100" s="3" t="e">
        <f t="shared" si="90"/>
        <v>#DIV/0!</v>
      </c>
      <c r="E100" s="3" t="e">
        <f t="shared" si="90"/>
        <v>#REF!</v>
      </c>
      <c r="F100" s="3">
        <f t="shared" si="90"/>
        <v>0.999999583737687</v>
      </c>
      <c r="G100" s="3">
        <f t="shared" si="90"/>
        <v>0.999999583737687</v>
      </c>
      <c r="H100" s="3">
        <f t="shared" si="90"/>
        <v>0.999621633087428</v>
      </c>
      <c r="I100" s="3">
        <f t="shared" si="90"/>
        <v>0.999621633087428</v>
      </c>
      <c r="J100" s="3">
        <f t="shared" si="90"/>
        <v>1</v>
      </c>
      <c r="K100" s="3">
        <f t="shared" si="90"/>
        <v>0.999621633087428</v>
      </c>
      <c r="L100" s="3">
        <f t="shared" si="90"/>
        <v>0.999621633087428</v>
      </c>
      <c r="M100" s="3" t="e">
        <f t="shared" si="90"/>
        <v>#REF!</v>
      </c>
      <c r="N100" s="3">
        <f t="shared" si="90"/>
        <v>1</v>
      </c>
      <c r="O100" s="3">
        <f t="shared" si="90"/>
        <v>1</v>
      </c>
      <c r="P100" s="3">
        <f t="shared" si="90"/>
        <v>1</v>
      </c>
      <c r="Q100" s="3">
        <f t="shared" si="90"/>
        <v>1</v>
      </c>
      <c r="R100" s="3">
        <f t="shared" si="90"/>
        <v>1</v>
      </c>
      <c r="S100" s="3">
        <f t="shared" si="90"/>
        <v>1</v>
      </c>
      <c r="T100" s="3">
        <f t="shared" si="90"/>
        <v>1</v>
      </c>
      <c r="U100" s="3">
        <f t="shared" si="90"/>
        <v>1</v>
      </c>
      <c r="V100" s="3">
        <f t="shared" si="90"/>
        <v>1</v>
      </c>
      <c r="W100" s="3">
        <f t="shared" si="90"/>
        <v>1</v>
      </c>
    </row>
    <row r="101" customHeight="1" spans="1:23">
      <c r="A101" s="2">
        <v>88</v>
      </c>
      <c r="B101" s="3">
        <f t="shared" ref="B101:W101" si="91">MIN(1,IF($A101&lt;B$4+B$3,0,IF(B$2=0,1,IF(B$5=0,1/(1+(B$6*EXP(-($A101-B$4)/B$7))),IF(MOD($A101-B$4,B$5)=0,1/(1+(B$6*EXP(-($A101-B$4)/B$7))),1/(1+(B$6*EXP(-(QUOTIENT($A101-B$4,B$5)*B$5)/B$7))))))))</f>
        <v>0.99966607752566</v>
      </c>
      <c r="C101" s="3">
        <f t="shared" si="91"/>
        <v>0.99966607752566</v>
      </c>
      <c r="D101" s="3" t="e">
        <f t="shared" si="91"/>
        <v>#DIV/0!</v>
      </c>
      <c r="E101" s="3" t="e">
        <f t="shared" si="91"/>
        <v>#REF!</v>
      </c>
      <c r="F101" s="3">
        <f t="shared" si="91"/>
        <v>0.999999659193217</v>
      </c>
      <c r="G101" s="3">
        <f t="shared" si="91"/>
        <v>0.999999659193217</v>
      </c>
      <c r="H101" s="3">
        <f t="shared" si="91"/>
        <v>0.99966607752566</v>
      </c>
      <c r="I101" s="3">
        <f t="shared" si="91"/>
        <v>0.99966607752566</v>
      </c>
      <c r="J101" s="3">
        <f t="shared" si="91"/>
        <v>1</v>
      </c>
      <c r="K101" s="3">
        <f t="shared" si="91"/>
        <v>0.99966607752566</v>
      </c>
      <c r="L101" s="3">
        <f t="shared" si="91"/>
        <v>0.99966607752566</v>
      </c>
      <c r="M101" s="3" t="e">
        <f t="shared" si="91"/>
        <v>#REF!</v>
      </c>
      <c r="N101" s="3">
        <f t="shared" si="91"/>
        <v>1</v>
      </c>
      <c r="O101" s="3">
        <f t="shared" si="91"/>
        <v>1</v>
      </c>
      <c r="P101" s="3">
        <f t="shared" si="91"/>
        <v>1</v>
      </c>
      <c r="Q101" s="3">
        <f t="shared" si="91"/>
        <v>1</v>
      </c>
      <c r="R101" s="3">
        <f t="shared" si="91"/>
        <v>1</v>
      </c>
      <c r="S101" s="3">
        <f t="shared" si="91"/>
        <v>1</v>
      </c>
      <c r="T101" s="3">
        <f t="shared" si="91"/>
        <v>1</v>
      </c>
      <c r="U101" s="3">
        <f t="shared" si="91"/>
        <v>1</v>
      </c>
      <c r="V101" s="3">
        <f t="shared" si="91"/>
        <v>1</v>
      </c>
      <c r="W101" s="3">
        <f t="shared" si="91"/>
        <v>1</v>
      </c>
    </row>
    <row r="102" customHeight="1" spans="1:23">
      <c r="A102" s="2">
        <v>89</v>
      </c>
      <c r="B102" s="3">
        <f t="shared" ref="B102:W102" si="92">MIN(1,IF($A102&lt;B$4+B$3,0,IF(B$2=0,1,IF(B$5=0,1/(1+(B$6*EXP(-($A102-B$4)/B$7))),IF(MOD($A102-B$4,B$5)=0,1/(1+(B$6*EXP(-($A102-B$4)/B$7))),1/(1+(B$6*EXP(-(QUOTIENT($A102-B$4,B$5)*B$5)/B$7))))))))</f>
        <v>0.999705302887683</v>
      </c>
      <c r="C102" s="3">
        <f t="shared" si="92"/>
        <v>0.999705302887683</v>
      </c>
      <c r="D102" s="3" t="e">
        <f t="shared" si="92"/>
        <v>#DIV/0!</v>
      </c>
      <c r="E102" s="3" t="e">
        <f t="shared" si="92"/>
        <v>#REF!</v>
      </c>
      <c r="F102" s="3">
        <f t="shared" si="92"/>
        <v>0.999999720970989</v>
      </c>
      <c r="G102" s="3">
        <f t="shared" si="92"/>
        <v>0.999999720970989</v>
      </c>
      <c r="H102" s="3">
        <f t="shared" si="92"/>
        <v>0.999705302887683</v>
      </c>
      <c r="I102" s="3">
        <f t="shared" si="92"/>
        <v>0.999705302887683</v>
      </c>
      <c r="J102" s="3">
        <f t="shared" si="92"/>
        <v>1</v>
      </c>
      <c r="K102" s="3">
        <f t="shared" si="92"/>
        <v>0.999705302887683</v>
      </c>
      <c r="L102" s="3">
        <f t="shared" si="92"/>
        <v>0.999705302887683</v>
      </c>
      <c r="M102" s="3" t="e">
        <f t="shared" si="92"/>
        <v>#REF!</v>
      </c>
      <c r="N102" s="3">
        <f t="shared" si="92"/>
        <v>1</v>
      </c>
      <c r="O102" s="3">
        <f t="shared" si="92"/>
        <v>1</v>
      </c>
      <c r="P102" s="3">
        <f t="shared" si="92"/>
        <v>1</v>
      </c>
      <c r="Q102" s="3">
        <f t="shared" si="92"/>
        <v>1</v>
      </c>
      <c r="R102" s="3">
        <f t="shared" si="92"/>
        <v>1</v>
      </c>
      <c r="S102" s="3">
        <f t="shared" si="92"/>
        <v>1</v>
      </c>
      <c r="T102" s="3">
        <f t="shared" si="92"/>
        <v>1</v>
      </c>
      <c r="U102" s="3">
        <f t="shared" si="92"/>
        <v>1</v>
      </c>
      <c r="V102" s="3">
        <f t="shared" si="92"/>
        <v>1</v>
      </c>
      <c r="W102" s="3">
        <f t="shared" si="92"/>
        <v>1</v>
      </c>
    </row>
    <row r="103" customHeight="1" spans="1:23">
      <c r="A103" s="2">
        <v>90</v>
      </c>
      <c r="B103" s="3">
        <f t="shared" ref="B103:W103" si="93">MIN(1,IF($A103&lt;B$4+B$3,0,IF(B$2=0,1,IF(B$5=0,1/(1+(B$6*EXP(-($A103-B$4)/B$7))),IF(MOD($A103-B$4,B$5)=0,1/(1+(B$6*EXP(-($A103-B$4)/B$7))),1/(1+(B$6*EXP(-(QUOTIENT($A103-B$4,B$5)*B$5)/B$7))))))))</f>
        <v>0.999739921705235</v>
      </c>
      <c r="C103" s="3">
        <f t="shared" si="93"/>
        <v>0.999739921705235</v>
      </c>
      <c r="D103" s="3" t="e">
        <f t="shared" si="93"/>
        <v>#DIV/0!</v>
      </c>
      <c r="E103" s="3" t="e">
        <f t="shared" si="93"/>
        <v>#REF!</v>
      </c>
      <c r="F103" s="3">
        <f t="shared" si="93"/>
        <v>0.999999771550356</v>
      </c>
      <c r="G103" s="3">
        <f t="shared" si="93"/>
        <v>0.999999771550356</v>
      </c>
      <c r="H103" s="3">
        <f t="shared" si="93"/>
        <v>0.999739921705235</v>
      </c>
      <c r="I103" s="3">
        <f t="shared" si="93"/>
        <v>0.999739921705235</v>
      </c>
      <c r="J103" s="3">
        <f t="shared" si="93"/>
        <v>1</v>
      </c>
      <c r="K103" s="3">
        <f t="shared" si="93"/>
        <v>0.999739921705235</v>
      </c>
      <c r="L103" s="3">
        <f t="shared" si="93"/>
        <v>0.999739921705235</v>
      </c>
      <c r="M103" s="3" t="e">
        <f t="shared" si="93"/>
        <v>#REF!</v>
      </c>
      <c r="N103" s="3">
        <f t="shared" si="93"/>
        <v>1</v>
      </c>
      <c r="O103" s="3">
        <f t="shared" si="93"/>
        <v>1</v>
      </c>
      <c r="P103" s="3">
        <f t="shared" si="93"/>
        <v>1</v>
      </c>
      <c r="Q103" s="3">
        <f t="shared" si="93"/>
        <v>1</v>
      </c>
      <c r="R103" s="3">
        <f t="shared" si="93"/>
        <v>1</v>
      </c>
      <c r="S103" s="3">
        <f t="shared" si="93"/>
        <v>1</v>
      </c>
      <c r="T103" s="3">
        <f t="shared" si="93"/>
        <v>1</v>
      </c>
      <c r="U103" s="3">
        <f t="shared" si="93"/>
        <v>1</v>
      </c>
      <c r="V103" s="3">
        <f t="shared" si="93"/>
        <v>1</v>
      </c>
      <c r="W103" s="3">
        <f t="shared" si="93"/>
        <v>1</v>
      </c>
    </row>
    <row r="104" customHeight="1" spans="1:23">
      <c r="A104" s="2">
        <v>91</v>
      </c>
      <c r="B104" s="3">
        <f t="shared" ref="B104:W104" si="94">MIN(1,IF($A104&lt;B$4+B$3,0,IF(B$2=0,1,IF(B$5=0,1/(1+(B$6*EXP(-($A104-B$4)/B$7))),IF(MOD($A104-B$4,B$5)=0,1/(1+(B$6*EXP(-($A104-B$4)/B$7))),1/(1+(B$6*EXP(-(QUOTIENT($A104-B$4,B$5)*B$5)/B$7))))))))</f>
        <v>0.999770474696145</v>
      </c>
      <c r="C104" s="3">
        <f t="shared" si="94"/>
        <v>0.999770474696145</v>
      </c>
      <c r="D104" s="3" t="e">
        <f t="shared" si="94"/>
        <v>#DIV/0!</v>
      </c>
      <c r="E104" s="3" t="e">
        <f t="shared" si="94"/>
        <v>#REF!</v>
      </c>
      <c r="F104" s="3">
        <f t="shared" si="94"/>
        <v>0.999999812961243</v>
      </c>
      <c r="G104" s="3">
        <f t="shared" si="94"/>
        <v>0.999999812961243</v>
      </c>
      <c r="H104" s="3">
        <f t="shared" si="94"/>
        <v>0.999770474696145</v>
      </c>
      <c r="I104" s="3">
        <f t="shared" si="94"/>
        <v>0.999770474696145</v>
      </c>
      <c r="J104" s="3">
        <f t="shared" si="94"/>
        <v>1</v>
      </c>
      <c r="K104" s="3">
        <f t="shared" si="94"/>
        <v>0.999770474696145</v>
      </c>
      <c r="L104" s="3">
        <f t="shared" si="94"/>
        <v>0.999770474696145</v>
      </c>
      <c r="M104" s="3" t="e">
        <f t="shared" si="94"/>
        <v>#REF!</v>
      </c>
      <c r="N104" s="3">
        <f t="shared" si="94"/>
        <v>1</v>
      </c>
      <c r="O104" s="3">
        <f t="shared" si="94"/>
        <v>1</v>
      </c>
      <c r="P104" s="3">
        <f t="shared" si="94"/>
        <v>1</v>
      </c>
      <c r="Q104" s="3">
        <f t="shared" si="94"/>
        <v>1</v>
      </c>
      <c r="R104" s="3">
        <f t="shared" si="94"/>
        <v>1</v>
      </c>
      <c r="S104" s="3">
        <f t="shared" si="94"/>
        <v>1</v>
      </c>
      <c r="T104" s="3">
        <f t="shared" si="94"/>
        <v>1</v>
      </c>
      <c r="U104" s="3">
        <f t="shared" si="94"/>
        <v>1</v>
      </c>
      <c r="V104" s="3">
        <f t="shared" si="94"/>
        <v>1</v>
      </c>
      <c r="W104" s="3">
        <f t="shared" si="94"/>
        <v>1</v>
      </c>
    </row>
    <row r="105" customHeight="1" spans="1:23">
      <c r="A105" s="2">
        <v>92</v>
      </c>
      <c r="B105" s="3">
        <f t="shared" ref="B105:W105" si="95">MIN(1,IF($A105&lt;B$4+B$3,0,IF(B$2=0,1,IF(B$5=0,1/(1+(B$6*EXP(-($A105-B$4)/B$7))),IF(MOD($A105-B$4,B$5)=0,1/(1+(B$6*EXP(-($A105-B$4)/B$7))),1/(1+(B$6*EXP(-(QUOTIENT($A105-B$4,B$5)*B$5)/B$7))))))))</f>
        <v>0.999797439167231</v>
      </c>
      <c r="C105" s="3">
        <f t="shared" si="95"/>
        <v>0.999797439167231</v>
      </c>
      <c r="D105" s="3" t="e">
        <f t="shared" si="95"/>
        <v>#DIV/0!</v>
      </c>
      <c r="E105" s="3" t="e">
        <f t="shared" si="95"/>
        <v>#REF!</v>
      </c>
      <c r="F105" s="3">
        <f t="shared" si="95"/>
        <v>0.999999846865612</v>
      </c>
      <c r="G105" s="3">
        <f t="shared" si="95"/>
        <v>0.999999846865612</v>
      </c>
      <c r="H105" s="3">
        <f t="shared" si="95"/>
        <v>0.999797439167231</v>
      </c>
      <c r="I105" s="3">
        <f t="shared" si="95"/>
        <v>0.999797439167231</v>
      </c>
      <c r="J105" s="3">
        <f t="shared" si="95"/>
        <v>1</v>
      </c>
      <c r="K105" s="3">
        <f t="shared" si="95"/>
        <v>0.999797439167231</v>
      </c>
      <c r="L105" s="3">
        <f t="shared" si="95"/>
        <v>0.999797439167231</v>
      </c>
      <c r="M105" s="3" t="e">
        <f t="shared" si="95"/>
        <v>#REF!</v>
      </c>
      <c r="N105" s="3">
        <f t="shared" si="95"/>
        <v>1</v>
      </c>
      <c r="O105" s="3">
        <f t="shared" si="95"/>
        <v>1</v>
      </c>
      <c r="P105" s="3">
        <f t="shared" si="95"/>
        <v>1</v>
      </c>
      <c r="Q105" s="3">
        <f t="shared" si="95"/>
        <v>1</v>
      </c>
      <c r="R105" s="3">
        <f t="shared" si="95"/>
        <v>1</v>
      </c>
      <c r="S105" s="3">
        <f t="shared" si="95"/>
        <v>1</v>
      </c>
      <c r="T105" s="3">
        <f t="shared" si="95"/>
        <v>1</v>
      </c>
      <c r="U105" s="3">
        <f t="shared" si="95"/>
        <v>1</v>
      </c>
      <c r="V105" s="3">
        <f t="shared" si="95"/>
        <v>1</v>
      </c>
      <c r="W105" s="3">
        <f t="shared" si="95"/>
        <v>1</v>
      </c>
    </row>
    <row r="106" customHeight="1" spans="1:23">
      <c r="A106" s="2">
        <v>93</v>
      </c>
      <c r="B106" s="3">
        <f t="shared" ref="B106:W106" si="96">MIN(1,IF($A106&lt;B$4+B$3,0,IF(B$2=0,1,IF(B$5=0,1/(1+(B$6*EXP(-($A106-B$4)/B$7))),IF(MOD($A106-B$4,B$5)=0,1/(1+(B$6*EXP(-($A106-B$4)/B$7))),1/(1+(B$6*EXP(-(QUOTIENT($A106-B$4,B$5)*B$5)/B$7))))))))</f>
        <v>0.999821236437651</v>
      </c>
      <c r="C106" s="3">
        <f t="shared" si="96"/>
        <v>0.999821236437651</v>
      </c>
      <c r="D106" s="3" t="e">
        <f t="shared" si="96"/>
        <v>#DIV/0!</v>
      </c>
      <c r="E106" s="3" t="e">
        <f t="shared" si="96"/>
        <v>#REF!</v>
      </c>
      <c r="F106" s="3">
        <f t="shared" si="96"/>
        <v>0.999999874624164</v>
      </c>
      <c r="G106" s="3">
        <f t="shared" si="96"/>
        <v>0.999999874624164</v>
      </c>
      <c r="H106" s="3">
        <f t="shared" si="96"/>
        <v>0.999821236437651</v>
      </c>
      <c r="I106" s="3">
        <f t="shared" si="96"/>
        <v>0.999821236437651</v>
      </c>
      <c r="J106" s="3">
        <f t="shared" si="96"/>
        <v>1</v>
      </c>
      <c r="K106" s="3">
        <f t="shared" si="96"/>
        <v>0.999821236437651</v>
      </c>
      <c r="L106" s="3">
        <f t="shared" si="96"/>
        <v>0.999821236437651</v>
      </c>
      <c r="M106" s="3" t="e">
        <f t="shared" si="96"/>
        <v>#REF!</v>
      </c>
      <c r="N106" s="3">
        <f t="shared" si="96"/>
        <v>1</v>
      </c>
      <c r="O106" s="3">
        <f t="shared" si="96"/>
        <v>1</v>
      </c>
      <c r="P106" s="3">
        <f t="shared" si="96"/>
        <v>1</v>
      </c>
      <c r="Q106" s="3">
        <f t="shared" si="96"/>
        <v>1</v>
      </c>
      <c r="R106" s="3">
        <f t="shared" si="96"/>
        <v>1</v>
      </c>
      <c r="S106" s="3">
        <f t="shared" si="96"/>
        <v>1</v>
      </c>
      <c r="T106" s="3">
        <f t="shared" si="96"/>
        <v>1</v>
      </c>
      <c r="U106" s="3">
        <f t="shared" si="96"/>
        <v>1</v>
      </c>
      <c r="V106" s="3">
        <f t="shared" si="96"/>
        <v>1</v>
      </c>
      <c r="W106" s="3">
        <f t="shared" si="96"/>
        <v>1</v>
      </c>
    </row>
    <row r="107" customHeight="1" spans="1:23">
      <c r="A107" s="2">
        <v>94</v>
      </c>
      <c r="B107" s="3">
        <f t="shared" ref="B107:W107" si="97">MIN(1,IF($A107&lt;B$4+B$3,0,IF(B$2=0,1,IF(B$5=0,1/(1+(B$6*EXP(-($A107-B$4)/B$7))),IF(MOD($A107-B$4,B$5)=0,1/(1+(B$6*EXP(-($A107-B$4)/B$7))),1/(1+(B$6*EXP(-(QUOTIENT($A107-B$4,B$5)*B$5)/B$7))))))))</f>
        <v>0.999842238396107</v>
      </c>
      <c r="C107" s="3">
        <f t="shared" si="97"/>
        <v>0.999842238396107</v>
      </c>
      <c r="D107" s="3" t="e">
        <f t="shared" si="97"/>
        <v>#DIV/0!</v>
      </c>
      <c r="E107" s="3" t="e">
        <f t="shared" si="97"/>
        <v>#REF!</v>
      </c>
      <c r="F107" s="3">
        <f t="shared" si="97"/>
        <v>0.999999897350945</v>
      </c>
      <c r="G107" s="3">
        <f t="shared" si="97"/>
        <v>0.999999897350945</v>
      </c>
      <c r="H107" s="3">
        <f t="shared" si="97"/>
        <v>0.999842238396107</v>
      </c>
      <c r="I107" s="3">
        <f t="shared" si="97"/>
        <v>0.999842238396107</v>
      </c>
      <c r="J107" s="3">
        <f t="shared" si="97"/>
        <v>1</v>
      </c>
      <c r="K107" s="3">
        <f t="shared" si="97"/>
        <v>0.999842238396107</v>
      </c>
      <c r="L107" s="3">
        <f t="shared" si="97"/>
        <v>0.999842238396107</v>
      </c>
      <c r="M107" s="3" t="e">
        <f t="shared" si="97"/>
        <v>#REF!</v>
      </c>
      <c r="N107" s="3">
        <f t="shared" si="97"/>
        <v>1</v>
      </c>
      <c r="O107" s="3">
        <f t="shared" si="97"/>
        <v>1</v>
      </c>
      <c r="P107" s="3">
        <f t="shared" si="97"/>
        <v>1</v>
      </c>
      <c r="Q107" s="3">
        <f t="shared" si="97"/>
        <v>1</v>
      </c>
      <c r="R107" s="3">
        <f t="shared" si="97"/>
        <v>1</v>
      </c>
      <c r="S107" s="3">
        <f t="shared" si="97"/>
        <v>1</v>
      </c>
      <c r="T107" s="3">
        <f t="shared" si="97"/>
        <v>1</v>
      </c>
      <c r="U107" s="3">
        <f t="shared" si="97"/>
        <v>1</v>
      </c>
      <c r="V107" s="3">
        <f t="shared" si="97"/>
        <v>1</v>
      </c>
      <c r="W107" s="3">
        <f t="shared" si="97"/>
        <v>1</v>
      </c>
    </row>
    <row r="108" customHeight="1" spans="1:23">
      <c r="A108" s="2">
        <v>95</v>
      </c>
      <c r="B108" s="3">
        <f t="shared" ref="B108:W108" si="98">MIN(1,IF($A108&lt;B$4+B$3,0,IF(B$2=0,1,IF(B$5=0,1/(1+(B$6*EXP(-($A108-B$4)/B$7))),IF(MOD($A108-B$4,B$5)=0,1/(1+(B$6*EXP(-($A108-B$4)/B$7))),1/(1+(B$6*EXP(-(QUOTIENT($A108-B$4,B$5)*B$5)/B$7))))))))</f>
        <v>0.999860773292305</v>
      </c>
      <c r="C108" s="3">
        <f t="shared" si="98"/>
        <v>0.999860773292305</v>
      </c>
      <c r="D108" s="3" t="e">
        <f t="shared" si="98"/>
        <v>#DIV/0!</v>
      </c>
      <c r="E108" s="3" t="e">
        <f t="shared" si="98"/>
        <v>#REF!</v>
      </c>
      <c r="F108" s="3">
        <f t="shared" si="98"/>
        <v>0.999999915958061</v>
      </c>
      <c r="G108" s="3">
        <f t="shared" si="98"/>
        <v>0.999999915958061</v>
      </c>
      <c r="H108" s="3">
        <f t="shared" si="98"/>
        <v>0.999860773292305</v>
      </c>
      <c r="I108" s="3">
        <f t="shared" si="98"/>
        <v>0.999860773292305</v>
      </c>
      <c r="J108" s="3">
        <f t="shared" si="98"/>
        <v>1</v>
      </c>
      <c r="K108" s="3">
        <f t="shared" si="98"/>
        <v>0.999860773292305</v>
      </c>
      <c r="L108" s="3">
        <f t="shared" si="98"/>
        <v>0.999860773292305</v>
      </c>
      <c r="M108" s="3" t="e">
        <f t="shared" si="98"/>
        <v>#REF!</v>
      </c>
      <c r="N108" s="3">
        <f t="shared" si="98"/>
        <v>1</v>
      </c>
      <c r="O108" s="3">
        <f t="shared" si="98"/>
        <v>1</v>
      </c>
      <c r="P108" s="3">
        <f t="shared" si="98"/>
        <v>1</v>
      </c>
      <c r="Q108" s="3">
        <f t="shared" si="98"/>
        <v>1</v>
      </c>
      <c r="R108" s="3">
        <f t="shared" si="98"/>
        <v>1</v>
      </c>
      <c r="S108" s="3">
        <f t="shared" si="98"/>
        <v>1</v>
      </c>
      <c r="T108" s="3">
        <f t="shared" si="98"/>
        <v>1</v>
      </c>
      <c r="U108" s="3">
        <f t="shared" si="98"/>
        <v>1</v>
      </c>
      <c r="V108" s="3">
        <f t="shared" si="98"/>
        <v>1</v>
      </c>
      <c r="W108" s="3">
        <f t="shared" si="98"/>
        <v>1</v>
      </c>
    </row>
    <row r="109" customHeight="1" spans="1:23">
      <c r="A109" s="2">
        <v>96</v>
      </c>
      <c r="B109" s="3">
        <f t="shared" ref="B109:W109" si="99">MIN(1,IF($A109&lt;B$4+B$3,0,IF(B$2=0,1,IF(B$5=0,1/(1+(B$6*EXP(-($A109-B$4)/B$7))),IF(MOD($A109-B$4,B$5)=0,1/(1+(B$6*EXP(-($A109-B$4)/B$7))),1/(1+(B$6*EXP(-(QUOTIENT($A109-B$4,B$5)*B$5)/B$7))))))))</f>
        <v>0.999877130851616</v>
      </c>
      <c r="C109" s="3">
        <f t="shared" si="99"/>
        <v>0.999877130851616</v>
      </c>
      <c r="D109" s="3" t="e">
        <f t="shared" si="99"/>
        <v>#DIV/0!</v>
      </c>
      <c r="E109" s="3" t="e">
        <f t="shared" si="99"/>
        <v>#REF!</v>
      </c>
      <c r="F109" s="3">
        <f t="shared" si="99"/>
        <v>0.999999931192279</v>
      </c>
      <c r="G109" s="3">
        <f t="shared" si="99"/>
        <v>0.999999931192279</v>
      </c>
      <c r="H109" s="3">
        <f t="shared" si="99"/>
        <v>0.999877130851616</v>
      </c>
      <c r="I109" s="3">
        <f t="shared" si="99"/>
        <v>0.999877130851616</v>
      </c>
      <c r="J109" s="3">
        <f t="shared" si="99"/>
        <v>1</v>
      </c>
      <c r="K109" s="3">
        <f t="shared" si="99"/>
        <v>0.999877130851616</v>
      </c>
      <c r="L109" s="3">
        <f t="shared" si="99"/>
        <v>0.999877130851616</v>
      </c>
      <c r="M109" s="3" t="e">
        <f t="shared" si="99"/>
        <v>#REF!</v>
      </c>
      <c r="N109" s="3">
        <f t="shared" si="99"/>
        <v>1</v>
      </c>
      <c r="O109" s="3">
        <f t="shared" si="99"/>
        <v>1</v>
      </c>
      <c r="P109" s="3">
        <f t="shared" si="99"/>
        <v>1</v>
      </c>
      <c r="Q109" s="3">
        <f t="shared" si="99"/>
        <v>1</v>
      </c>
      <c r="R109" s="3">
        <f t="shared" si="99"/>
        <v>1</v>
      </c>
      <c r="S109" s="3">
        <f t="shared" si="99"/>
        <v>1</v>
      </c>
      <c r="T109" s="3">
        <f t="shared" si="99"/>
        <v>1</v>
      </c>
      <c r="U109" s="3">
        <f t="shared" si="99"/>
        <v>1</v>
      </c>
      <c r="V109" s="3">
        <f t="shared" si="99"/>
        <v>1</v>
      </c>
      <c r="W109" s="3">
        <f t="shared" si="99"/>
        <v>1</v>
      </c>
    </row>
    <row r="110" customHeight="1" spans="1:23">
      <c r="A110" s="2">
        <v>97</v>
      </c>
      <c r="B110" s="3">
        <f t="shared" ref="B110:W110" si="100">MIN(1,IF($A110&lt;B$4+B$3,0,IF(B$2=0,1,IF(B$5=0,1/(1+(B$6*EXP(-($A110-B$4)/B$7))),IF(MOD($A110-B$4,B$5)=0,1/(1+(B$6*EXP(-($A110-B$4)/B$7))),1/(1+(B$6*EXP(-(QUOTIENT($A110-B$4,B$5)*B$5)/B$7))))))))</f>
        <v>0.999891566791623</v>
      </c>
      <c r="C110" s="3">
        <f t="shared" si="100"/>
        <v>0.999891566791623</v>
      </c>
      <c r="D110" s="3" t="e">
        <f t="shared" si="100"/>
        <v>#DIV/0!</v>
      </c>
      <c r="E110" s="3" t="e">
        <f t="shared" si="100"/>
        <v>#REF!</v>
      </c>
      <c r="F110" s="3">
        <f t="shared" si="100"/>
        <v>0.999999943665002</v>
      </c>
      <c r="G110" s="3">
        <f t="shared" si="100"/>
        <v>0.999999943665002</v>
      </c>
      <c r="H110" s="3">
        <f t="shared" si="100"/>
        <v>0.999891566791623</v>
      </c>
      <c r="I110" s="3">
        <f t="shared" si="100"/>
        <v>0.999891566791623</v>
      </c>
      <c r="J110" s="3">
        <f t="shared" si="100"/>
        <v>1</v>
      </c>
      <c r="K110" s="3">
        <f t="shared" si="100"/>
        <v>0.999891566791623</v>
      </c>
      <c r="L110" s="3">
        <f t="shared" si="100"/>
        <v>0.999891566791623</v>
      </c>
      <c r="M110" s="3" t="e">
        <f t="shared" si="100"/>
        <v>#REF!</v>
      </c>
      <c r="N110" s="3">
        <f t="shared" si="100"/>
        <v>1</v>
      </c>
      <c r="O110" s="3">
        <f t="shared" si="100"/>
        <v>1</v>
      </c>
      <c r="P110" s="3">
        <f t="shared" si="100"/>
        <v>1</v>
      </c>
      <c r="Q110" s="3">
        <f t="shared" si="100"/>
        <v>1</v>
      </c>
      <c r="R110" s="3">
        <f t="shared" si="100"/>
        <v>1</v>
      </c>
      <c r="S110" s="3">
        <f t="shared" si="100"/>
        <v>1</v>
      </c>
      <c r="T110" s="3">
        <f t="shared" si="100"/>
        <v>1</v>
      </c>
      <c r="U110" s="3">
        <f t="shared" si="100"/>
        <v>1</v>
      </c>
      <c r="V110" s="3">
        <f t="shared" si="100"/>
        <v>1</v>
      </c>
      <c r="W110" s="3">
        <f t="shared" si="100"/>
        <v>1</v>
      </c>
    </row>
    <row r="111" customHeight="1" spans="1:23">
      <c r="A111" s="2">
        <v>98</v>
      </c>
      <c r="B111" s="3">
        <f t="shared" ref="B111:W111" si="101">MIN(1,IF($A111&lt;B$4+B$3,0,IF(B$2=0,1,IF(B$5=0,1/(1+(B$6*EXP(-($A111-B$4)/B$7))),IF(MOD($A111-B$4,B$5)=0,1/(1+(B$6*EXP(-($A111-B$4)/B$7))),1/(1+(B$6*EXP(-(QUOTIENT($A111-B$4,B$5)*B$5)/B$7))))))))</f>
        <v>0.99990430681022</v>
      </c>
      <c r="C111" s="3">
        <f t="shared" si="101"/>
        <v>0.99990430681022</v>
      </c>
      <c r="D111" s="3" t="e">
        <f t="shared" si="101"/>
        <v>#DIV/0!</v>
      </c>
      <c r="E111" s="3" t="e">
        <f t="shared" si="101"/>
        <v>#REF!</v>
      </c>
      <c r="F111" s="3">
        <f t="shared" si="101"/>
        <v>0.999999953876804</v>
      </c>
      <c r="G111" s="3">
        <f t="shared" si="101"/>
        <v>0.999999953876804</v>
      </c>
      <c r="H111" s="3">
        <f t="shared" si="101"/>
        <v>0.99990430681022</v>
      </c>
      <c r="I111" s="3">
        <f t="shared" si="101"/>
        <v>0.99990430681022</v>
      </c>
      <c r="J111" s="3">
        <f t="shared" si="101"/>
        <v>1</v>
      </c>
      <c r="K111" s="3">
        <f t="shared" si="101"/>
        <v>0.99990430681022</v>
      </c>
      <c r="L111" s="3">
        <f t="shared" si="101"/>
        <v>0.99990430681022</v>
      </c>
      <c r="M111" s="3" t="e">
        <f t="shared" si="101"/>
        <v>#REF!</v>
      </c>
      <c r="N111" s="3">
        <f t="shared" si="101"/>
        <v>1</v>
      </c>
      <c r="O111" s="3">
        <f t="shared" si="101"/>
        <v>1</v>
      </c>
      <c r="P111" s="3">
        <f t="shared" si="101"/>
        <v>1</v>
      </c>
      <c r="Q111" s="3">
        <f t="shared" si="101"/>
        <v>1</v>
      </c>
      <c r="R111" s="3">
        <f t="shared" si="101"/>
        <v>1</v>
      </c>
      <c r="S111" s="3">
        <f t="shared" si="101"/>
        <v>1</v>
      </c>
      <c r="T111" s="3">
        <f t="shared" si="101"/>
        <v>1</v>
      </c>
      <c r="U111" s="3">
        <f t="shared" si="101"/>
        <v>1</v>
      </c>
      <c r="V111" s="3">
        <f t="shared" si="101"/>
        <v>1</v>
      </c>
      <c r="W111" s="3">
        <f t="shared" si="101"/>
        <v>1</v>
      </c>
    </row>
    <row r="112" customHeight="1" spans="1:23">
      <c r="A112" s="2">
        <v>99</v>
      </c>
      <c r="B112" s="3">
        <f t="shared" ref="B112:W112" si="102">MIN(1,IF($A112&lt;B$4+B$3,0,IF(B$2=0,1,IF(B$5=0,1/(1+(B$6*EXP(-($A112-B$4)/B$7))),IF(MOD($A112-B$4,B$5)=0,1/(1+(B$6*EXP(-($A112-B$4)/B$7))),1/(1+(B$6*EXP(-(QUOTIENT($A112-B$4,B$5)*B$5)/B$7))))))))</f>
        <v>0.999915550106846</v>
      </c>
      <c r="C112" s="3">
        <f t="shared" si="102"/>
        <v>0.999915550106846</v>
      </c>
      <c r="D112" s="3" t="e">
        <f t="shared" si="102"/>
        <v>#DIV/0!</v>
      </c>
      <c r="E112" s="3" t="e">
        <f t="shared" si="102"/>
        <v>#REF!</v>
      </c>
      <c r="F112" s="3">
        <f t="shared" si="102"/>
        <v>0.999999962237521</v>
      </c>
      <c r="G112" s="3">
        <f t="shared" si="102"/>
        <v>0.999999962237521</v>
      </c>
      <c r="H112" s="3">
        <f t="shared" si="102"/>
        <v>0.999915550106846</v>
      </c>
      <c r="I112" s="3">
        <f t="shared" si="102"/>
        <v>0.999915550106846</v>
      </c>
      <c r="J112" s="3">
        <f t="shared" si="102"/>
        <v>1</v>
      </c>
      <c r="K112" s="3">
        <f t="shared" si="102"/>
        <v>0.999915550106846</v>
      </c>
      <c r="L112" s="3">
        <f t="shared" si="102"/>
        <v>0.999915550106846</v>
      </c>
      <c r="M112" s="3" t="e">
        <f t="shared" si="102"/>
        <v>#REF!</v>
      </c>
      <c r="N112" s="3">
        <f t="shared" si="102"/>
        <v>1</v>
      </c>
      <c r="O112" s="3">
        <f t="shared" si="102"/>
        <v>1</v>
      </c>
      <c r="P112" s="3">
        <f t="shared" si="102"/>
        <v>1</v>
      </c>
      <c r="Q112" s="3">
        <f t="shared" si="102"/>
        <v>1</v>
      </c>
      <c r="R112" s="3">
        <f t="shared" si="102"/>
        <v>1</v>
      </c>
      <c r="S112" s="3">
        <f t="shared" si="102"/>
        <v>1</v>
      </c>
      <c r="T112" s="3">
        <f t="shared" si="102"/>
        <v>1</v>
      </c>
      <c r="U112" s="3">
        <f t="shared" si="102"/>
        <v>1</v>
      </c>
      <c r="V112" s="3">
        <f t="shared" si="102"/>
        <v>1</v>
      </c>
      <c r="W112" s="3">
        <f t="shared" si="102"/>
        <v>1</v>
      </c>
    </row>
    <row r="113" customHeight="1" spans="1:23">
      <c r="A113" s="2">
        <v>100</v>
      </c>
      <c r="B113" s="3">
        <f t="shared" ref="B113:W113" si="103">MIN(1,IF($A113&lt;B$4+B$3,0,IF(B$2=0,1,IF(B$5=0,1/(1+(B$6*EXP(-($A113-B$4)/B$7))),IF(MOD($A113-B$4,B$5)=0,1/(1+(B$6*EXP(-($A113-B$4)/B$7))),1/(1+(B$6*EXP(-(QUOTIENT($A113-B$4,B$5)*B$5)/B$7))))))))</f>
        <v>0.999925472491322</v>
      </c>
      <c r="C113" s="3">
        <f t="shared" si="103"/>
        <v>0.999925472491322</v>
      </c>
      <c r="D113" s="3" t="e">
        <f t="shared" si="103"/>
        <v>#DIV/0!</v>
      </c>
      <c r="E113" s="3" t="e">
        <f t="shared" si="103"/>
        <v>#REF!</v>
      </c>
      <c r="F113" s="3">
        <f t="shared" si="103"/>
        <v>0.999999969082697</v>
      </c>
      <c r="G113" s="3">
        <f t="shared" si="103"/>
        <v>0.999999969082697</v>
      </c>
      <c r="H113" s="3">
        <f t="shared" si="103"/>
        <v>0.999925472491322</v>
      </c>
      <c r="I113" s="3">
        <f t="shared" si="103"/>
        <v>0.999925472491322</v>
      </c>
      <c r="J113" s="3">
        <f t="shared" si="103"/>
        <v>1</v>
      </c>
      <c r="K113" s="3">
        <f t="shared" si="103"/>
        <v>0.999925472491322</v>
      </c>
      <c r="L113" s="3">
        <f t="shared" si="103"/>
        <v>0.999925472491322</v>
      </c>
      <c r="M113" s="3" t="e">
        <f t="shared" si="103"/>
        <v>#REF!</v>
      </c>
      <c r="N113" s="3">
        <f t="shared" si="103"/>
        <v>1</v>
      </c>
      <c r="O113" s="3">
        <f t="shared" si="103"/>
        <v>1</v>
      </c>
      <c r="P113" s="3">
        <f t="shared" si="103"/>
        <v>1</v>
      </c>
      <c r="Q113" s="3">
        <f t="shared" si="103"/>
        <v>1</v>
      </c>
      <c r="R113" s="3">
        <f t="shared" si="103"/>
        <v>1</v>
      </c>
      <c r="S113" s="3">
        <f t="shared" si="103"/>
        <v>1</v>
      </c>
      <c r="T113" s="3">
        <f t="shared" si="103"/>
        <v>1</v>
      </c>
      <c r="U113" s="3">
        <f t="shared" si="103"/>
        <v>1</v>
      </c>
      <c r="V113" s="3">
        <f t="shared" si="103"/>
        <v>1</v>
      </c>
      <c r="W113" s="3">
        <f t="shared" si="103"/>
        <v>1</v>
      </c>
    </row>
    <row r="114" customHeight="1" spans="1:23">
      <c r="A114" s="2">
        <v>101</v>
      </c>
      <c r="B114" s="3">
        <f t="shared" ref="B114:W114" si="104">MIN(1,IF($A114&lt;B$4+B$3,0,IF(B$2=0,1,IF(B$5=0,1/(1+(B$6*EXP(-($A114-B$4)/B$7))),IF(MOD($A114-B$4,B$5)=0,1/(1+(B$6*EXP(-($A114-B$4)/B$7))),1/(1+(B$6*EXP(-(QUOTIENT($A114-B$4,B$5)*B$5)/B$7))))))))</f>
        <v>0.999934229128465</v>
      </c>
      <c r="C114" s="3">
        <f t="shared" si="104"/>
        <v>0.999934229128465</v>
      </c>
      <c r="D114" s="3" t="e">
        <f t="shared" si="104"/>
        <v>#DIV/0!</v>
      </c>
      <c r="E114" s="3" t="e">
        <f t="shared" si="104"/>
        <v>#REF!</v>
      </c>
      <c r="F114" s="3">
        <f t="shared" si="104"/>
        <v>0.999999974687053</v>
      </c>
      <c r="G114" s="3">
        <f t="shared" si="104"/>
        <v>0.999999974687053</v>
      </c>
      <c r="H114" s="3">
        <f t="shared" si="104"/>
        <v>0.999934229128465</v>
      </c>
      <c r="I114" s="3">
        <f t="shared" si="104"/>
        <v>0.999934229128465</v>
      </c>
      <c r="J114" s="3">
        <f t="shared" si="104"/>
        <v>1</v>
      </c>
      <c r="K114" s="3">
        <f t="shared" si="104"/>
        <v>0.999934229128465</v>
      </c>
      <c r="L114" s="3">
        <f t="shared" si="104"/>
        <v>0.999934229128465</v>
      </c>
      <c r="M114" s="3" t="e">
        <f t="shared" si="104"/>
        <v>#REF!</v>
      </c>
      <c r="N114" s="3">
        <f t="shared" si="104"/>
        <v>1</v>
      </c>
      <c r="O114" s="3">
        <f t="shared" si="104"/>
        <v>1</v>
      </c>
      <c r="P114" s="3">
        <f t="shared" si="104"/>
        <v>1</v>
      </c>
      <c r="Q114" s="3">
        <f t="shared" si="104"/>
        <v>1</v>
      </c>
      <c r="R114" s="3">
        <f t="shared" si="104"/>
        <v>1</v>
      </c>
      <c r="S114" s="3">
        <f t="shared" si="104"/>
        <v>1</v>
      </c>
      <c r="T114" s="3">
        <f t="shared" si="104"/>
        <v>1</v>
      </c>
      <c r="U114" s="3">
        <f t="shared" si="104"/>
        <v>1</v>
      </c>
      <c r="V114" s="3">
        <f t="shared" si="104"/>
        <v>1</v>
      </c>
      <c r="W114" s="3">
        <f t="shared" si="104"/>
        <v>1</v>
      </c>
    </row>
    <row r="115" customHeight="1" spans="1:23">
      <c r="A115" s="2">
        <v>102</v>
      </c>
      <c r="B115" s="3">
        <f t="shared" ref="B115:W115" si="105">MIN(1,IF($A115&lt;B$4+B$3,0,IF(B$2=0,1,IF(B$5=0,1/(1+(B$6*EXP(-($A115-B$4)/B$7))),IF(MOD($A115-B$4,B$5)=0,1/(1+(B$6*EXP(-($A115-B$4)/B$7))),1/(1+(B$6*EXP(-(QUOTIENT($A115-B$4,B$5)*B$5)/B$7))))))))</f>
        <v>0.999941956961017</v>
      </c>
      <c r="C115" s="3">
        <f t="shared" si="105"/>
        <v>0.999941956961017</v>
      </c>
      <c r="D115" s="3" t="e">
        <f t="shared" si="105"/>
        <v>#DIV/0!</v>
      </c>
      <c r="E115" s="3" t="e">
        <f t="shared" si="105"/>
        <v>#REF!</v>
      </c>
      <c r="F115" s="3">
        <f t="shared" si="105"/>
        <v>0.999999979275512</v>
      </c>
      <c r="G115" s="3">
        <f t="shared" si="105"/>
        <v>0.999999979275512</v>
      </c>
      <c r="H115" s="3">
        <f t="shared" si="105"/>
        <v>0.999941956961017</v>
      </c>
      <c r="I115" s="3">
        <f t="shared" si="105"/>
        <v>0.999941956961017</v>
      </c>
      <c r="J115" s="3">
        <f t="shared" si="105"/>
        <v>1</v>
      </c>
      <c r="K115" s="3">
        <f t="shared" si="105"/>
        <v>0.999941956961017</v>
      </c>
      <c r="L115" s="3">
        <f t="shared" si="105"/>
        <v>0.999941956961017</v>
      </c>
      <c r="M115" s="3" t="e">
        <f t="shared" si="105"/>
        <v>#REF!</v>
      </c>
      <c r="N115" s="3">
        <f t="shared" si="105"/>
        <v>1</v>
      </c>
      <c r="O115" s="3">
        <f t="shared" si="105"/>
        <v>1</v>
      </c>
      <c r="P115" s="3">
        <f t="shared" si="105"/>
        <v>1</v>
      </c>
      <c r="Q115" s="3">
        <f t="shared" si="105"/>
        <v>1</v>
      </c>
      <c r="R115" s="3">
        <f t="shared" si="105"/>
        <v>1</v>
      </c>
      <c r="S115" s="3">
        <f t="shared" si="105"/>
        <v>1</v>
      </c>
      <c r="T115" s="3">
        <f t="shared" si="105"/>
        <v>1</v>
      </c>
      <c r="U115" s="3">
        <f t="shared" si="105"/>
        <v>1</v>
      </c>
      <c r="V115" s="3">
        <f t="shared" si="105"/>
        <v>1</v>
      </c>
      <c r="W115" s="3">
        <f t="shared" si="105"/>
        <v>1</v>
      </c>
    </row>
    <row r="116" customHeight="1" spans="1:23">
      <c r="A116" s="2">
        <v>103</v>
      </c>
      <c r="B116" s="3">
        <f t="shared" ref="B116:W116" si="106">MIN(1,IF($A116&lt;B$4+B$3,0,IF(B$2=0,1,IF(B$5=0,1/(1+(B$6*EXP(-($A116-B$4)/B$7))),IF(MOD($A116-B$4,B$5)=0,1/(1+(B$6*EXP(-($A116-B$4)/B$7))),1/(1+(B$6*EXP(-(QUOTIENT($A116-B$4,B$5)*B$5)/B$7))))))))</f>
        <v>0.999948776848527</v>
      </c>
      <c r="C116" s="3">
        <f t="shared" si="106"/>
        <v>0.999948776848527</v>
      </c>
      <c r="D116" s="3" t="e">
        <f t="shared" si="106"/>
        <v>#DIV/0!</v>
      </c>
      <c r="E116" s="3" t="e">
        <f t="shared" si="106"/>
        <v>#REF!</v>
      </c>
      <c r="F116" s="3">
        <f t="shared" si="106"/>
        <v>0.999999983032224</v>
      </c>
      <c r="G116" s="3">
        <f t="shared" si="106"/>
        <v>0.999999983032224</v>
      </c>
      <c r="H116" s="3">
        <f t="shared" si="106"/>
        <v>0.999948776848527</v>
      </c>
      <c r="I116" s="3">
        <f t="shared" si="106"/>
        <v>0.999948776848527</v>
      </c>
      <c r="J116" s="3">
        <f t="shared" si="106"/>
        <v>1</v>
      </c>
      <c r="K116" s="3">
        <f t="shared" si="106"/>
        <v>0.999948776848527</v>
      </c>
      <c r="L116" s="3">
        <f t="shared" si="106"/>
        <v>0.999948776848527</v>
      </c>
      <c r="M116" s="3" t="e">
        <f t="shared" si="106"/>
        <v>#REF!</v>
      </c>
      <c r="N116" s="3">
        <f t="shared" si="106"/>
        <v>1</v>
      </c>
      <c r="O116" s="3">
        <f t="shared" si="106"/>
        <v>1</v>
      </c>
      <c r="P116" s="3">
        <f t="shared" si="106"/>
        <v>1</v>
      </c>
      <c r="Q116" s="3">
        <f t="shared" si="106"/>
        <v>1</v>
      </c>
      <c r="R116" s="3">
        <f t="shared" si="106"/>
        <v>1</v>
      </c>
      <c r="S116" s="3">
        <f t="shared" si="106"/>
        <v>1</v>
      </c>
      <c r="T116" s="3">
        <f t="shared" si="106"/>
        <v>1</v>
      </c>
      <c r="U116" s="3">
        <f t="shared" si="106"/>
        <v>1</v>
      </c>
      <c r="V116" s="3">
        <f t="shared" si="106"/>
        <v>1</v>
      </c>
      <c r="W116" s="3">
        <f t="shared" si="106"/>
        <v>1</v>
      </c>
    </row>
    <row r="117" customHeight="1" spans="1:23">
      <c r="A117" s="2">
        <v>104</v>
      </c>
      <c r="B117" s="3">
        <f t="shared" ref="B117:W117" si="107">MIN(1,IF($A117&lt;B$4+B$3,0,IF(B$2=0,1,IF(B$5=0,1/(1+(B$6*EXP(-($A117-B$4)/B$7))),IF(MOD($A117-B$4,B$5)=0,1/(1+(B$6*EXP(-($A117-B$4)/B$7))),1/(1+(B$6*EXP(-(QUOTIENT($A117-B$4,B$5)*B$5)/B$7))))))))</f>
        <v>0.999954795455404</v>
      </c>
      <c r="C117" s="3">
        <f t="shared" si="107"/>
        <v>0.999954795455404</v>
      </c>
      <c r="D117" s="3" t="e">
        <f t="shared" si="107"/>
        <v>#DIV/0!</v>
      </c>
      <c r="E117" s="3" t="e">
        <f t="shared" si="107"/>
        <v>#REF!</v>
      </c>
      <c r="F117" s="3">
        <f t="shared" si="107"/>
        <v>0.99999998610796</v>
      </c>
      <c r="G117" s="3">
        <f t="shared" si="107"/>
        <v>0.99999998610796</v>
      </c>
      <c r="H117" s="3">
        <f t="shared" si="107"/>
        <v>0.999954795455404</v>
      </c>
      <c r="I117" s="3">
        <f t="shared" si="107"/>
        <v>0.999954795455404</v>
      </c>
      <c r="J117" s="3">
        <f t="shared" si="107"/>
        <v>1</v>
      </c>
      <c r="K117" s="3">
        <f t="shared" si="107"/>
        <v>0.999954795455404</v>
      </c>
      <c r="L117" s="3">
        <f t="shared" si="107"/>
        <v>0.999954795455404</v>
      </c>
      <c r="M117" s="3" t="e">
        <f t="shared" si="107"/>
        <v>#REF!</v>
      </c>
      <c r="N117" s="3">
        <f t="shared" si="107"/>
        <v>1</v>
      </c>
      <c r="O117" s="3">
        <f t="shared" si="107"/>
        <v>1</v>
      </c>
      <c r="P117" s="3">
        <f t="shared" si="107"/>
        <v>1</v>
      </c>
      <c r="Q117" s="3">
        <f t="shared" si="107"/>
        <v>1</v>
      </c>
      <c r="R117" s="3">
        <f t="shared" si="107"/>
        <v>1</v>
      </c>
      <c r="S117" s="3">
        <f t="shared" si="107"/>
        <v>1</v>
      </c>
      <c r="T117" s="3">
        <f t="shared" si="107"/>
        <v>1</v>
      </c>
      <c r="U117" s="3">
        <f t="shared" si="107"/>
        <v>1</v>
      </c>
      <c r="V117" s="3">
        <f t="shared" si="107"/>
        <v>1</v>
      </c>
      <c r="W117" s="3">
        <f t="shared" si="107"/>
        <v>1</v>
      </c>
    </row>
    <row r="118" customHeight="1" spans="1:23">
      <c r="A118" s="2">
        <v>105</v>
      </c>
      <c r="B118" s="3">
        <f t="shared" ref="B118:W118" si="108">MIN(1,IF($A118&lt;B$4+B$3,0,IF(B$2=0,1,IF(B$5=0,1/(1+(B$6*EXP(-($A118-B$4)/B$7))),IF(MOD($A118-B$4,B$5)=0,1/(1+(B$6*EXP(-($A118-B$4)/B$7))),1/(1+(B$6*EXP(-(QUOTIENT($A118-B$4,B$5)*B$5)/B$7))))))))</f>
        <v>0.999960106917512</v>
      </c>
      <c r="C118" s="3">
        <f t="shared" si="108"/>
        <v>0.999960106917512</v>
      </c>
      <c r="D118" s="3" t="e">
        <f t="shared" si="108"/>
        <v>#DIV/0!</v>
      </c>
      <c r="E118" s="3" t="e">
        <f t="shared" si="108"/>
        <v>#REF!</v>
      </c>
      <c r="F118" s="3">
        <f t="shared" si="108"/>
        <v>0.99999998862616</v>
      </c>
      <c r="G118" s="3">
        <f t="shared" si="108"/>
        <v>0.99999998862616</v>
      </c>
      <c r="H118" s="3">
        <f t="shared" si="108"/>
        <v>0.999960106917512</v>
      </c>
      <c r="I118" s="3">
        <f t="shared" si="108"/>
        <v>0.999960106917512</v>
      </c>
      <c r="J118" s="3">
        <f t="shared" si="108"/>
        <v>1</v>
      </c>
      <c r="K118" s="3">
        <f t="shared" si="108"/>
        <v>0.999960106917512</v>
      </c>
      <c r="L118" s="3">
        <f t="shared" si="108"/>
        <v>0.999960106917512</v>
      </c>
      <c r="M118" s="3" t="e">
        <f t="shared" si="108"/>
        <v>#REF!</v>
      </c>
      <c r="N118" s="3">
        <f t="shared" si="108"/>
        <v>1</v>
      </c>
      <c r="O118" s="3">
        <f t="shared" si="108"/>
        <v>1</v>
      </c>
      <c r="P118" s="3">
        <f t="shared" si="108"/>
        <v>1</v>
      </c>
      <c r="Q118" s="3">
        <f t="shared" si="108"/>
        <v>1</v>
      </c>
      <c r="R118" s="3">
        <f t="shared" si="108"/>
        <v>1</v>
      </c>
      <c r="S118" s="3">
        <f t="shared" si="108"/>
        <v>1</v>
      </c>
      <c r="T118" s="3">
        <f t="shared" si="108"/>
        <v>1</v>
      </c>
      <c r="U118" s="3">
        <f t="shared" si="108"/>
        <v>1</v>
      </c>
      <c r="V118" s="3">
        <f t="shared" si="108"/>
        <v>1</v>
      </c>
      <c r="W118" s="3">
        <f t="shared" si="108"/>
        <v>1</v>
      </c>
    </row>
    <row r="119" customHeight="1" spans="1:23">
      <c r="A119" s="2">
        <v>106</v>
      </c>
      <c r="B119" s="3">
        <f t="shared" ref="B119:W119" si="109">MIN(1,IF($A119&lt;B$4+B$3,0,IF(B$2=0,1,IF(B$5=0,1/(1+(B$6*EXP(-($A119-B$4)/B$7))),IF(MOD($A119-B$4,B$5)=0,1/(1+(B$6*EXP(-($A119-B$4)/B$7))),1/(1+(B$6*EXP(-(QUOTIENT($A119-B$4,B$5)*B$5)/B$7))))))))</f>
        <v>0.999964794313241</v>
      </c>
      <c r="C119" s="3">
        <f t="shared" si="109"/>
        <v>0.999964794313241</v>
      </c>
      <c r="D119" s="3" t="e">
        <f t="shared" si="109"/>
        <v>#DIV/0!</v>
      </c>
      <c r="E119" s="3" t="e">
        <f t="shared" si="109"/>
        <v>#REF!</v>
      </c>
      <c r="F119" s="3">
        <f t="shared" si="109"/>
        <v>0.999999990687887</v>
      </c>
      <c r="G119" s="3">
        <f t="shared" si="109"/>
        <v>0.999999990687887</v>
      </c>
      <c r="H119" s="3">
        <f t="shared" si="109"/>
        <v>0.999964794313241</v>
      </c>
      <c r="I119" s="3">
        <f t="shared" si="109"/>
        <v>0.999964794313241</v>
      </c>
      <c r="J119" s="3">
        <f t="shared" si="109"/>
        <v>1</v>
      </c>
      <c r="K119" s="3">
        <f t="shared" si="109"/>
        <v>0.999964794313241</v>
      </c>
      <c r="L119" s="3">
        <f t="shared" si="109"/>
        <v>0.999964794313241</v>
      </c>
      <c r="M119" s="3" t="e">
        <f t="shared" si="109"/>
        <v>#REF!</v>
      </c>
      <c r="N119" s="3">
        <f t="shared" si="109"/>
        <v>1</v>
      </c>
      <c r="O119" s="3">
        <f t="shared" si="109"/>
        <v>1</v>
      </c>
      <c r="P119" s="3">
        <f t="shared" si="109"/>
        <v>1</v>
      </c>
      <c r="Q119" s="3">
        <f t="shared" si="109"/>
        <v>1</v>
      </c>
      <c r="R119" s="3">
        <f t="shared" si="109"/>
        <v>1</v>
      </c>
      <c r="S119" s="3">
        <f t="shared" si="109"/>
        <v>1</v>
      </c>
      <c r="T119" s="3">
        <f t="shared" si="109"/>
        <v>1</v>
      </c>
      <c r="U119" s="3">
        <f t="shared" si="109"/>
        <v>1</v>
      </c>
      <c r="V119" s="3">
        <f t="shared" si="109"/>
        <v>1</v>
      </c>
      <c r="W119" s="3">
        <f t="shared" si="109"/>
        <v>1</v>
      </c>
    </row>
    <row r="120" customHeight="1" spans="1:23">
      <c r="A120" s="2">
        <v>107</v>
      </c>
      <c r="B120" s="3">
        <f t="shared" ref="B120:W120" si="110">MIN(1,IF($A120&lt;B$4+B$3,0,IF(B$2=0,1,IF(B$5=0,1/(1+(B$6*EXP(-($A120-B$4)/B$7))),IF(MOD($A120-B$4,B$5)=0,1/(1+(B$6*EXP(-($A120-B$4)/B$7))),1/(1+(B$6*EXP(-(QUOTIENT($A120-B$4,B$5)*B$5)/B$7))))))))</f>
        <v>0.999968930961956</v>
      </c>
      <c r="C120" s="3">
        <f t="shared" si="110"/>
        <v>0.999968930961956</v>
      </c>
      <c r="D120" s="3" t="e">
        <f t="shared" si="110"/>
        <v>#DIV/0!</v>
      </c>
      <c r="E120" s="3" t="e">
        <f t="shared" si="110"/>
        <v>#REF!</v>
      </c>
      <c r="F120" s="3">
        <f t="shared" si="110"/>
        <v>0.999999992375887</v>
      </c>
      <c r="G120" s="3">
        <f t="shared" si="110"/>
        <v>0.999999992375887</v>
      </c>
      <c r="H120" s="3">
        <f t="shared" si="110"/>
        <v>0.999968930961956</v>
      </c>
      <c r="I120" s="3">
        <f t="shared" si="110"/>
        <v>0.999968930961956</v>
      </c>
      <c r="J120" s="3">
        <f t="shared" si="110"/>
        <v>1</v>
      </c>
      <c r="K120" s="3">
        <f t="shared" si="110"/>
        <v>0.999968930961956</v>
      </c>
      <c r="L120" s="3">
        <f t="shared" si="110"/>
        <v>0.999968930961956</v>
      </c>
      <c r="M120" s="3" t="e">
        <f t="shared" si="110"/>
        <v>#REF!</v>
      </c>
      <c r="N120" s="3">
        <f t="shared" si="110"/>
        <v>1</v>
      </c>
      <c r="O120" s="3">
        <f t="shared" si="110"/>
        <v>1</v>
      </c>
      <c r="P120" s="3">
        <f t="shared" si="110"/>
        <v>1</v>
      </c>
      <c r="Q120" s="3">
        <f t="shared" si="110"/>
        <v>1</v>
      </c>
      <c r="R120" s="3">
        <f t="shared" si="110"/>
        <v>1</v>
      </c>
      <c r="S120" s="3">
        <f t="shared" si="110"/>
        <v>1</v>
      </c>
      <c r="T120" s="3">
        <f t="shared" si="110"/>
        <v>1</v>
      </c>
      <c r="U120" s="3">
        <f t="shared" si="110"/>
        <v>1</v>
      </c>
      <c r="V120" s="3">
        <f t="shared" si="110"/>
        <v>1</v>
      </c>
      <c r="W120" s="3">
        <f t="shared" si="110"/>
        <v>1</v>
      </c>
    </row>
    <row r="121" customHeight="1" spans="1:23">
      <c r="A121" s="2">
        <v>108</v>
      </c>
      <c r="B121" s="3">
        <f t="shared" ref="B121:W121" si="111">MIN(1,IF($A121&lt;B$4+B$3,0,IF(B$2=0,1,IF(B$5=0,1/(1+(B$6*EXP(-($A121-B$4)/B$7))),IF(MOD($A121-B$4,B$5)=0,1/(1+(B$6*EXP(-($A121-B$4)/B$7))),1/(1+(B$6*EXP(-(QUOTIENT($A121-B$4,B$5)*B$5)/B$7))))))))</f>
        <v>0.999972581570063</v>
      </c>
      <c r="C121" s="3">
        <f t="shared" si="111"/>
        <v>0.999972581570063</v>
      </c>
      <c r="D121" s="3" t="e">
        <f t="shared" si="111"/>
        <v>#DIV/0!</v>
      </c>
      <c r="E121" s="3" t="e">
        <f t="shared" si="111"/>
        <v>#REF!</v>
      </c>
      <c r="F121" s="3">
        <f t="shared" si="111"/>
        <v>0.999999993757904</v>
      </c>
      <c r="G121" s="3">
        <f t="shared" si="111"/>
        <v>0.999999993757904</v>
      </c>
      <c r="H121" s="3">
        <f t="shared" si="111"/>
        <v>0.999972581570063</v>
      </c>
      <c r="I121" s="3">
        <f t="shared" si="111"/>
        <v>0.999972581570063</v>
      </c>
      <c r="J121" s="3">
        <f t="shared" si="111"/>
        <v>1</v>
      </c>
      <c r="K121" s="3">
        <f t="shared" si="111"/>
        <v>0.999972581570063</v>
      </c>
      <c r="L121" s="3">
        <f t="shared" si="111"/>
        <v>0.999972581570063</v>
      </c>
      <c r="M121" s="3" t="e">
        <f t="shared" si="111"/>
        <v>#REF!</v>
      </c>
      <c r="N121" s="3">
        <f t="shared" si="111"/>
        <v>1</v>
      </c>
      <c r="O121" s="3">
        <f t="shared" si="111"/>
        <v>1</v>
      </c>
      <c r="P121" s="3">
        <f t="shared" si="111"/>
        <v>1</v>
      </c>
      <c r="Q121" s="3">
        <f t="shared" si="111"/>
        <v>1</v>
      </c>
      <c r="R121" s="3">
        <f t="shared" si="111"/>
        <v>1</v>
      </c>
      <c r="S121" s="3">
        <f t="shared" si="111"/>
        <v>1</v>
      </c>
      <c r="T121" s="3">
        <f t="shared" si="111"/>
        <v>1</v>
      </c>
      <c r="U121" s="3">
        <f t="shared" si="111"/>
        <v>1</v>
      </c>
      <c r="V121" s="3">
        <f t="shared" si="111"/>
        <v>1</v>
      </c>
      <c r="W121" s="3">
        <f t="shared" si="111"/>
        <v>1</v>
      </c>
    </row>
    <row r="122" customHeight="1" spans="1:23">
      <c r="A122" s="2">
        <v>109</v>
      </c>
      <c r="B122" s="3">
        <f t="shared" ref="B122:W122" si="112">MIN(1,IF($A122&lt;B$4+B$3,0,IF(B$2=0,1,IF(B$5=0,1/(1+(B$6*EXP(-($A122-B$4)/B$7))),IF(MOD($A122-B$4,B$5)=0,1/(1+(B$6*EXP(-($A122-B$4)/B$7))),1/(1+(B$6*EXP(-(QUOTIENT($A122-B$4,B$5)*B$5)/B$7))))))))</f>
        <v>0.999975803242551</v>
      </c>
      <c r="C122" s="3">
        <f t="shared" si="112"/>
        <v>0.999975803242551</v>
      </c>
      <c r="D122" s="3" t="e">
        <f t="shared" si="112"/>
        <v>#DIV/0!</v>
      </c>
      <c r="E122" s="3" t="e">
        <f t="shared" si="112"/>
        <v>#REF!</v>
      </c>
      <c r="F122" s="3">
        <f t="shared" si="112"/>
        <v>0.999999994889404</v>
      </c>
      <c r="G122" s="3">
        <f t="shared" si="112"/>
        <v>0.999999994889404</v>
      </c>
      <c r="H122" s="3">
        <f t="shared" si="112"/>
        <v>0.999975803242551</v>
      </c>
      <c r="I122" s="3">
        <f t="shared" si="112"/>
        <v>0.999975803242551</v>
      </c>
      <c r="J122" s="3">
        <f t="shared" si="112"/>
        <v>1</v>
      </c>
      <c r="K122" s="3">
        <f t="shared" si="112"/>
        <v>0.999975803242551</v>
      </c>
      <c r="L122" s="3">
        <f t="shared" si="112"/>
        <v>0.999975803242551</v>
      </c>
      <c r="M122" s="3" t="e">
        <f t="shared" si="112"/>
        <v>#REF!</v>
      </c>
      <c r="N122" s="3">
        <f t="shared" si="112"/>
        <v>1</v>
      </c>
      <c r="O122" s="3">
        <f t="shared" si="112"/>
        <v>1</v>
      </c>
      <c r="P122" s="3">
        <f t="shared" si="112"/>
        <v>1</v>
      </c>
      <c r="Q122" s="3">
        <f t="shared" si="112"/>
        <v>1</v>
      </c>
      <c r="R122" s="3">
        <f t="shared" si="112"/>
        <v>1</v>
      </c>
      <c r="S122" s="3">
        <f t="shared" si="112"/>
        <v>1</v>
      </c>
      <c r="T122" s="3">
        <f t="shared" si="112"/>
        <v>1</v>
      </c>
      <c r="U122" s="3">
        <f t="shared" si="112"/>
        <v>1</v>
      </c>
      <c r="V122" s="3">
        <f t="shared" si="112"/>
        <v>1</v>
      </c>
      <c r="W122" s="3">
        <f t="shared" si="112"/>
        <v>1</v>
      </c>
    </row>
    <row r="123" customHeight="1" spans="1:23">
      <c r="A123" s="2">
        <v>110</v>
      </c>
      <c r="B123" s="3">
        <f t="shared" ref="B123:W123" si="113">MIN(1,IF($A123&lt;B$4+B$3,0,IF(B$2=0,1,IF(B$5=0,1/(1+(B$6*EXP(-($A123-B$4)/B$7))),IF(MOD($A123-B$4,B$5)=0,1/(1+(B$6*EXP(-($A123-B$4)/B$7))),1/(1+(B$6*EXP(-(QUOTIENT($A123-B$4,B$5)*B$5)/B$7))))))))</f>
        <v>0.999978646375786</v>
      </c>
      <c r="C123" s="3">
        <f t="shared" si="113"/>
        <v>0.999978646375786</v>
      </c>
      <c r="D123" s="3" t="e">
        <f t="shared" si="113"/>
        <v>#DIV/0!</v>
      </c>
      <c r="E123" s="3" t="e">
        <f t="shared" si="113"/>
        <v>#REF!</v>
      </c>
      <c r="F123" s="3">
        <f t="shared" si="113"/>
        <v>0.999999995815798</v>
      </c>
      <c r="G123" s="3">
        <f t="shared" si="113"/>
        <v>0.999999995815798</v>
      </c>
      <c r="H123" s="3">
        <f t="shared" si="113"/>
        <v>0.999978646375786</v>
      </c>
      <c r="I123" s="3">
        <f t="shared" si="113"/>
        <v>0.999978646375786</v>
      </c>
      <c r="J123" s="3">
        <f t="shared" si="113"/>
        <v>1</v>
      </c>
      <c r="K123" s="3">
        <f t="shared" si="113"/>
        <v>0.999978646375786</v>
      </c>
      <c r="L123" s="3">
        <f t="shared" si="113"/>
        <v>0.999978646375786</v>
      </c>
      <c r="M123" s="3" t="e">
        <f t="shared" si="113"/>
        <v>#REF!</v>
      </c>
      <c r="N123" s="3">
        <f t="shared" si="113"/>
        <v>1</v>
      </c>
      <c r="O123" s="3">
        <f t="shared" si="113"/>
        <v>1</v>
      </c>
      <c r="P123" s="3">
        <f t="shared" si="113"/>
        <v>1</v>
      </c>
      <c r="Q123" s="3">
        <f t="shared" si="113"/>
        <v>1</v>
      </c>
      <c r="R123" s="3">
        <f t="shared" si="113"/>
        <v>1</v>
      </c>
      <c r="S123" s="3">
        <f t="shared" si="113"/>
        <v>1</v>
      </c>
      <c r="T123" s="3">
        <f t="shared" si="113"/>
        <v>1</v>
      </c>
      <c r="U123" s="3">
        <f t="shared" si="113"/>
        <v>1</v>
      </c>
      <c r="V123" s="3">
        <f t="shared" si="113"/>
        <v>1</v>
      </c>
      <c r="W123" s="3">
        <f t="shared" si="113"/>
        <v>1</v>
      </c>
    </row>
    <row r="124" customHeight="1" spans="1:23">
      <c r="A124" s="2">
        <v>111</v>
      </c>
      <c r="B124" s="3">
        <f t="shared" ref="B124:W124" si="114">MIN(1,IF($A124&lt;B$4+B$3,0,IF(B$2=0,1,IF(B$5=0,1/(1+(B$6*EXP(-($A124-B$4)/B$7))),IF(MOD($A124-B$4,B$5)=0,1/(1+(B$6*EXP(-($A124-B$4)/B$7))),1/(1+(B$6*EXP(-(QUOTIENT($A124-B$4,B$5)*B$5)/B$7))))))))</f>
        <v>0.999981155445489</v>
      </c>
      <c r="C124" s="3">
        <f t="shared" si="114"/>
        <v>0.999981155445489</v>
      </c>
      <c r="D124" s="3" t="e">
        <f t="shared" si="114"/>
        <v>#DIV/0!</v>
      </c>
      <c r="E124" s="3" t="e">
        <f t="shared" si="114"/>
        <v>#REF!</v>
      </c>
      <c r="F124" s="3">
        <f t="shared" si="114"/>
        <v>0.999999996574265</v>
      </c>
      <c r="G124" s="3">
        <f t="shared" si="114"/>
        <v>0.999999996574265</v>
      </c>
      <c r="H124" s="3">
        <f t="shared" si="114"/>
        <v>0.999981155445489</v>
      </c>
      <c r="I124" s="3">
        <f t="shared" si="114"/>
        <v>0.999981155445489</v>
      </c>
      <c r="J124" s="3">
        <f t="shared" si="114"/>
        <v>1</v>
      </c>
      <c r="K124" s="3">
        <f t="shared" si="114"/>
        <v>0.999981155445489</v>
      </c>
      <c r="L124" s="3">
        <f t="shared" si="114"/>
        <v>0.999981155445489</v>
      </c>
      <c r="M124" s="3" t="e">
        <f t="shared" si="114"/>
        <v>#REF!</v>
      </c>
      <c r="N124" s="3">
        <f t="shared" si="114"/>
        <v>1</v>
      </c>
      <c r="O124" s="3">
        <f t="shared" si="114"/>
        <v>1</v>
      </c>
      <c r="P124" s="3">
        <f t="shared" si="114"/>
        <v>1</v>
      </c>
      <c r="Q124" s="3">
        <f t="shared" si="114"/>
        <v>1</v>
      </c>
      <c r="R124" s="3">
        <f t="shared" si="114"/>
        <v>1</v>
      </c>
      <c r="S124" s="3">
        <f t="shared" si="114"/>
        <v>1</v>
      </c>
      <c r="T124" s="3">
        <f t="shared" si="114"/>
        <v>1</v>
      </c>
      <c r="U124" s="3">
        <f t="shared" si="114"/>
        <v>1</v>
      </c>
      <c r="V124" s="3">
        <f t="shared" si="114"/>
        <v>1</v>
      </c>
      <c r="W124" s="3">
        <f t="shared" si="114"/>
        <v>1</v>
      </c>
    </row>
    <row r="125" customHeight="1" spans="1:23">
      <c r="A125" s="2">
        <v>112</v>
      </c>
      <c r="B125" s="3">
        <f t="shared" ref="B125:W125" si="115">MIN(1,IF($A125&lt;B$4+B$3,0,IF(B$2=0,1,IF(B$5=0,1/(1+(B$6*EXP(-($A125-B$4)/B$7))),IF(MOD($A125-B$4,B$5)=0,1/(1+(B$6*EXP(-($A125-B$4)/B$7))),1/(1+(B$6*EXP(-(QUOTIENT($A125-B$4,B$5)*B$5)/B$7))))))))</f>
        <v>0.999983369702189</v>
      </c>
      <c r="C125" s="3">
        <f t="shared" si="115"/>
        <v>0.999983369702189</v>
      </c>
      <c r="D125" s="3" t="e">
        <f t="shared" si="115"/>
        <v>#DIV/0!</v>
      </c>
      <c r="E125" s="3" t="e">
        <f t="shared" si="115"/>
        <v>#REF!</v>
      </c>
      <c r="F125" s="3">
        <f t="shared" si="115"/>
        <v>0.999999997195245</v>
      </c>
      <c r="G125" s="3">
        <f t="shared" si="115"/>
        <v>0.999999997195245</v>
      </c>
      <c r="H125" s="3">
        <f t="shared" si="115"/>
        <v>0.999983369702189</v>
      </c>
      <c r="I125" s="3">
        <f t="shared" si="115"/>
        <v>0.999983369702189</v>
      </c>
      <c r="J125" s="3">
        <f t="shared" si="115"/>
        <v>1</v>
      </c>
      <c r="K125" s="3">
        <f t="shared" si="115"/>
        <v>0.999983369702189</v>
      </c>
      <c r="L125" s="3">
        <f t="shared" si="115"/>
        <v>0.999983369702189</v>
      </c>
      <c r="M125" s="3" t="e">
        <f t="shared" si="115"/>
        <v>#REF!</v>
      </c>
      <c r="N125" s="3">
        <f t="shared" si="115"/>
        <v>1</v>
      </c>
      <c r="O125" s="3">
        <f t="shared" si="115"/>
        <v>1</v>
      </c>
      <c r="P125" s="3">
        <f t="shared" si="115"/>
        <v>1</v>
      </c>
      <c r="Q125" s="3">
        <f t="shared" si="115"/>
        <v>1</v>
      </c>
      <c r="R125" s="3">
        <f t="shared" si="115"/>
        <v>1</v>
      </c>
      <c r="S125" s="3">
        <f t="shared" si="115"/>
        <v>1</v>
      </c>
      <c r="T125" s="3">
        <f t="shared" si="115"/>
        <v>1</v>
      </c>
      <c r="U125" s="3">
        <f t="shared" si="115"/>
        <v>1</v>
      </c>
      <c r="V125" s="3">
        <f t="shared" si="115"/>
        <v>1</v>
      </c>
      <c r="W125" s="3">
        <f t="shared" si="115"/>
        <v>1</v>
      </c>
    </row>
    <row r="126" customHeight="1" spans="1:23">
      <c r="A126" s="2">
        <v>113</v>
      </c>
      <c r="B126" s="3">
        <f t="shared" ref="B126:W126" si="116">MIN(1,IF($A126&lt;B$4+B$3,0,IF(B$2=0,1,IF(B$5=0,1/(1+(B$6*EXP(-($A126-B$4)/B$7))),IF(MOD($A126-B$4,B$5)=0,1/(1+(B$6*EXP(-($A126-B$4)/B$7))),1/(1+(B$6*EXP(-(QUOTIENT($A126-B$4,B$5)*B$5)/B$7))))))))</f>
        <v>0.999985323785014</v>
      </c>
      <c r="C126" s="3">
        <f t="shared" si="116"/>
        <v>0.999985323785014</v>
      </c>
      <c r="D126" s="3" t="e">
        <f t="shared" si="116"/>
        <v>#DIV/0!</v>
      </c>
      <c r="E126" s="3" t="e">
        <f t="shared" si="116"/>
        <v>#REF!</v>
      </c>
      <c r="F126" s="3">
        <f t="shared" si="116"/>
        <v>0.999999997703661</v>
      </c>
      <c r="G126" s="3">
        <f t="shared" si="116"/>
        <v>0.999999997703661</v>
      </c>
      <c r="H126" s="3">
        <f t="shared" si="116"/>
        <v>0.999985323785014</v>
      </c>
      <c r="I126" s="3">
        <f t="shared" si="116"/>
        <v>0.999985323785014</v>
      </c>
      <c r="J126" s="3">
        <f t="shared" si="116"/>
        <v>1</v>
      </c>
      <c r="K126" s="3">
        <f t="shared" si="116"/>
        <v>0.999985323785014</v>
      </c>
      <c r="L126" s="3">
        <f t="shared" si="116"/>
        <v>0.999985323785014</v>
      </c>
      <c r="M126" s="3" t="e">
        <f t="shared" si="116"/>
        <v>#REF!</v>
      </c>
      <c r="N126" s="3">
        <f t="shared" si="116"/>
        <v>1</v>
      </c>
      <c r="O126" s="3">
        <f t="shared" si="116"/>
        <v>1</v>
      </c>
      <c r="P126" s="3">
        <f t="shared" si="116"/>
        <v>1</v>
      </c>
      <c r="Q126" s="3">
        <f t="shared" si="116"/>
        <v>1</v>
      </c>
      <c r="R126" s="3">
        <f t="shared" si="116"/>
        <v>1</v>
      </c>
      <c r="S126" s="3">
        <f t="shared" si="116"/>
        <v>1</v>
      </c>
      <c r="T126" s="3">
        <f t="shared" si="116"/>
        <v>1</v>
      </c>
      <c r="U126" s="3">
        <f t="shared" si="116"/>
        <v>1</v>
      </c>
      <c r="V126" s="3">
        <f t="shared" si="116"/>
        <v>1</v>
      </c>
      <c r="W126" s="3">
        <f t="shared" si="116"/>
        <v>1</v>
      </c>
    </row>
    <row r="127" customHeight="1" spans="1:23">
      <c r="A127" s="2">
        <v>114</v>
      </c>
      <c r="B127" s="3">
        <f t="shared" ref="B127:W127" si="117">MIN(1,IF($A127&lt;B$4+B$3,0,IF(B$2=0,1,IF(B$5=0,1/(1+(B$6*EXP(-($A127-B$4)/B$7))),IF(MOD($A127-B$4,B$5)=0,1/(1+(B$6*EXP(-($A127-B$4)/B$7))),1/(1+(B$6*EXP(-(QUOTIENT($A127-B$4,B$5)*B$5)/B$7))))))))</f>
        <v>0.999987048263398</v>
      </c>
      <c r="C127" s="3">
        <f t="shared" si="117"/>
        <v>0.999987048263398</v>
      </c>
      <c r="D127" s="3" t="e">
        <f t="shared" si="117"/>
        <v>#DIV/0!</v>
      </c>
      <c r="E127" s="3" t="e">
        <f t="shared" si="117"/>
        <v>#REF!</v>
      </c>
      <c r="F127" s="3">
        <f t="shared" si="117"/>
        <v>0.999999998119917</v>
      </c>
      <c r="G127" s="3">
        <f t="shared" si="117"/>
        <v>0.999999998119917</v>
      </c>
      <c r="H127" s="3">
        <f t="shared" si="117"/>
        <v>0.999987048263398</v>
      </c>
      <c r="I127" s="3">
        <f t="shared" si="117"/>
        <v>0.999987048263398</v>
      </c>
      <c r="J127" s="3">
        <f t="shared" si="117"/>
        <v>1</v>
      </c>
      <c r="K127" s="3">
        <f t="shared" si="117"/>
        <v>0.999987048263398</v>
      </c>
      <c r="L127" s="3">
        <f t="shared" si="117"/>
        <v>0.999987048263398</v>
      </c>
      <c r="M127" s="3" t="e">
        <f t="shared" si="117"/>
        <v>#REF!</v>
      </c>
      <c r="N127" s="3">
        <f t="shared" si="117"/>
        <v>1</v>
      </c>
      <c r="O127" s="3">
        <f t="shared" si="117"/>
        <v>1</v>
      </c>
      <c r="P127" s="3">
        <f t="shared" si="117"/>
        <v>1</v>
      </c>
      <c r="Q127" s="3">
        <f t="shared" si="117"/>
        <v>1</v>
      </c>
      <c r="R127" s="3">
        <f t="shared" si="117"/>
        <v>1</v>
      </c>
      <c r="S127" s="3">
        <f t="shared" si="117"/>
        <v>1</v>
      </c>
      <c r="T127" s="3">
        <f t="shared" si="117"/>
        <v>1</v>
      </c>
      <c r="U127" s="3">
        <f t="shared" si="117"/>
        <v>1</v>
      </c>
      <c r="V127" s="3">
        <f t="shared" si="117"/>
        <v>1</v>
      </c>
      <c r="W127" s="3">
        <f t="shared" si="117"/>
        <v>1</v>
      </c>
    </row>
    <row r="128" customHeight="1" spans="1:23">
      <c r="A128" s="2">
        <v>115</v>
      </c>
      <c r="B128" s="3">
        <f t="shared" ref="B128:W128" si="118">MIN(1,IF($A128&lt;B$4+B$3,0,IF(B$2=0,1,IF(B$5=0,1/(1+(B$6*EXP(-($A128-B$4)/B$7))),IF(MOD($A128-B$4,B$5)=0,1/(1+(B$6*EXP(-($A128-B$4)/B$7))),1/(1+(B$6*EXP(-(QUOTIENT($A128-B$4,B$5)*B$5)/B$7))))))))</f>
        <v>0.999988570115171</v>
      </c>
      <c r="C128" s="3">
        <f t="shared" si="118"/>
        <v>0.999988570115171</v>
      </c>
      <c r="D128" s="3" t="e">
        <f t="shared" si="118"/>
        <v>#DIV/0!</v>
      </c>
      <c r="E128" s="3" t="e">
        <f t="shared" si="118"/>
        <v>#REF!</v>
      </c>
      <c r="F128" s="3">
        <f t="shared" si="118"/>
        <v>0.999999998460718</v>
      </c>
      <c r="G128" s="3">
        <f t="shared" si="118"/>
        <v>0.999999998460718</v>
      </c>
      <c r="H128" s="3">
        <f t="shared" si="118"/>
        <v>0.999988570115171</v>
      </c>
      <c r="I128" s="3">
        <f t="shared" si="118"/>
        <v>0.999988570115171</v>
      </c>
      <c r="J128" s="3">
        <f t="shared" si="118"/>
        <v>1</v>
      </c>
      <c r="K128" s="3">
        <f t="shared" si="118"/>
        <v>0.999988570115171</v>
      </c>
      <c r="L128" s="3">
        <f t="shared" si="118"/>
        <v>0.999988570115171</v>
      </c>
      <c r="M128" s="3" t="e">
        <f t="shared" si="118"/>
        <v>#REF!</v>
      </c>
      <c r="N128" s="3">
        <f t="shared" si="118"/>
        <v>1</v>
      </c>
      <c r="O128" s="3">
        <f t="shared" si="118"/>
        <v>1</v>
      </c>
      <c r="P128" s="3">
        <f t="shared" si="118"/>
        <v>1</v>
      </c>
      <c r="Q128" s="3">
        <f t="shared" si="118"/>
        <v>1</v>
      </c>
      <c r="R128" s="3">
        <f t="shared" si="118"/>
        <v>1</v>
      </c>
      <c r="S128" s="3">
        <f t="shared" si="118"/>
        <v>1</v>
      </c>
      <c r="T128" s="3">
        <f t="shared" si="118"/>
        <v>1</v>
      </c>
      <c r="U128" s="3">
        <f t="shared" si="118"/>
        <v>1</v>
      </c>
      <c r="V128" s="3">
        <f t="shared" si="118"/>
        <v>1</v>
      </c>
      <c r="W128" s="3">
        <f t="shared" si="118"/>
        <v>1</v>
      </c>
    </row>
    <row r="129" customHeight="1" spans="1:23">
      <c r="A129" s="2">
        <v>116</v>
      </c>
      <c r="B129" s="3">
        <f t="shared" ref="B129:W129" si="119">MIN(1,IF($A129&lt;B$4+B$3,0,IF(B$2=0,1,IF(B$5=0,1/(1+(B$6*EXP(-($A129-B$4)/B$7))),IF(MOD($A129-B$4,B$5)=0,1/(1+(B$6*EXP(-($A129-B$4)/B$7))),1/(1+(B$6*EXP(-(QUOTIENT($A129-B$4,B$5)*B$5)/B$7))))))))</f>
        <v>0.999989913148494</v>
      </c>
      <c r="C129" s="3">
        <f t="shared" si="119"/>
        <v>0.999989913148494</v>
      </c>
      <c r="D129" s="3" t="e">
        <f t="shared" si="119"/>
        <v>#DIV/0!</v>
      </c>
      <c r="E129" s="3" t="e">
        <f t="shared" si="119"/>
        <v>#REF!</v>
      </c>
      <c r="F129" s="3">
        <f t="shared" si="119"/>
        <v>0.999999998739743</v>
      </c>
      <c r="G129" s="3">
        <f t="shared" si="119"/>
        <v>0.999999998739743</v>
      </c>
      <c r="H129" s="3">
        <f t="shared" si="119"/>
        <v>0.999989913148494</v>
      </c>
      <c r="I129" s="3">
        <f t="shared" si="119"/>
        <v>0.999989913148494</v>
      </c>
      <c r="J129" s="3">
        <f t="shared" si="119"/>
        <v>1</v>
      </c>
      <c r="K129" s="3">
        <f t="shared" si="119"/>
        <v>0.999989913148494</v>
      </c>
      <c r="L129" s="3">
        <f t="shared" si="119"/>
        <v>0.999989913148494</v>
      </c>
      <c r="M129" s="3" t="e">
        <f t="shared" si="119"/>
        <v>#REF!</v>
      </c>
      <c r="N129" s="3">
        <f t="shared" si="119"/>
        <v>1</v>
      </c>
      <c r="O129" s="3">
        <f t="shared" si="119"/>
        <v>1</v>
      </c>
      <c r="P129" s="3">
        <f t="shared" si="119"/>
        <v>1</v>
      </c>
      <c r="Q129" s="3">
        <f t="shared" si="119"/>
        <v>1</v>
      </c>
      <c r="R129" s="3">
        <f t="shared" si="119"/>
        <v>1</v>
      </c>
      <c r="S129" s="3">
        <f t="shared" si="119"/>
        <v>1</v>
      </c>
      <c r="T129" s="3">
        <f t="shared" si="119"/>
        <v>1</v>
      </c>
      <c r="U129" s="3">
        <f t="shared" si="119"/>
        <v>1</v>
      </c>
      <c r="V129" s="3">
        <f t="shared" si="119"/>
        <v>1</v>
      </c>
      <c r="W129" s="3">
        <f t="shared" si="119"/>
        <v>1</v>
      </c>
    </row>
    <row r="130" customHeight="1" spans="1:23">
      <c r="A130" s="2">
        <v>117</v>
      </c>
      <c r="B130" s="3">
        <f t="shared" ref="B130:W130" si="120">MIN(1,IF($A130&lt;B$4+B$3,0,IF(B$2=0,1,IF(B$5=0,1/(1+(B$6*EXP(-($A130-B$4)/B$7))),IF(MOD($A130-B$4,B$5)=0,1/(1+(B$6*EXP(-($A130-B$4)/B$7))),1/(1+(B$6*EXP(-(QUOTIENT($A130-B$4,B$5)*B$5)/B$7))))))))</f>
        <v>0.999991098374239</v>
      </c>
      <c r="C130" s="3">
        <f t="shared" si="120"/>
        <v>0.999991098374239</v>
      </c>
      <c r="D130" s="3" t="e">
        <f t="shared" si="120"/>
        <v>#DIV/0!</v>
      </c>
      <c r="E130" s="3" t="e">
        <f t="shared" si="120"/>
        <v>#REF!</v>
      </c>
      <c r="F130" s="3">
        <f t="shared" si="120"/>
        <v>0.999999998968188</v>
      </c>
      <c r="G130" s="3">
        <f t="shared" si="120"/>
        <v>0.999999998968188</v>
      </c>
      <c r="H130" s="3">
        <f t="shared" si="120"/>
        <v>0.999991098374239</v>
      </c>
      <c r="I130" s="3">
        <f t="shared" si="120"/>
        <v>0.999991098374239</v>
      </c>
      <c r="J130" s="3">
        <f t="shared" si="120"/>
        <v>1</v>
      </c>
      <c r="K130" s="3">
        <f t="shared" si="120"/>
        <v>0.999991098374239</v>
      </c>
      <c r="L130" s="3">
        <f t="shared" si="120"/>
        <v>0.999991098374239</v>
      </c>
      <c r="M130" s="3" t="e">
        <f t="shared" si="120"/>
        <v>#REF!</v>
      </c>
      <c r="N130" s="3">
        <f t="shared" si="120"/>
        <v>1</v>
      </c>
      <c r="O130" s="3">
        <f t="shared" si="120"/>
        <v>1</v>
      </c>
      <c r="P130" s="3">
        <f t="shared" si="120"/>
        <v>1</v>
      </c>
      <c r="Q130" s="3">
        <f t="shared" si="120"/>
        <v>1</v>
      </c>
      <c r="R130" s="3">
        <f t="shared" si="120"/>
        <v>1</v>
      </c>
      <c r="S130" s="3">
        <f t="shared" si="120"/>
        <v>1</v>
      </c>
      <c r="T130" s="3">
        <f t="shared" si="120"/>
        <v>1</v>
      </c>
      <c r="U130" s="3">
        <f t="shared" si="120"/>
        <v>1</v>
      </c>
      <c r="V130" s="3">
        <f t="shared" si="120"/>
        <v>1</v>
      </c>
      <c r="W130" s="3">
        <f t="shared" si="120"/>
        <v>1</v>
      </c>
    </row>
    <row r="131" customHeight="1" spans="1:23">
      <c r="A131" s="2">
        <v>118</v>
      </c>
      <c r="B131" s="3">
        <f t="shared" ref="B131:W131" si="121">MIN(1,IF($A131&lt;B$4+B$3,0,IF(B$2=0,1,IF(B$5=0,1/(1+(B$6*EXP(-($A131-B$4)/B$7))),IF(MOD($A131-B$4,B$5)=0,1/(1+(B$6*EXP(-($A131-B$4)/B$7))),1/(1+(B$6*EXP(-(QUOTIENT($A131-B$4,B$5)*B$5)/B$7))))))))</f>
        <v>0.999992144334621</v>
      </c>
      <c r="C131" s="3">
        <f t="shared" si="121"/>
        <v>0.999992144334621</v>
      </c>
      <c r="D131" s="3" t="e">
        <f t="shared" si="121"/>
        <v>#DIV/0!</v>
      </c>
      <c r="E131" s="3" t="e">
        <f t="shared" si="121"/>
        <v>#REF!</v>
      </c>
      <c r="F131" s="3">
        <f t="shared" si="121"/>
        <v>0.999999999155224</v>
      </c>
      <c r="G131" s="3">
        <f t="shared" si="121"/>
        <v>0.999999999155224</v>
      </c>
      <c r="H131" s="3">
        <f t="shared" si="121"/>
        <v>0.999992144334621</v>
      </c>
      <c r="I131" s="3">
        <f t="shared" si="121"/>
        <v>0.999992144334621</v>
      </c>
      <c r="J131" s="3">
        <f t="shared" si="121"/>
        <v>1</v>
      </c>
      <c r="K131" s="3">
        <f t="shared" si="121"/>
        <v>0.999992144334621</v>
      </c>
      <c r="L131" s="3">
        <f t="shared" si="121"/>
        <v>0.999992144334621</v>
      </c>
      <c r="M131" s="3" t="e">
        <f t="shared" si="121"/>
        <v>#REF!</v>
      </c>
      <c r="N131" s="3">
        <f t="shared" si="121"/>
        <v>1</v>
      </c>
      <c r="O131" s="3">
        <f t="shared" si="121"/>
        <v>1</v>
      </c>
      <c r="P131" s="3">
        <f t="shared" si="121"/>
        <v>1</v>
      </c>
      <c r="Q131" s="3">
        <f t="shared" si="121"/>
        <v>1</v>
      </c>
      <c r="R131" s="3">
        <f t="shared" si="121"/>
        <v>1</v>
      </c>
      <c r="S131" s="3">
        <f t="shared" si="121"/>
        <v>1</v>
      </c>
      <c r="T131" s="3">
        <f t="shared" si="121"/>
        <v>1</v>
      </c>
      <c r="U131" s="3">
        <f t="shared" si="121"/>
        <v>1</v>
      </c>
      <c r="V131" s="3">
        <f t="shared" si="121"/>
        <v>1</v>
      </c>
      <c r="W131" s="3">
        <f t="shared" si="121"/>
        <v>1</v>
      </c>
    </row>
    <row r="132" customHeight="1" spans="1:23">
      <c r="A132" s="2">
        <v>119</v>
      </c>
      <c r="B132" s="3">
        <f t="shared" ref="B132:W132" si="122">MIN(1,IF($A132&lt;B$4+B$3,0,IF(B$2=0,1,IF(B$5=0,1/(1+(B$6*EXP(-($A132-B$4)/B$7))),IF(MOD($A132-B$4,B$5)=0,1/(1+(B$6*EXP(-($A132-B$4)/B$7))),1/(1+(B$6*EXP(-(QUOTIENT($A132-B$4,B$5)*B$5)/B$7))))))))</f>
        <v>0.999993067393236</v>
      </c>
      <c r="C132" s="3">
        <f t="shared" si="122"/>
        <v>0.999993067393236</v>
      </c>
      <c r="D132" s="3" t="e">
        <f t="shared" si="122"/>
        <v>#DIV/0!</v>
      </c>
      <c r="E132" s="3" t="e">
        <f t="shared" si="122"/>
        <v>#REF!</v>
      </c>
      <c r="F132" s="3">
        <f t="shared" si="122"/>
        <v>0.999999999308356</v>
      </c>
      <c r="G132" s="3">
        <f t="shared" si="122"/>
        <v>0.999999999308356</v>
      </c>
      <c r="H132" s="3">
        <f t="shared" si="122"/>
        <v>0.999993067393236</v>
      </c>
      <c r="I132" s="3">
        <f t="shared" si="122"/>
        <v>0.999993067393236</v>
      </c>
      <c r="J132" s="3">
        <f t="shared" si="122"/>
        <v>1</v>
      </c>
      <c r="K132" s="3">
        <f t="shared" si="122"/>
        <v>0.999993067393236</v>
      </c>
      <c r="L132" s="3">
        <f t="shared" si="122"/>
        <v>0.999993067393236</v>
      </c>
      <c r="M132" s="3" t="e">
        <f t="shared" si="122"/>
        <v>#REF!</v>
      </c>
      <c r="N132" s="3">
        <f t="shared" si="122"/>
        <v>1</v>
      </c>
      <c r="O132" s="3">
        <f t="shared" si="122"/>
        <v>1</v>
      </c>
      <c r="P132" s="3">
        <f t="shared" si="122"/>
        <v>1</v>
      </c>
      <c r="Q132" s="3">
        <f t="shared" si="122"/>
        <v>1</v>
      </c>
      <c r="R132" s="3">
        <f t="shared" si="122"/>
        <v>1</v>
      </c>
      <c r="S132" s="3">
        <f t="shared" si="122"/>
        <v>1</v>
      </c>
      <c r="T132" s="3">
        <f t="shared" si="122"/>
        <v>1</v>
      </c>
      <c r="U132" s="3">
        <f t="shared" si="122"/>
        <v>1</v>
      </c>
      <c r="V132" s="3">
        <f t="shared" si="122"/>
        <v>1</v>
      </c>
      <c r="W132" s="3">
        <f t="shared" si="122"/>
        <v>1</v>
      </c>
    </row>
    <row r="133" customHeight="1" spans="1:23">
      <c r="A133" s="2">
        <v>120</v>
      </c>
      <c r="B133" s="3">
        <f t="shared" ref="B133:W133" si="123">MIN(1,IF($A133&lt;B$4+B$3,0,IF(B$2=0,1,IF(B$5=0,1/(1+(B$6*EXP(-($A133-B$4)/B$7))),IF(MOD($A133-B$4,B$5)=0,1/(1+(B$6*EXP(-($A133-B$4)/B$7))),1/(1+(B$6*EXP(-(QUOTIENT($A133-B$4,B$5)*B$5)/B$7))))))))</f>
        <v>0.99999388199102</v>
      </c>
      <c r="C133" s="3">
        <f t="shared" si="123"/>
        <v>0.99999388199102</v>
      </c>
      <c r="D133" s="3" t="e">
        <f t="shared" si="123"/>
        <v>#DIV/0!</v>
      </c>
      <c r="E133" s="3" t="e">
        <f t="shared" si="123"/>
        <v>#REF!</v>
      </c>
      <c r="F133" s="3">
        <f t="shared" si="123"/>
        <v>0.99999999943373</v>
      </c>
      <c r="G133" s="3">
        <f t="shared" si="123"/>
        <v>0.99999999943373</v>
      </c>
      <c r="H133" s="3">
        <f t="shared" si="123"/>
        <v>0.99999388199102</v>
      </c>
      <c r="I133" s="3">
        <f t="shared" si="123"/>
        <v>0.99999388199102</v>
      </c>
      <c r="J133" s="3">
        <f t="shared" si="123"/>
        <v>1</v>
      </c>
      <c r="K133" s="3">
        <f t="shared" si="123"/>
        <v>0.99999388199102</v>
      </c>
      <c r="L133" s="3">
        <f t="shared" si="123"/>
        <v>0.99999388199102</v>
      </c>
      <c r="M133" s="3" t="e">
        <f t="shared" si="123"/>
        <v>#REF!</v>
      </c>
      <c r="N133" s="3">
        <f t="shared" si="123"/>
        <v>1</v>
      </c>
      <c r="O133" s="3">
        <f t="shared" si="123"/>
        <v>1</v>
      </c>
      <c r="P133" s="3">
        <f t="shared" si="123"/>
        <v>1</v>
      </c>
      <c r="Q133" s="3">
        <f t="shared" si="123"/>
        <v>1</v>
      </c>
      <c r="R133" s="3">
        <f t="shared" si="123"/>
        <v>1</v>
      </c>
      <c r="S133" s="3">
        <f t="shared" si="123"/>
        <v>1</v>
      </c>
      <c r="T133" s="3">
        <f t="shared" si="123"/>
        <v>1</v>
      </c>
      <c r="U133" s="3">
        <f t="shared" si="123"/>
        <v>1</v>
      </c>
      <c r="V133" s="3">
        <f t="shared" si="123"/>
        <v>1</v>
      </c>
      <c r="W133" s="3">
        <f t="shared" si="123"/>
        <v>1</v>
      </c>
    </row>
    <row r="134" customHeight="1" spans="1:23">
      <c r="A134" s="2">
        <v>121</v>
      </c>
      <c r="B134" s="3">
        <f t="shared" ref="B134:W134" si="124">MIN(1,IF($A134&lt;B$4+B$3,0,IF(B$2=0,1,IF(B$5=0,1/(1+(B$6*EXP(-($A134-B$4)/B$7))),IF(MOD($A134-B$4,B$5)=0,1/(1+(B$6*EXP(-($A134-B$4)/B$7))),1/(1+(B$6*EXP(-(QUOTIENT($A134-B$4,B$5)*B$5)/B$7))))))))</f>
        <v>0.999994600872144</v>
      </c>
      <c r="C134" s="3">
        <f t="shared" si="124"/>
        <v>0.999994600872144</v>
      </c>
      <c r="D134" s="3" t="e">
        <f t="shared" si="124"/>
        <v>#DIV/0!</v>
      </c>
      <c r="E134" s="3" t="e">
        <f t="shared" si="124"/>
        <v>#REF!</v>
      </c>
      <c r="F134" s="3">
        <f t="shared" si="124"/>
        <v>0.999999999536377</v>
      </c>
      <c r="G134" s="3">
        <f t="shared" si="124"/>
        <v>0.999999999536377</v>
      </c>
      <c r="H134" s="3">
        <f t="shared" si="124"/>
        <v>0.999994600872144</v>
      </c>
      <c r="I134" s="3">
        <f t="shared" si="124"/>
        <v>0.999994600872144</v>
      </c>
      <c r="J134" s="3">
        <f t="shared" si="124"/>
        <v>1</v>
      </c>
      <c r="K134" s="3">
        <f t="shared" si="124"/>
        <v>0.999994600872144</v>
      </c>
      <c r="L134" s="3">
        <f t="shared" si="124"/>
        <v>0.999994600872144</v>
      </c>
      <c r="M134" s="3" t="e">
        <f t="shared" si="124"/>
        <v>#REF!</v>
      </c>
      <c r="N134" s="3">
        <f t="shared" si="124"/>
        <v>1</v>
      </c>
      <c r="O134" s="3">
        <f t="shared" si="124"/>
        <v>1</v>
      </c>
      <c r="P134" s="3">
        <f t="shared" si="124"/>
        <v>1</v>
      </c>
      <c r="Q134" s="3">
        <f t="shared" si="124"/>
        <v>1</v>
      </c>
      <c r="R134" s="3">
        <f t="shared" si="124"/>
        <v>1</v>
      </c>
      <c r="S134" s="3">
        <f t="shared" si="124"/>
        <v>1</v>
      </c>
      <c r="T134" s="3">
        <f t="shared" si="124"/>
        <v>1</v>
      </c>
      <c r="U134" s="3">
        <f t="shared" si="124"/>
        <v>1</v>
      </c>
      <c r="V134" s="3">
        <f t="shared" si="124"/>
        <v>1</v>
      </c>
      <c r="W134" s="3">
        <f t="shared" si="124"/>
        <v>1</v>
      </c>
    </row>
    <row r="135" customHeight="1" spans="1:23">
      <c r="A135" s="2">
        <v>122</v>
      </c>
      <c r="B135" s="3">
        <f t="shared" ref="B135:W135" si="125">MIN(1,IF($A135&lt;B$4+B$3,0,IF(B$2=0,1,IF(B$5=0,1/(1+(B$6*EXP(-($A135-B$4)/B$7))),IF(MOD($A135-B$4,B$5)=0,1/(1+(B$6*EXP(-($A135-B$4)/B$7))),1/(1+(B$6*EXP(-(QUOTIENT($A135-B$4,B$5)*B$5)/B$7))))))))</f>
        <v>0.999995235283368</v>
      </c>
      <c r="C135" s="3">
        <f t="shared" si="125"/>
        <v>0.999995235283368</v>
      </c>
      <c r="D135" s="3" t="e">
        <f t="shared" si="125"/>
        <v>#DIV/0!</v>
      </c>
      <c r="E135" s="3" t="e">
        <f t="shared" si="125"/>
        <v>#REF!</v>
      </c>
      <c r="F135" s="3">
        <f t="shared" si="125"/>
        <v>0.999999999620418</v>
      </c>
      <c r="G135" s="3">
        <f t="shared" si="125"/>
        <v>0.999999999620418</v>
      </c>
      <c r="H135" s="3">
        <f t="shared" si="125"/>
        <v>0.999995235283368</v>
      </c>
      <c r="I135" s="3">
        <f t="shared" si="125"/>
        <v>0.999995235283368</v>
      </c>
      <c r="J135" s="3">
        <f t="shared" si="125"/>
        <v>1</v>
      </c>
      <c r="K135" s="3">
        <f t="shared" si="125"/>
        <v>0.999995235283368</v>
      </c>
      <c r="L135" s="3">
        <f t="shared" si="125"/>
        <v>0.999995235283368</v>
      </c>
      <c r="M135" s="3" t="e">
        <f t="shared" si="125"/>
        <v>#REF!</v>
      </c>
      <c r="N135" s="3">
        <f t="shared" si="125"/>
        <v>1</v>
      </c>
      <c r="O135" s="3">
        <f t="shared" si="125"/>
        <v>1</v>
      </c>
      <c r="P135" s="3">
        <f t="shared" si="125"/>
        <v>1</v>
      </c>
      <c r="Q135" s="3">
        <f t="shared" si="125"/>
        <v>1</v>
      </c>
      <c r="R135" s="3">
        <f t="shared" si="125"/>
        <v>1</v>
      </c>
      <c r="S135" s="3">
        <f t="shared" si="125"/>
        <v>1</v>
      </c>
      <c r="T135" s="3">
        <f t="shared" si="125"/>
        <v>1</v>
      </c>
      <c r="U135" s="3">
        <f t="shared" si="125"/>
        <v>1</v>
      </c>
      <c r="V135" s="3">
        <f t="shared" si="125"/>
        <v>1</v>
      </c>
      <c r="W135" s="3">
        <f t="shared" si="125"/>
        <v>1</v>
      </c>
    </row>
    <row r="136" customHeight="1" spans="1:23">
      <c r="A136" s="2">
        <v>123</v>
      </c>
      <c r="B136" s="3">
        <f t="shared" ref="B136:W136" si="126">MIN(1,IF($A136&lt;B$4+B$3,0,IF(B$2=0,1,IF(B$5=0,1/(1+(B$6*EXP(-($A136-B$4)/B$7))),IF(MOD($A136-B$4,B$5)=0,1/(1+(B$6*EXP(-($A136-B$4)/B$7))),1/(1+(B$6*EXP(-(QUOTIENT($A136-B$4,B$5)*B$5)/B$7))))))))</f>
        <v>0.999995795149976</v>
      </c>
      <c r="C136" s="3">
        <f t="shared" si="126"/>
        <v>0.999995795149976</v>
      </c>
      <c r="D136" s="3" t="e">
        <f t="shared" si="126"/>
        <v>#DIV/0!</v>
      </c>
      <c r="E136" s="3" t="e">
        <f t="shared" si="126"/>
        <v>#REF!</v>
      </c>
      <c r="F136" s="3">
        <f t="shared" si="126"/>
        <v>0.999999999689224</v>
      </c>
      <c r="G136" s="3">
        <f t="shared" si="126"/>
        <v>0.999999999689224</v>
      </c>
      <c r="H136" s="3">
        <f t="shared" si="126"/>
        <v>0.999995795149976</v>
      </c>
      <c r="I136" s="3">
        <f t="shared" si="126"/>
        <v>0.999995795149976</v>
      </c>
      <c r="J136" s="3">
        <f t="shared" si="126"/>
        <v>1</v>
      </c>
      <c r="K136" s="3">
        <f t="shared" si="126"/>
        <v>0.999995795149976</v>
      </c>
      <c r="L136" s="3">
        <f t="shared" si="126"/>
        <v>0.999995795149976</v>
      </c>
      <c r="M136" s="3" t="e">
        <f t="shared" si="126"/>
        <v>#REF!</v>
      </c>
      <c r="N136" s="3">
        <f t="shared" si="126"/>
        <v>1</v>
      </c>
      <c r="O136" s="3">
        <f t="shared" si="126"/>
        <v>1</v>
      </c>
      <c r="P136" s="3">
        <f t="shared" si="126"/>
        <v>1</v>
      </c>
      <c r="Q136" s="3">
        <f t="shared" si="126"/>
        <v>1</v>
      </c>
      <c r="R136" s="3">
        <f t="shared" si="126"/>
        <v>1</v>
      </c>
      <c r="S136" s="3">
        <f t="shared" si="126"/>
        <v>1</v>
      </c>
      <c r="T136" s="3">
        <f t="shared" si="126"/>
        <v>1</v>
      </c>
      <c r="U136" s="3">
        <f t="shared" si="126"/>
        <v>1</v>
      </c>
      <c r="V136" s="3">
        <f t="shared" si="126"/>
        <v>1</v>
      </c>
      <c r="W136" s="3">
        <f t="shared" si="126"/>
        <v>1</v>
      </c>
    </row>
    <row r="137" customHeight="1" spans="1:23">
      <c r="A137" s="2">
        <v>124</v>
      </c>
      <c r="B137" s="3">
        <f t="shared" ref="B137:W137" si="127">MIN(1,IF($A137&lt;B$4+B$3,0,IF(B$2=0,1,IF(B$5=0,1/(1+(B$6*EXP(-($A137-B$4)/B$7))),IF(MOD($A137-B$4,B$5)=0,1/(1+(B$6*EXP(-($A137-B$4)/B$7))),1/(1+(B$6*EXP(-(QUOTIENT($A137-B$4,B$5)*B$5)/B$7))))))))</f>
        <v>0.999996289231045</v>
      </c>
      <c r="C137" s="3">
        <f t="shared" si="127"/>
        <v>0.999996289231045</v>
      </c>
      <c r="D137" s="3" t="e">
        <f t="shared" si="127"/>
        <v>#DIV/0!</v>
      </c>
      <c r="E137" s="3" t="e">
        <f t="shared" si="127"/>
        <v>#REF!</v>
      </c>
      <c r="F137" s="3">
        <f t="shared" si="127"/>
        <v>0.999999999745558</v>
      </c>
      <c r="G137" s="3">
        <f t="shared" si="127"/>
        <v>0.999999999745558</v>
      </c>
      <c r="H137" s="3">
        <f t="shared" si="127"/>
        <v>0.999996289231045</v>
      </c>
      <c r="I137" s="3">
        <f t="shared" si="127"/>
        <v>0.999996289231045</v>
      </c>
      <c r="J137" s="3">
        <f t="shared" si="127"/>
        <v>1</v>
      </c>
      <c r="K137" s="3">
        <f t="shared" si="127"/>
        <v>0.999996289231045</v>
      </c>
      <c r="L137" s="3">
        <f t="shared" si="127"/>
        <v>0.999996289231045</v>
      </c>
      <c r="M137" s="3" t="e">
        <f t="shared" si="127"/>
        <v>#REF!</v>
      </c>
      <c r="N137" s="3">
        <f t="shared" si="127"/>
        <v>1</v>
      </c>
      <c r="O137" s="3">
        <f t="shared" si="127"/>
        <v>1</v>
      </c>
      <c r="P137" s="3">
        <f t="shared" si="127"/>
        <v>1</v>
      </c>
      <c r="Q137" s="3">
        <f t="shared" si="127"/>
        <v>1</v>
      </c>
      <c r="R137" s="3">
        <f t="shared" si="127"/>
        <v>1</v>
      </c>
      <c r="S137" s="3">
        <f t="shared" si="127"/>
        <v>1</v>
      </c>
      <c r="T137" s="3">
        <f t="shared" si="127"/>
        <v>1</v>
      </c>
      <c r="U137" s="3">
        <f t="shared" si="127"/>
        <v>1</v>
      </c>
      <c r="V137" s="3">
        <f t="shared" si="127"/>
        <v>1</v>
      </c>
      <c r="W137" s="3">
        <f t="shared" si="127"/>
        <v>1</v>
      </c>
    </row>
    <row r="138" customHeight="1" spans="1:23">
      <c r="A138" s="2">
        <v>125</v>
      </c>
      <c r="B138" s="3">
        <f t="shared" ref="B138:W138" si="128">MIN(1,IF($A138&lt;B$4+B$3,0,IF(B$2=0,1,IF(B$5=0,1/(1+(B$6*EXP(-($A138-B$4)/B$7))),IF(MOD($A138-B$4,B$5)=0,1/(1+(B$6*EXP(-($A138-B$4)/B$7))),1/(1+(B$6*EXP(-(QUOTIENT($A138-B$4,B$5)*B$5)/B$7))))))))</f>
        <v>0.999996725256463</v>
      </c>
      <c r="C138" s="3">
        <f t="shared" si="128"/>
        <v>0.999996725256463</v>
      </c>
      <c r="D138" s="3" t="e">
        <f t="shared" si="128"/>
        <v>#DIV/0!</v>
      </c>
      <c r="E138" s="3" t="e">
        <f t="shared" si="128"/>
        <v>#REF!</v>
      </c>
      <c r="F138" s="3">
        <f t="shared" si="128"/>
        <v>0.999999999791681</v>
      </c>
      <c r="G138" s="3">
        <f t="shared" si="128"/>
        <v>0.999999999791681</v>
      </c>
      <c r="H138" s="3">
        <f t="shared" si="128"/>
        <v>0.999996725256463</v>
      </c>
      <c r="I138" s="3">
        <f t="shared" si="128"/>
        <v>0.999996725256463</v>
      </c>
      <c r="J138" s="3">
        <f t="shared" si="128"/>
        <v>1</v>
      </c>
      <c r="K138" s="3">
        <f t="shared" si="128"/>
        <v>0.999996725256463</v>
      </c>
      <c r="L138" s="3">
        <f t="shared" si="128"/>
        <v>0.999996725256463</v>
      </c>
      <c r="M138" s="3" t="e">
        <f t="shared" si="128"/>
        <v>#REF!</v>
      </c>
      <c r="N138" s="3">
        <f t="shared" si="128"/>
        <v>1</v>
      </c>
      <c r="O138" s="3">
        <f t="shared" si="128"/>
        <v>1</v>
      </c>
      <c r="P138" s="3">
        <f t="shared" si="128"/>
        <v>1</v>
      </c>
      <c r="Q138" s="3">
        <f t="shared" si="128"/>
        <v>1</v>
      </c>
      <c r="R138" s="3">
        <f t="shared" si="128"/>
        <v>1</v>
      </c>
      <c r="S138" s="3">
        <f t="shared" si="128"/>
        <v>1</v>
      </c>
      <c r="T138" s="3">
        <f t="shared" si="128"/>
        <v>1</v>
      </c>
      <c r="U138" s="3">
        <f t="shared" si="128"/>
        <v>1</v>
      </c>
      <c r="V138" s="3">
        <f t="shared" si="128"/>
        <v>1</v>
      </c>
      <c r="W138" s="3">
        <f t="shared" si="128"/>
        <v>1</v>
      </c>
    </row>
    <row r="139" customHeight="1" spans="1:23">
      <c r="A139" s="2">
        <v>126</v>
      </c>
      <c r="B139" s="3">
        <f t="shared" ref="B139:W139" si="129">MIN(1,IF($A139&lt;B$4+B$3,0,IF(B$2=0,1,IF(B$5=0,1/(1+(B$6*EXP(-($A139-B$4)/B$7))),IF(MOD($A139-B$4,B$5)=0,1/(1+(B$6*EXP(-($A139-B$4)/B$7))),1/(1+(B$6*EXP(-(QUOTIENT($A139-B$4,B$5)*B$5)/B$7))))))))</f>
        <v>0.99999711004786</v>
      </c>
      <c r="C139" s="3">
        <f t="shared" si="129"/>
        <v>0.99999711004786</v>
      </c>
      <c r="D139" s="3" t="e">
        <f t="shared" si="129"/>
        <v>#DIV/0!</v>
      </c>
      <c r="E139" s="3" t="e">
        <f t="shared" si="129"/>
        <v>#REF!</v>
      </c>
      <c r="F139" s="3">
        <f t="shared" si="129"/>
        <v>0.999999999829443</v>
      </c>
      <c r="G139" s="3">
        <f t="shared" si="129"/>
        <v>0.999999999829443</v>
      </c>
      <c r="H139" s="3">
        <f t="shared" si="129"/>
        <v>0.99999711004786</v>
      </c>
      <c r="I139" s="3">
        <f t="shared" si="129"/>
        <v>0.99999711004786</v>
      </c>
      <c r="J139" s="3">
        <f t="shared" si="129"/>
        <v>1</v>
      </c>
      <c r="K139" s="3">
        <f t="shared" si="129"/>
        <v>0.99999711004786</v>
      </c>
      <c r="L139" s="3">
        <f t="shared" si="129"/>
        <v>0.99999711004786</v>
      </c>
      <c r="M139" s="3" t="e">
        <f t="shared" si="129"/>
        <v>#REF!</v>
      </c>
      <c r="N139" s="3">
        <f t="shared" si="129"/>
        <v>1</v>
      </c>
      <c r="O139" s="3">
        <f t="shared" si="129"/>
        <v>1</v>
      </c>
      <c r="P139" s="3">
        <f t="shared" si="129"/>
        <v>1</v>
      </c>
      <c r="Q139" s="3">
        <f t="shared" si="129"/>
        <v>1</v>
      </c>
      <c r="R139" s="3">
        <f t="shared" si="129"/>
        <v>1</v>
      </c>
      <c r="S139" s="3">
        <f t="shared" si="129"/>
        <v>1</v>
      </c>
      <c r="T139" s="3">
        <f t="shared" si="129"/>
        <v>1</v>
      </c>
      <c r="U139" s="3">
        <f t="shared" si="129"/>
        <v>1</v>
      </c>
      <c r="V139" s="3">
        <f t="shared" si="129"/>
        <v>1</v>
      </c>
      <c r="W139" s="3">
        <f t="shared" si="129"/>
        <v>1</v>
      </c>
    </row>
    <row r="140" customHeight="1" spans="1:23">
      <c r="A140" s="2">
        <v>127</v>
      </c>
      <c r="B140" s="3">
        <f t="shared" ref="B140:W140" si="130">MIN(1,IF($A140&lt;B$4+B$3,0,IF(B$2=0,1,IF(B$5=0,1/(1+(B$6*EXP(-($A140-B$4)/B$7))),IF(MOD($A140-B$4,B$5)=0,1/(1+(B$6*EXP(-($A140-B$4)/B$7))),1/(1+(B$6*EXP(-(QUOTIENT($A140-B$4,B$5)*B$5)/B$7))))))))</f>
        <v>0.999997449625322</v>
      </c>
      <c r="C140" s="3">
        <f t="shared" si="130"/>
        <v>0.999997449625322</v>
      </c>
      <c r="D140" s="3" t="e">
        <f t="shared" si="130"/>
        <v>#DIV/0!</v>
      </c>
      <c r="E140" s="3" t="e">
        <f t="shared" si="130"/>
        <v>#REF!</v>
      </c>
      <c r="F140" s="3">
        <f t="shared" si="130"/>
        <v>0.999999999860359</v>
      </c>
      <c r="G140" s="3">
        <f t="shared" si="130"/>
        <v>0.999999999860359</v>
      </c>
      <c r="H140" s="3">
        <f t="shared" si="130"/>
        <v>0.999997449625322</v>
      </c>
      <c r="I140" s="3">
        <f t="shared" si="130"/>
        <v>0.999997449625322</v>
      </c>
      <c r="J140" s="3">
        <f t="shared" si="130"/>
        <v>1</v>
      </c>
      <c r="K140" s="3">
        <f t="shared" si="130"/>
        <v>0.999997449625322</v>
      </c>
      <c r="L140" s="3">
        <f t="shared" si="130"/>
        <v>0.999997449625322</v>
      </c>
      <c r="M140" s="3" t="e">
        <f t="shared" si="130"/>
        <v>#REF!</v>
      </c>
      <c r="N140" s="3">
        <f t="shared" si="130"/>
        <v>1</v>
      </c>
      <c r="O140" s="3">
        <f t="shared" si="130"/>
        <v>1</v>
      </c>
      <c r="P140" s="3">
        <f t="shared" si="130"/>
        <v>1</v>
      </c>
      <c r="Q140" s="3">
        <f t="shared" si="130"/>
        <v>1</v>
      </c>
      <c r="R140" s="3">
        <f t="shared" si="130"/>
        <v>1</v>
      </c>
      <c r="S140" s="3">
        <f t="shared" si="130"/>
        <v>1</v>
      </c>
      <c r="T140" s="3">
        <f t="shared" si="130"/>
        <v>1</v>
      </c>
      <c r="U140" s="3">
        <f t="shared" si="130"/>
        <v>1</v>
      </c>
      <c r="V140" s="3">
        <f t="shared" si="130"/>
        <v>1</v>
      </c>
      <c r="W140" s="3">
        <f t="shared" si="130"/>
        <v>1</v>
      </c>
    </row>
    <row r="141" customHeight="1" spans="1:23">
      <c r="A141" s="2">
        <v>128</v>
      </c>
      <c r="B141" s="3">
        <f t="shared" ref="B141:W141" si="131">MIN(1,IF($A141&lt;B$4+B$3,0,IF(B$2=0,1,IF(B$5=0,1/(1+(B$6*EXP(-($A141-B$4)/B$7))),IF(MOD($A141-B$4,B$5)=0,1/(1+(B$6*EXP(-($A141-B$4)/B$7))),1/(1+(B$6*EXP(-(QUOTIENT($A141-B$4,B$5)*B$5)/B$7))))))))</f>
        <v>0.999997749301571</v>
      </c>
      <c r="C141" s="3">
        <f t="shared" si="131"/>
        <v>0.999997749301571</v>
      </c>
      <c r="D141" s="3" t="e">
        <f t="shared" si="131"/>
        <v>#DIV/0!</v>
      </c>
      <c r="E141" s="3" t="e">
        <f t="shared" si="131"/>
        <v>#REF!</v>
      </c>
      <c r="F141" s="3">
        <f t="shared" si="131"/>
        <v>0.999999999885672</v>
      </c>
      <c r="G141" s="3">
        <f t="shared" si="131"/>
        <v>0.999999999885672</v>
      </c>
      <c r="H141" s="3">
        <f t="shared" si="131"/>
        <v>0.999997749301571</v>
      </c>
      <c r="I141" s="3">
        <f t="shared" si="131"/>
        <v>0.999997749301571</v>
      </c>
      <c r="J141" s="3">
        <f t="shared" si="131"/>
        <v>1</v>
      </c>
      <c r="K141" s="3">
        <f t="shared" si="131"/>
        <v>0.999997749301571</v>
      </c>
      <c r="L141" s="3">
        <f t="shared" si="131"/>
        <v>0.999997749301571</v>
      </c>
      <c r="M141" s="3" t="e">
        <f t="shared" si="131"/>
        <v>#REF!</v>
      </c>
      <c r="N141" s="3">
        <f t="shared" si="131"/>
        <v>1</v>
      </c>
      <c r="O141" s="3">
        <f t="shared" si="131"/>
        <v>1</v>
      </c>
      <c r="P141" s="3">
        <f t="shared" si="131"/>
        <v>1</v>
      </c>
      <c r="Q141" s="3">
        <f t="shared" si="131"/>
        <v>1</v>
      </c>
      <c r="R141" s="3">
        <f t="shared" si="131"/>
        <v>1</v>
      </c>
      <c r="S141" s="3">
        <f t="shared" si="131"/>
        <v>1</v>
      </c>
      <c r="T141" s="3">
        <f t="shared" si="131"/>
        <v>1</v>
      </c>
      <c r="U141" s="3">
        <f t="shared" si="131"/>
        <v>1</v>
      </c>
      <c r="V141" s="3">
        <f t="shared" si="131"/>
        <v>1</v>
      </c>
      <c r="W141" s="3">
        <f t="shared" si="131"/>
        <v>1</v>
      </c>
    </row>
    <row r="142" customHeight="1" spans="1:23">
      <c r="A142" s="2">
        <v>129</v>
      </c>
      <c r="B142" s="3">
        <f t="shared" ref="B142:W142" si="132">MIN(1,IF($A142&lt;B$4+B$3,0,IF(B$2=0,1,IF(B$5=0,1/(1+(B$6*EXP(-($A142-B$4)/B$7))),IF(MOD($A142-B$4,B$5)=0,1/(1+(B$6*EXP(-($A142-B$4)/B$7))),1/(1+(B$6*EXP(-(QUOTIENT($A142-B$4,B$5)*B$5)/B$7))))))))</f>
        <v>0.999998013765083</v>
      </c>
      <c r="C142" s="3">
        <f t="shared" si="132"/>
        <v>0.999998013765083</v>
      </c>
      <c r="D142" s="3" t="e">
        <f t="shared" si="132"/>
        <v>#DIV/0!</v>
      </c>
      <c r="E142" s="3" t="e">
        <f t="shared" si="132"/>
        <v>#REF!</v>
      </c>
      <c r="F142" s="3">
        <f t="shared" si="132"/>
        <v>0.999999999906396</v>
      </c>
      <c r="G142" s="3">
        <f t="shared" si="132"/>
        <v>0.999999999906396</v>
      </c>
      <c r="H142" s="3">
        <f t="shared" si="132"/>
        <v>0.999998013765083</v>
      </c>
      <c r="I142" s="3">
        <f t="shared" si="132"/>
        <v>0.999998013765083</v>
      </c>
      <c r="J142" s="3">
        <f t="shared" si="132"/>
        <v>1</v>
      </c>
      <c r="K142" s="3">
        <f t="shared" si="132"/>
        <v>0.999998013765083</v>
      </c>
      <c r="L142" s="3">
        <f t="shared" si="132"/>
        <v>0.999998013765083</v>
      </c>
      <c r="M142" s="3" t="e">
        <f t="shared" si="132"/>
        <v>#REF!</v>
      </c>
      <c r="N142" s="3">
        <f t="shared" si="132"/>
        <v>1</v>
      </c>
      <c r="O142" s="3">
        <f t="shared" si="132"/>
        <v>1</v>
      </c>
      <c r="P142" s="3">
        <f t="shared" si="132"/>
        <v>1</v>
      </c>
      <c r="Q142" s="3">
        <f t="shared" si="132"/>
        <v>1</v>
      </c>
      <c r="R142" s="3">
        <f t="shared" si="132"/>
        <v>1</v>
      </c>
      <c r="S142" s="3">
        <f t="shared" si="132"/>
        <v>1</v>
      </c>
      <c r="T142" s="3">
        <f t="shared" si="132"/>
        <v>1</v>
      </c>
      <c r="U142" s="3">
        <f t="shared" si="132"/>
        <v>1</v>
      </c>
      <c r="V142" s="3">
        <f t="shared" si="132"/>
        <v>1</v>
      </c>
      <c r="W142" s="3">
        <f t="shared" si="132"/>
        <v>1</v>
      </c>
    </row>
    <row r="143" customHeight="1" spans="1:23">
      <c r="A143" s="2">
        <v>130</v>
      </c>
      <c r="B143" s="3">
        <f t="shared" ref="B143:W143" si="133">MIN(1,IF($A143&lt;B$4+B$3,0,IF(B$2=0,1,IF(B$5=0,1/(1+(B$6*EXP(-($A143-B$4)/B$7))),IF(MOD($A143-B$4,B$5)=0,1/(1+(B$6*EXP(-($A143-B$4)/B$7))),1/(1+(B$6*EXP(-(QUOTIENT($A143-B$4,B$5)*B$5)/B$7))))))))</f>
        <v>0.999998247153429</v>
      </c>
      <c r="C143" s="3">
        <f t="shared" si="133"/>
        <v>0.999998247153429</v>
      </c>
      <c r="D143" s="3" t="e">
        <f t="shared" si="133"/>
        <v>#DIV/0!</v>
      </c>
      <c r="E143" s="3" t="e">
        <f t="shared" si="133"/>
        <v>#REF!</v>
      </c>
      <c r="F143" s="3">
        <f t="shared" si="133"/>
        <v>0.999999999923364</v>
      </c>
      <c r="G143" s="3">
        <f t="shared" si="133"/>
        <v>0.999999999923364</v>
      </c>
      <c r="H143" s="3">
        <f t="shared" si="133"/>
        <v>0.999998247153429</v>
      </c>
      <c r="I143" s="3">
        <f t="shared" si="133"/>
        <v>0.999998247153429</v>
      </c>
      <c r="J143" s="3">
        <f t="shared" si="133"/>
        <v>1</v>
      </c>
      <c r="K143" s="3">
        <f t="shared" si="133"/>
        <v>0.999998247153429</v>
      </c>
      <c r="L143" s="3">
        <f t="shared" si="133"/>
        <v>0.999998247153429</v>
      </c>
      <c r="M143" s="3" t="e">
        <f t="shared" si="133"/>
        <v>#REF!</v>
      </c>
      <c r="N143" s="3">
        <f t="shared" si="133"/>
        <v>1</v>
      </c>
      <c r="O143" s="3">
        <f t="shared" si="133"/>
        <v>1</v>
      </c>
      <c r="P143" s="3">
        <f t="shared" si="133"/>
        <v>1</v>
      </c>
      <c r="Q143" s="3">
        <f t="shared" si="133"/>
        <v>1</v>
      </c>
      <c r="R143" s="3">
        <f t="shared" si="133"/>
        <v>1</v>
      </c>
      <c r="S143" s="3">
        <f t="shared" si="133"/>
        <v>1</v>
      </c>
      <c r="T143" s="3">
        <f t="shared" si="133"/>
        <v>1</v>
      </c>
      <c r="U143" s="3">
        <f t="shared" si="133"/>
        <v>1</v>
      </c>
      <c r="V143" s="3">
        <f t="shared" si="133"/>
        <v>1</v>
      </c>
      <c r="W143" s="3">
        <f t="shared" si="133"/>
        <v>1</v>
      </c>
    </row>
    <row r="144" customHeight="1" spans="1:23">
      <c r="A144" s="2">
        <v>131</v>
      </c>
      <c r="B144" s="3">
        <f t="shared" ref="B144:W144" si="134">MIN(1,IF($A144&lt;B$4+B$3,0,IF(B$2=0,1,IF(B$5=0,1/(1+(B$6*EXP(-($A144-B$4)/B$7))),IF(MOD($A144-B$4,B$5)=0,1/(1+(B$6*EXP(-($A144-B$4)/B$7))),1/(1+(B$6*EXP(-(QUOTIENT($A144-B$4,B$5)*B$5)/B$7))))))))</f>
        <v>0.999998453118011</v>
      </c>
      <c r="C144" s="3">
        <f t="shared" si="134"/>
        <v>0.999998453118011</v>
      </c>
      <c r="D144" s="3" t="e">
        <f t="shared" si="134"/>
        <v>#DIV/0!</v>
      </c>
      <c r="E144" s="3" t="e">
        <f t="shared" si="134"/>
        <v>#REF!</v>
      </c>
      <c r="F144" s="3">
        <f t="shared" si="134"/>
        <v>0.999999999937256</v>
      </c>
      <c r="G144" s="3">
        <f t="shared" si="134"/>
        <v>0.999999999937256</v>
      </c>
      <c r="H144" s="3">
        <f t="shared" si="134"/>
        <v>0.999998453118011</v>
      </c>
      <c r="I144" s="3">
        <f t="shared" si="134"/>
        <v>0.999998453118011</v>
      </c>
      <c r="J144" s="3">
        <f t="shared" si="134"/>
        <v>1</v>
      </c>
      <c r="K144" s="3">
        <f t="shared" si="134"/>
        <v>0.999998453118011</v>
      </c>
      <c r="L144" s="3">
        <f t="shared" si="134"/>
        <v>0.999998453118011</v>
      </c>
      <c r="M144" s="3" t="e">
        <f t="shared" si="134"/>
        <v>#REF!</v>
      </c>
      <c r="N144" s="3">
        <f t="shared" si="134"/>
        <v>1</v>
      </c>
      <c r="O144" s="3">
        <f t="shared" si="134"/>
        <v>1</v>
      </c>
      <c r="P144" s="3">
        <f t="shared" si="134"/>
        <v>1</v>
      </c>
      <c r="Q144" s="3">
        <f t="shared" si="134"/>
        <v>1</v>
      </c>
      <c r="R144" s="3">
        <f t="shared" si="134"/>
        <v>1</v>
      </c>
      <c r="S144" s="3">
        <f t="shared" si="134"/>
        <v>1</v>
      </c>
      <c r="T144" s="3">
        <f t="shared" si="134"/>
        <v>1</v>
      </c>
      <c r="U144" s="3">
        <f t="shared" si="134"/>
        <v>1</v>
      </c>
      <c r="V144" s="3">
        <f t="shared" si="134"/>
        <v>1</v>
      </c>
      <c r="W144" s="3">
        <f t="shared" si="134"/>
        <v>1</v>
      </c>
    </row>
    <row r="145" customHeight="1" spans="1:23">
      <c r="A145" s="2">
        <v>132</v>
      </c>
      <c r="B145" s="3">
        <f t="shared" ref="B145:W145" si="135">MIN(1,IF($A145&lt;B$4+B$3,0,IF(B$2=0,1,IF(B$5=0,1/(1+(B$6*EXP(-($A145-B$4)/B$7))),IF(MOD($A145-B$4,B$5)=0,1/(1+(B$6*EXP(-($A145-B$4)/B$7))),1/(1+(B$6*EXP(-(QUOTIENT($A145-B$4,B$5)*B$5)/B$7))))))))</f>
        <v>0.999998634881188</v>
      </c>
      <c r="C145" s="3">
        <f t="shared" si="135"/>
        <v>0.999998634881188</v>
      </c>
      <c r="D145" s="3" t="e">
        <f t="shared" si="135"/>
        <v>#DIV/0!</v>
      </c>
      <c r="E145" s="3" t="e">
        <f t="shared" si="135"/>
        <v>#REF!</v>
      </c>
      <c r="F145" s="3">
        <f t="shared" si="135"/>
        <v>0.999999999948629</v>
      </c>
      <c r="G145" s="3">
        <f t="shared" si="135"/>
        <v>0.999999999948629</v>
      </c>
      <c r="H145" s="3">
        <f t="shared" si="135"/>
        <v>0.999998634881188</v>
      </c>
      <c r="I145" s="3">
        <f t="shared" si="135"/>
        <v>0.999998634881188</v>
      </c>
      <c r="J145" s="3">
        <f t="shared" si="135"/>
        <v>1</v>
      </c>
      <c r="K145" s="3">
        <f t="shared" si="135"/>
        <v>0.999998634881188</v>
      </c>
      <c r="L145" s="3">
        <f t="shared" si="135"/>
        <v>0.999998634881188</v>
      </c>
      <c r="M145" s="3" t="e">
        <f t="shared" si="135"/>
        <v>#REF!</v>
      </c>
      <c r="N145" s="3">
        <f t="shared" si="135"/>
        <v>1</v>
      </c>
      <c r="O145" s="3">
        <f t="shared" si="135"/>
        <v>1</v>
      </c>
      <c r="P145" s="3">
        <f t="shared" si="135"/>
        <v>1</v>
      </c>
      <c r="Q145" s="3">
        <f t="shared" si="135"/>
        <v>1</v>
      </c>
      <c r="R145" s="3">
        <f t="shared" si="135"/>
        <v>1</v>
      </c>
      <c r="S145" s="3">
        <f t="shared" si="135"/>
        <v>1</v>
      </c>
      <c r="T145" s="3">
        <f t="shared" si="135"/>
        <v>1</v>
      </c>
      <c r="U145" s="3">
        <f t="shared" si="135"/>
        <v>1</v>
      </c>
      <c r="V145" s="3">
        <f t="shared" si="135"/>
        <v>1</v>
      </c>
      <c r="W145" s="3">
        <f t="shared" si="135"/>
        <v>1</v>
      </c>
    </row>
    <row r="146" customHeight="1" spans="1:23">
      <c r="A146" s="2">
        <v>133</v>
      </c>
      <c r="B146" s="3">
        <f t="shared" ref="B146:W146" si="136">MIN(1,IF($A146&lt;B$4+B$3,0,IF(B$2=0,1,IF(B$5=0,1/(1+(B$6*EXP(-($A146-B$4)/B$7))),IF(MOD($A146-B$4,B$5)=0,1/(1+(B$6*EXP(-($A146-B$4)/B$7))),1/(1+(B$6*EXP(-(QUOTIENT($A146-B$4,B$5)*B$5)/B$7))))))))</f>
        <v>0.999998795286684</v>
      </c>
      <c r="C146" s="3">
        <f t="shared" si="136"/>
        <v>0.999998795286684</v>
      </c>
      <c r="D146" s="3" t="e">
        <f t="shared" si="136"/>
        <v>#DIV/0!</v>
      </c>
      <c r="E146" s="3" t="e">
        <f t="shared" si="136"/>
        <v>#REF!</v>
      </c>
      <c r="F146" s="3">
        <f t="shared" si="136"/>
        <v>0.999999999957941</v>
      </c>
      <c r="G146" s="3">
        <f t="shared" si="136"/>
        <v>0.999999999957941</v>
      </c>
      <c r="H146" s="3">
        <f t="shared" si="136"/>
        <v>0.999998795286684</v>
      </c>
      <c r="I146" s="3">
        <f t="shared" si="136"/>
        <v>0.999998795286684</v>
      </c>
      <c r="J146" s="3">
        <f t="shared" si="136"/>
        <v>1</v>
      </c>
      <c r="K146" s="3">
        <f t="shared" si="136"/>
        <v>0.999998795286684</v>
      </c>
      <c r="L146" s="3">
        <f t="shared" si="136"/>
        <v>0.999998795286684</v>
      </c>
      <c r="M146" s="3" t="e">
        <f t="shared" si="136"/>
        <v>#REF!</v>
      </c>
      <c r="N146" s="3">
        <f t="shared" si="136"/>
        <v>1</v>
      </c>
      <c r="O146" s="3">
        <f t="shared" si="136"/>
        <v>1</v>
      </c>
      <c r="P146" s="3">
        <f t="shared" si="136"/>
        <v>1</v>
      </c>
      <c r="Q146" s="3">
        <f t="shared" si="136"/>
        <v>1</v>
      </c>
      <c r="R146" s="3">
        <f t="shared" si="136"/>
        <v>1</v>
      </c>
      <c r="S146" s="3">
        <f t="shared" si="136"/>
        <v>1</v>
      </c>
      <c r="T146" s="3">
        <f t="shared" si="136"/>
        <v>1</v>
      </c>
      <c r="U146" s="3">
        <f t="shared" si="136"/>
        <v>1</v>
      </c>
      <c r="V146" s="3">
        <f t="shared" si="136"/>
        <v>1</v>
      </c>
      <c r="W146" s="3">
        <f t="shared" si="136"/>
        <v>1</v>
      </c>
    </row>
    <row r="147" customHeight="1" spans="1:23">
      <c r="A147" s="2">
        <v>134</v>
      </c>
      <c r="B147" s="3">
        <f t="shared" ref="B147:W147" si="137">MIN(1,IF($A147&lt;B$4+B$3,0,IF(B$2=0,1,IF(B$5=0,1/(1+(B$6*EXP(-($A147-B$4)/B$7))),IF(MOD($A147-B$4,B$5)=0,1/(1+(B$6*EXP(-($A147-B$4)/B$7))),1/(1+(B$6*EXP(-(QUOTIENT($A147-B$4,B$5)*B$5)/B$7))))))))</f>
        <v>0.999998936844079</v>
      </c>
      <c r="C147" s="3">
        <f t="shared" si="137"/>
        <v>0.999998936844079</v>
      </c>
      <c r="D147" s="3" t="e">
        <f t="shared" si="137"/>
        <v>#DIV/0!</v>
      </c>
      <c r="E147" s="3" t="e">
        <f t="shared" si="137"/>
        <v>#REF!</v>
      </c>
      <c r="F147" s="3">
        <f t="shared" si="137"/>
        <v>0.999999999965565</v>
      </c>
      <c r="G147" s="3">
        <f t="shared" si="137"/>
        <v>0.999999999965565</v>
      </c>
      <c r="H147" s="3">
        <f t="shared" si="137"/>
        <v>0.999998936844079</v>
      </c>
      <c r="I147" s="3">
        <f t="shared" si="137"/>
        <v>0.999998936844079</v>
      </c>
      <c r="J147" s="3">
        <f t="shared" si="137"/>
        <v>1</v>
      </c>
      <c r="K147" s="3">
        <f t="shared" si="137"/>
        <v>0.999998936844079</v>
      </c>
      <c r="L147" s="3">
        <f t="shared" si="137"/>
        <v>0.999998936844079</v>
      </c>
      <c r="M147" s="3" t="e">
        <f t="shared" si="137"/>
        <v>#REF!</v>
      </c>
      <c r="N147" s="3">
        <f t="shared" si="137"/>
        <v>1</v>
      </c>
      <c r="O147" s="3">
        <f t="shared" si="137"/>
        <v>1</v>
      </c>
      <c r="P147" s="3">
        <f t="shared" si="137"/>
        <v>1</v>
      </c>
      <c r="Q147" s="3">
        <f t="shared" si="137"/>
        <v>1</v>
      </c>
      <c r="R147" s="3">
        <f t="shared" si="137"/>
        <v>1</v>
      </c>
      <c r="S147" s="3">
        <f t="shared" si="137"/>
        <v>1</v>
      </c>
      <c r="T147" s="3">
        <f t="shared" si="137"/>
        <v>1</v>
      </c>
      <c r="U147" s="3">
        <f t="shared" si="137"/>
        <v>1</v>
      </c>
      <c r="V147" s="3">
        <f t="shared" si="137"/>
        <v>1</v>
      </c>
      <c r="W147" s="3">
        <f t="shared" si="137"/>
        <v>1</v>
      </c>
    </row>
    <row r="148" customHeight="1" spans="1:23">
      <c r="A148" s="2">
        <v>135</v>
      </c>
      <c r="B148" s="3">
        <f t="shared" ref="B148:W148" si="138">MIN(1,IF($A148&lt;B$4+B$3,0,IF(B$2=0,1,IF(B$5=0,1/(1+(B$6*EXP(-($A148-B$4)/B$7))),IF(MOD($A148-B$4,B$5)=0,1/(1+(B$6*EXP(-($A148-B$4)/B$7))),1/(1+(B$6*EXP(-(QUOTIENT($A148-B$4,B$5)*B$5)/B$7))))))))</f>
        <v>0.999999061768076</v>
      </c>
      <c r="C148" s="3">
        <f t="shared" si="138"/>
        <v>0.999999061768076</v>
      </c>
      <c r="D148" s="3" t="e">
        <f t="shared" si="138"/>
        <v>#DIV/0!</v>
      </c>
      <c r="E148" s="3" t="e">
        <f t="shared" si="138"/>
        <v>#REF!</v>
      </c>
      <c r="F148" s="3">
        <f t="shared" si="138"/>
        <v>0.999999999971807</v>
      </c>
      <c r="G148" s="3">
        <f t="shared" si="138"/>
        <v>0.999999999971807</v>
      </c>
      <c r="H148" s="3">
        <f t="shared" si="138"/>
        <v>0.999999061768076</v>
      </c>
      <c r="I148" s="3">
        <f t="shared" si="138"/>
        <v>0.999999061768076</v>
      </c>
      <c r="J148" s="3">
        <f t="shared" si="138"/>
        <v>1</v>
      </c>
      <c r="K148" s="3">
        <f t="shared" si="138"/>
        <v>0.999999061768076</v>
      </c>
      <c r="L148" s="3">
        <f t="shared" si="138"/>
        <v>0.999999061768076</v>
      </c>
      <c r="M148" s="3" t="e">
        <f t="shared" si="138"/>
        <v>#REF!</v>
      </c>
      <c r="N148" s="3">
        <f t="shared" si="138"/>
        <v>1</v>
      </c>
      <c r="O148" s="3">
        <f t="shared" si="138"/>
        <v>1</v>
      </c>
      <c r="P148" s="3">
        <f t="shared" si="138"/>
        <v>1</v>
      </c>
      <c r="Q148" s="3">
        <f t="shared" si="138"/>
        <v>1</v>
      </c>
      <c r="R148" s="3">
        <f t="shared" si="138"/>
        <v>1</v>
      </c>
      <c r="S148" s="3">
        <f t="shared" si="138"/>
        <v>1</v>
      </c>
      <c r="T148" s="3">
        <f t="shared" si="138"/>
        <v>1</v>
      </c>
      <c r="U148" s="3">
        <f t="shared" si="138"/>
        <v>1</v>
      </c>
      <c r="V148" s="3">
        <f t="shared" si="138"/>
        <v>1</v>
      </c>
      <c r="W148" s="3">
        <f t="shared" si="138"/>
        <v>1</v>
      </c>
    </row>
    <row r="149" customHeight="1" spans="1:23">
      <c r="A149" s="2">
        <v>136</v>
      </c>
      <c r="B149" s="3">
        <f t="shared" ref="B149:W149" si="139">MIN(1,IF($A149&lt;B$4+B$3,0,IF(B$2=0,1,IF(B$5=0,1/(1+(B$6*EXP(-($A149-B$4)/B$7))),IF(MOD($A149-B$4,B$5)=0,1/(1+(B$6*EXP(-($A149-B$4)/B$7))),1/(1+(B$6*EXP(-(QUOTIENT($A149-B$4,B$5)*B$5)/B$7))))))))</f>
        <v>0.999999172013142</v>
      </c>
      <c r="C149" s="3">
        <f t="shared" si="139"/>
        <v>0.999999172013142</v>
      </c>
      <c r="D149" s="3" t="e">
        <f t="shared" si="139"/>
        <v>#DIV/0!</v>
      </c>
      <c r="E149" s="3" t="e">
        <f t="shared" si="139"/>
        <v>#REF!</v>
      </c>
      <c r="F149" s="3">
        <f t="shared" si="139"/>
        <v>0.999999999976918</v>
      </c>
      <c r="G149" s="3">
        <f t="shared" si="139"/>
        <v>0.999999999976918</v>
      </c>
      <c r="H149" s="3">
        <f t="shared" si="139"/>
        <v>0.999999172013142</v>
      </c>
      <c r="I149" s="3">
        <f t="shared" si="139"/>
        <v>0.999999172013142</v>
      </c>
      <c r="J149" s="3">
        <f t="shared" si="139"/>
        <v>1</v>
      </c>
      <c r="K149" s="3">
        <f t="shared" si="139"/>
        <v>0.999999172013142</v>
      </c>
      <c r="L149" s="3">
        <f t="shared" si="139"/>
        <v>0.999999172013142</v>
      </c>
      <c r="M149" s="3" t="e">
        <f t="shared" si="139"/>
        <v>#REF!</v>
      </c>
      <c r="N149" s="3">
        <f t="shared" si="139"/>
        <v>1</v>
      </c>
      <c r="O149" s="3">
        <f t="shared" si="139"/>
        <v>1</v>
      </c>
      <c r="P149" s="3">
        <f t="shared" si="139"/>
        <v>1</v>
      </c>
      <c r="Q149" s="3">
        <f t="shared" si="139"/>
        <v>1</v>
      </c>
      <c r="R149" s="3">
        <f t="shared" si="139"/>
        <v>1</v>
      </c>
      <c r="S149" s="3">
        <f t="shared" si="139"/>
        <v>1</v>
      </c>
      <c r="T149" s="3">
        <f t="shared" si="139"/>
        <v>1</v>
      </c>
      <c r="U149" s="3">
        <f t="shared" si="139"/>
        <v>1</v>
      </c>
      <c r="V149" s="3">
        <f t="shared" si="139"/>
        <v>1</v>
      </c>
      <c r="W149" s="3">
        <f t="shared" si="139"/>
        <v>1</v>
      </c>
    </row>
    <row r="150" customHeight="1" spans="1:23">
      <c r="A150" s="2">
        <v>137</v>
      </c>
      <c r="B150" s="3">
        <f t="shared" ref="B150:W150" si="140">MIN(1,IF($A150&lt;B$4+B$3,0,IF(B$2=0,1,IF(B$5=0,1/(1+(B$6*EXP(-($A150-B$4)/B$7))),IF(MOD($A150-B$4,B$5)=0,1/(1+(B$6*EXP(-($A150-B$4)/B$7))),1/(1+(B$6*EXP(-(QUOTIENT($A150-B$4,B$5)*B$5)/B$7))))))))</f>
        <v>0.999999269304091</v>
      </c>
      <c r="C150" s="3">
        <f t="shared" si="140"/>
        <v>0.999999269304091</v>
      </c>
      <c r="D150" s="3" t="e">
        <f t="shared" si="140"/>
        <v>#DIV/0!</v>
      </c>
      <c r="E150" s="3" t="e">
        <f t="shared" si="140"/>
        <v>#REF!</v>
      </c>
      <c r="F150" s="3">
        <f t="shared" si="140"/>
        <v>0.999999999981102</v>
      </c>
      <c r="G150" s="3">
        <f t="shared" si="140"/>
        <v>0.999999999981102</v>
      </c>
      <c r="H150" s="3">
        <f t="shared" si="140"/>
        <v>0.999999269304091</v>
      </c>
      <c r="I150" s="3">
        <f t="shared" si="140"/>
        <v>0.999999269304091</v>
      </c>
      <c r="J150" s="3">
        <f t="shared" si="140"/>
        <v>1</v>
      </c>
      <c r="K150" s="3">
        <f t="shared" si="140"/>
        <v>0.999999269304091</v>
      </c>
      <c r="L150" s="3">
        <f t="shared" si="140"/>
        <v>0.999999269304091</v>
      </c>
      <c r="M150" s="3" t="e">
        <f t="shared" si="140"/>
        <v>#REF!</v>
      </c>
      <c r="N150" s="3">
        <f t="shared" si="140"/>
        <v>1</v>
      </c>
      <c r="O150" s="3">
        <f t="shared" si="140"/>
        <v>1</v>
      </c>
      <c r="P150" s="3">
        <f t="shared" si="140"/>
        <v>1</v>
      </c>
      <c r="Q150" s="3">
        <f t="shared" si="140"/>
        <v>1</v>
      </c>
      <c r="R150" s="3">
        <f t="shared" si="140"/>
        <v>1</v>
      </c>
      <c r="S150" s="3">
        <f t="shared" si="140"/>
        <v>1</v>
      </c>
      <c r="T150" s="3">
        <f t="shared" si="140"/>
        <v>1</v>
      </c>
      <c r="U150" s="3">
        <f t="shared" si="140"/>
        <v>1</v>
      </c>
      <c r="V150" s="3">
        <f t="shared" si="140"/>
        <v>1</v>
      </c>
      <c r="W150" s="3">
        <f t="shared" si="140"/>
        <v>1</v>
      </c>
    </row>
    <row r="151" customHeight="1" spans="1:23">
      <c r="A151" s="2">
        <v>138</v>
      </c>
      <c r="B151" s="3">
        <f t="shared" ref="B151:W151" si="141">MIN(1,IF($A151&lt;B$4+B$3,0,IF(B$2=0,1,IF(B$5=0,1/(1+(B$6*EXP(-($A151-B$4)/B$7))),IF(MOD($A151-B$4,B$5)=0,1/(1+(B$6*EXP(-($A151-B$4)/B$7))),1/(1+(B$6*EXP(-(QUOTIENT($A151-B$4,B$5)*B$5)/B$7))))))))</f>
        <v>0.999999355163068</v>
      </c>
      <c r="C151" s="3">
        <f t="shared" si="141"/>
        <v>0.999999355163068</v>
      </c>
      <c r="D151" s="3" t="e">
        <f t="shared" si="141"/>
        <v>#DIV/0!</v>
      </c>
      <c r="E151" s="3" t="e">
        <f t="shared" si="141"/>
        <v>#REF!</v>
      </c>
      <c r="F151" s="3">
        <f t="shared" si="141"/>
        <v>0.999999999984527</v>
      </c>
      <c r="G151" s="3">
        <f t="shared" si="141"/>
        <v>0.999999999984527</v>
      </c>
      <c r="H151" s="3">
        <f t="shared" si="141"/>
        <v>0.999999355163068</v>
      </c>
      <c r="I151" s="3">
        <f t="shared" si="141"/>
        <v>0.999999355163068</v>
      </c>
      <c r="J151" s="3">
        <f t="shared" si="141"/>
        <v>1</v>
      </c>
      <c r="K151" s="3">
        <f t="shared" si="141"/>
        <v>0.999999355163068</v>
      </c>
      <c r="L151" s="3">
        <f t="shared" si="141"/>
        <v>0.999999355163068</v>
      </c>
      <c r="M151" s="3" t="e">
        <f t="shared" si="141"/>
        <v>#REF!</v>
      </c>
      <c r="N151" s="3">
        <f t="shared" si="141"/>
        <v>1</v>
      </c>
      <c r="O151" s="3">
        <f t="shared" si="141"/>
        <v>1</v>
      </c>
      <c r="P151" s="3">
        <f t="shared" si="141"/>
        <v>1</v>
      </c>
      <c r="Q151" s="3">
        <f t="shared" si="141"/>
        <v>1</v>
      </c>
      <c r="R151" s="3">
        <f t="shared" si="141"/>
        <v>1</v>
      </c>
      <c r="S151" s="3">
        <f t="shared" si="141"/>
        <v>1</v>
      </c>
      <c r="T151" s="3">
        <f t="shared" si="141"/>
        <v>1</v>
      </c>
      <c r="U151" s="3">
        <f t="shared" si="141"/>
        <v>1</v>
      </c>
      <c r="V151" s="3">
        <f t="shared" si="141"/>
        <v>1</v>
      </c>
      <c r="W151" s="3">
        <f t="shared" si="141"/>
        <v>1</v>
      </c>
    </row>
    <row r="152" customHeight="1" spans="1:23">
      <c r="A152" s="2">
        <v>139</v>
      </c>
      <c r="B152" s="3">
        <f t="shared" ref="B152:W152" si="142">MIN(1,IF($A152&lt;B$4+B$3,0,IF(B$2=0,1,IF(B$5=0,1/(1+(B$6*EXP(-($A152-B$4)/B$7))),IF(MOD($A152-B$4,B$5)=0,1/(1+(B$6*EXP(-($A152-B$4)/B$7))),1/(1+(B$6*EXP(-(QUOTIENT($A152-B$4,B$5)*B$5)/B$7))))))))</f>
        <v>0.999999430933362</v>
      </c>
      <c r="C152" s="3">
        <f t="shared" si="142"/>
        <v>0.999999430933362</v>
      </c>
      <c r="D152" s="3" t="e">
        <f t="shared" si="142"/>
        <v>#DIV/0!</v>
      </c>
      <c r="E152" s="3" t="e">
        <f t="shared" si="142"/>
        <v>#REF!</v>
      </c>
      <c r="F152" s="3">
        <f t="shared" si="142"/>
        <v>0.999999999987332</v>
      </c>
      <c r="G152" s="3">
        <f t="shared" si="142"/>
        <v>0.999999999987332</v>
      </c>
      <c r="H152" s="3">
        <f t="shared" si="142"/>
        <v>0.999999430933362</v>
      </c>
      <c r="I152" s="3">
        <f t="shared" si="142"/>
        <v>0.999999430933362</v>
      </c>
      <c r="J152" s="3">
        <f t="shared" si="142"/>
        <v>1</v>
      </c>
      <c r="K152" s="3">
        <f t="shared" si="142"/>
        <v>0.999999430933362</v>
      </c>
      <c r="L152" s="3">
        <f t="shared" si="142"/>
        <v>0.999999430933362</v>
      </c>
      <c r="M152" s="3" t="e">
        <f t="shared" si="142"/>
        <v>#REF!</v>
      </c>
      <c r="N152" s="3">
        <f t="shared" si="142"/>
        <v>1</v>
      </c>
      <c r="O152" s="3">
        <f t="shared" si="142"/>
        <v>1</v>
      </c>
      <c r="P152" s="3">
        <f t="shared" si="142"/>
        <v>1</v>
      </c>
      <c r="Q152" s="3">
        <f t="shared" si="142"/>
        <v>1</v>
      </c>
      <c r="R152" s="3">
        <f t="shared" si="142"/>
        <v>1</v>
      </c>
      <c r="S152" s="3">
        <f t="shared" si="142"/>
        <v>1</v>
      </c>
      <c r="T152" s="3">
        <f t="shared" si="142"/>
        <v>1</v>
      </c>
      <c r="U152" s="3">
        <f t="shared" si="142"/>
        <v>1</v>
      </c>
      <c r="V152" s="3">
        <f t="shared" si="142"/>
        <v>1</v>
      </c>
      <c r="W152" s="3">
        <f t="shared" si="142"/>
        <v>1</v>
      </c>
    </row>
    <row r="153" customHeight="1" spans="1:23">
      <c r="A153" s="2">
        <v>140</v>
      </c>
      <c r="B153" s="3">
        <f t="shared" ref="B153:W153" si="143">MIN(1,IF($A153&lt;B$4+B$3,0,IF(B$2=0,1,IF(B$5=0,1/(1+(B$6*EXP(-($A153-B$4)/B$7))),IF(MOD($A153-B$4,B$5)=0,1/(1+(B$6*EXP(-($A153-B$4)/B$7))),1/(1+(B$6*EXP(-(QUOTIENT($A153-B$4,B$5)*B$5)/B$7))))))))</f>
        <v>0.999999497800421</v>
      </c>
      <c r="C153" s="3">
        <f t="shared" si="143"/>
        <v>0.999999497800421</v>
      </c>
      <c r="D153" s="3" t="e">
        <f t="shared" si="143"/>
        <v>#DIV/0!</v>
      </c>
      <c r="E153" s="3" t="e">
        <f t="shared" si="143"/>
        <v>#REF!</v>
      </c>
      <c r="F153" s="3">
        <f t="shared" si="143"/>
        <v>0.999999999989628</v>
      </c>
      <c r="G153" s="3">
        <f t="shared" si="143"/>
        <v>0.999999999989628</v>
      </c>
      <c r="H153" s="3">
        <f t="shared" si="143"/>
        <v>0.999999497800421</v>
      </c>
      <c r="I153" s="3">
        <f t="shared" si="143"/>
        <v>0.999999497800421</v>
      </c>
      <c r="J153" s="3">
        <f t="shared" si="143"/>
        <v>1</v>
      </c>
      <c r="K153" s="3">
        <f t="shared" si="143"/>
        <v>0.999999497800421</v>
      </c>
      <c r="L153" s="3">
        <f t="shared" si="143"/>
        <v>0.999999497800421</v>
      </c>
      <c r="M153" s="3" t="e">
        <f t="shared" si="143"/>
        <v>#REF!</v>
      </c>
      <c r="N153" s="3">
        <f t="shared" si="143"/>
        <v>1</v>
      </c>
      <c r="O153" s="3">
        <f t="shared" si="143"/>
        <v>1</v>
      </c>
      <c r="P153" s="3">
        <f t="shared" si="143"/>
        <v>1</v>
      </c>
      <c r="Q153" s="3">
        <f t="shared" si="143"/>
        <v>1</v>
      </c>
      <c r="R153" s="3">
        <f t="shared" si="143"/>
        <v>1</v>
      </c>
      <c r="S153" s="3">
        <f t="shared" si="143"/>
        <v>1</v>
      </c>
      <c r="T153" s="3">
        <f t="shared" si="143"/>
        <v>1</v>
      </c>
      <c r="U153" s="3">
        <f t="shared" si="143"/>
        <v>1</v>
      </c>
      <c r="V153" s="3">
        <f t="shared" si="143"/>
        <v>1</v>
      </c>
      <c r="W153" s="3">
        <f t="shared" si="143"/>
        <v>1</v>
      </c>
    </row>
    <row r="154" customHeight="1" spans="1:23">
      <c r="A154" s="2">
        <v>141</v>
      </c>
      <c r="B154" s="3">
        <f t="shared" ref="B154:W154" si="144">MIN(1,IF($A154&lt;B$4+B$3,0,IF(B$2=0,1,IF(B$5=0,1/(1+(B$6*EXP(-($A154-B$4)/B$7))),IF(MOD($A154-B$4,B$5)=0,1/(1+(B$6*EXP(-($A154-B$4)/B$7))),1/(1+(B$6*EXP(-(QUOTIENT($A154-B$4,B$5)*B$5)/B$7))))))))</f>
        <v>0.999999556810401</v>
      </c>
      <c r="C154" s="3">
        <f t="shared" si="144"/>
        <v>0.999999556810401</v>
      </c>
      <c r="D154" s="3" t="e">
        <f t="shared" si="144"/>
        <v>#DIV/0!</v>
      </c>
      <c r="E154" s="3" t="e">
        <f t="shared" si="144"/>
        <v>#REF!</v>
      </c>
      <c r="F154" s="3">
        <f t="shared" si="144"/>
        <v>0.999999999991508</v>
      </c>
      <c r="G154" s="3">
        <f t="shared" si="144"/>
        <v>0.999999999991508</v>
      </c>
      <c r="H154" s="3">
        <f t="shared" si="144"/>
        <v>0.999999556810401</v>
      </c>
      <c r="I154" s="3">
        <f t="shared" si="144"/>
        <v>0.999999556810401</v>
      </c>
      <c r="J154" s="3">
        <f t="shared" si="144"/>
        <v>1</v>
      </c>
      <c r="K154" s="3">
        <f t="shared" si="144"/>
        <v>0.999999556810401</v>
      </c>
      <c r="L154" s="3">
        <f t="shared" si="144"/>
        <v>0.999999556810401</v>
      </c>
      <c r="M154" s="3" t="e">
        <f t="shared" si="144"/>
        <v>#REF!</v>
      </c>
      <c r="N154" s="3">
        <f t="shared" si="144"/>
        <v>1</v>
      </c>
      <c r="O154" s="3">
        <f t="shared" si="144"/>
        <v>1</v>
      </c>
      <c r="P154" s="3">
        <f t="shared" si="144"/>
        <v>1</v>
      </c>
      <c r="Q154" s="3">
        <f t="shared" si="144"/>
        <v>1</v>
      </c>
      <c r="R154" s="3">
        <f t="shared" si="144"/>
        <v>1</v>
      </c>
      <c r="S154" s="3">
        <f t="shared" si="144"/>
        <v>1</v>
      </c>
      <c r="T154" s="3">
        <f t="shared" si="144"/>
        <v>1</v>
      </c>
      <c r="U154" s="3">
        <f t="shared" si="144"/>
        <v>1</v>
      </c>
      <c r="V154" s="3">
        <f t="shared" si="144"/>
        <v>1</v>
      </c>
      <c r="W154" s="3">
        <f t="shared" si="144"/>
        <v>1</v>
      </c>
    </row>
    <row r="155" customHeight="1" spans="1:23">
      <c r="A155" s="2">
        <v>142</v>
      </c>
      <c r="B155" s="3">
        <f t="shared" ref="B155:W155" si="145">MIN(1,IF($A155&lt;B$4+B$3,0,IF(B$2=0,1,IF(B$5=0,1/(1+(B$6*EXP(-($A155-B$4)/B$7))),IF(MOD($A155-B$4,B$5)=0,1/(1+(B$6*EXP(-($A155-B$4)/B$7))),1/(1+(B$6*EXP(-(QUOTIENT($A155-B$4,B$5)*B$5)/B$7))))))))</f>
        <v>0.999999608886531</v>
      </c>
      <c r="C155" s="3">
        <f t="shared" si="145"/>
        <v>0.999999608886531</v>
      </c>
      <c r="D155" s="3" t="e">
        <f t="shared" si="145"/>
        <v>#DIV/0!</v>
      </c>
      <c r="E155" s="3" t="e">
        <f t="shared" si="145"/>
        <v>#REF!</v>
      </c>
      <c r="F155" s="3">
        <f t="shared" si="145"/>
        <v>0.999999999993048</v>
      </c>
      <c r="G155" s="3">
        <f t="shared" si="145"/>
        <v>0.999999999993048</v>
      </c>
      <c r="H155" s="3">
        <f t="shared" si="145"/>
        <v>0.999999608886531</v>
      </c>
      <c r="I155" s="3">
        <f t="shared" si="145"/>
        <v>0.999999608886531</v>
      </c>
      <c r="J155" s="3">
        <f t="shared" si="145"/>
        <v>1</v>
      </c>
      <c r="K155" s="3">
        <f t="shared" si="145"/>
        <v>0.999999608886531</v>
      </c>
      <c r="L155" s="3">
        <f t="shared" si="145"/>
        <v>0.999999608886531</v>
      </c>
      <c r="M155" s="3" t="e">
        <f t="shared" si="145"/>
        <v>#REF!</v>
      </c>
      <c r="N155" s="3">
        <f t="shared" si="145"/>
        <v>1</v>
      </c>
      <c r="O155" s="3">
        <f t="shared" si="145"/>
        <v>1</v>
      </c>
      <c r="P155" s="3">
        <f t="shared" si="145"/>
        <v>1</v>
      </c>
      <c r="Q155" s="3">
        <f t="shared" si="145"/>
        <v>1</v>
      </c>
      <c r="R155" s="3">
        <f t="shared" si="145"/>
        <v>1</v>
      </c>
      <c r="S155" s="3">
        <f t="shared" si="145"/>
        <v>1</v>
      </c>
      <c r="T155" s="3">
        <f t="shared" si="145"/>
        <v>1</v>
      </c>
      <c r="U155" s="3">
        <f t="shared" si="145"/>
        <v>1</v>
      </c>
      <c r="V155" s="3">
        <f t="shared" si="145"/>
        <v>1</v>
      </c>
      <c r="W155" s="3">
        <f t="shared" si="145"/>
        <v>1</v>
      </c>
    </row>
    <row r="156" customHeight="1" spans="1:23">
      <c r="A156" s="2">
        <v>143</v>
      </c>
      <c r="B156" s="3">
        <f t="shared" ref="B156:W156" si="146">MIN(1,IF($A156&lt;B$4+B$3,0,IF(B$2=0,1,IF(B$5=0,1/(1+(B$6*EXP(-($A156-B$4)/B$7))),IF(MOD($A156-B$4,B$5)=0,1/(1+(B$6*EXP(-($A156-B$4)/B$7))),1/(1+(B$6*EXP(-(QUOTIENT($A156-B$4,B$5)*B$5)/B$7))))))))</f>
        <v>0.999999654843559</v>
      </c>
      <c r="C156" s="3">
        <f t="shared" si="146"/>
        <v>0.999999654843559</v>
      </c>
      <c r="D156" s="3" t="e">
        <f t="shared" si="146"/>
        <v>#DIV/0!</v>
      </c>
      <c r="E156" s="3" t="e">
        <f t="shared" si="146"/>
        <v>#REF!</v>
      </c>
      <c r="F156" s="3">
        <f t="shared" si="146"/>
        <v>0.999999999994308</v>
      </c>
      <c r="G156" s="3">
        <f t="shared" si="146"/>
        <v>0.999999999994308</v>
      </c>
      <c r="H156" s="3">
        <f t="shared" si="146"/>
        <v>0.999999654843559</v>
      </c>
      <c r="I156" s="3">
        <f t="shared" si="146"/>
        <v>0.999999654843559</v>
      </c>
      <c r="J156" s="3">
        <f t="shared" si="146"/>
        <v>1</v>
      </c>
      <c r="K156" s="3">
        <f t="shared" si="146"/>
        <v>0.999999654843559</v>
      </c>
      <c r="L156" s="3">
        <f t="shared" si="146"/>
        <v>0.999999654843559</v>
      </c>
      <c r="M156" s="3" t="e">
        <f t="shared" si="146"/>
        <v>#REF!</v>
      </c>
      <c r="N156" s="3">
        <f t="shared" si="146"/>
        <v>1</v>
      </c>
      <c r="O156" s="3">
        <f t="shared" si="146"/>
        <v>1</v>
      </c>
      <c r="P156" s="3">
        <f t="shared" si="146"/>
        <v>1</v>
      </c>
      <c r="Q156" s="3">
        <f t="shared" si="146"/>
        <v>1</v>
      </c>
      <c r="R156" s="3">
        <f t="shared" si="146"/>
        <v>1</v>
      </c>
      <c r="S156" s="3">
        <f t="shared" si="146"/>
        <v>1</v>
      </c>
      <c r="T156" s="3">
        <f t="shared" si="146"/>
        <v>1</v>
      </c>
      <c r="U156" s="3">
        <f t="shared" si="146"/>
        <v>1</v>
      </c>
      <c r="V156" s="3">
        <f t="shared" si="146"/>
        <v>1</v>
      </c>
      <c r="W156" s="3">
        <f t="shared" si="146"/>
        <v>1</v>
      </c>
    </row>
    <row r="157" customHeight="1" spans="1:23">
      <c r="A157" s="2">
        <v>144</v>
      </c>
      <c r="B157" s="3">
        <f t="shared" ref="B157:W157" si="147">MIN(1,IF($A157&lt;B$4+B$3,0,IF(B$2=0,1,IF(B$5=0,1/(1+(B$6*EXP(-($A157-B$4)/B$7))),IF(MOD($A157-B$4,B$5)=0,1/(1+(B$6*EXP(-($A157-B$4)/B$7))),1/(1+(B$6*EXP(-(QUOTIENT($A157-B$4,B$5)*B$5)/B$7))))))))</f>
        <v>0.999999695400498</v>
      </c>
      <c r="C157" s="3">
        <f t="shared" si="147"/>
        <v>0.999999695400498</v>
      </c>
      <c r="D157" s="3" t="e">
        <f t="shared" si="147"/>
        <v>#DIV/0!</v>
      </c>
      <c r="E157" s="3" t="e">
        <f t="shared" si="147"/>
        <v>#REF!</v>
      </c>
      <c r="F157" s="3">
        <f t="shared" si="147"/>
        <v>0.99999999999534</v>
      </c>
      <c r="G157" s="3">
        <f t="shared" si="147"/>
        <v>0.99999999999534</v>
      </c>
      <c r="H157" s="3">
        <f t="shared" si="147"/>
        <v>0.999999695400498</v>
      </c>
      <c r="I157" s="3">
        <f t="shared" si="147"/>
        <v>0.999999695400498</v>
      </c>
      <c r="J157" s="3">
        <f t="shared" si="147"/>
        <v>1</v>
      </c>
      <c r="K157" s="3">
        <f t="shared" si="147"/>
        <v>0.999999695400498</v>
      </c>
      <c r="L157" s="3">
        <f t="shared" si="147"/>
        <v>0.999999695400498</v>
      </c>
      <c r="M157" s="3" t="e">
        <f t="shared" si="147"/>
        <v>#REF!</v>
      </c>
      <c r="N157" s="3">
        <f t="shared" si="147"/>
        <v>1</v>
      </c>
      <c r="O157" s="3">
        <f t="shared" si="147"/>
        <v>1</v>
      </c>
      <c r="P157" s="3">
        <f t="shared" si="147"/>
        <v>1</v>
      </c>
      <c r="Q157" s="3">
        <f t="shared" si="147"/>
        <v>1</v>
      </c>
      <c r="R157" s="3">
        <f t="shared" si="147"/>
        <v>1</v>
      </c>
      <c r="S157" s="3">
        <f t="shared" si="147"/>
        <v>1</v>
      </c>
      <c r="T157" s="3">
        <f t="shared" si="147"/>
        <v>1</v>
      </c>
      <c r="U157" s="3">
        <f t="shared" si="147"/>
        <v>1</v>
      </c>
      <c r="V157" s="3">
        <f t="shared" si="147"/>
        <v>1</v>
      </c>
      <c r="W157" s="3">
        <f t="shared" si="147"/>
        <v>1</v>
      </c>
    </row>
    <row r="158" customHeight="1" spans="1:23">
      <c r="A158" s="2">
        <v>145</v>
      </c>
      <c r="B158" s="3">
        <f t="shared" ref="B158:W158" si="148">MIN(1,IF($A158&lt;B$4+B$3,0,IF(B$2=0,1,IF(B$5=0,1/(1+(B$6*EXP(-($A158-B$4)/B$7))),IF(MOD($A158-B$4,B$5)=0,1/(1+(B$6*EXP(-($A158-B$4)/B$7))),1/(1+(B$6*EXP(-(QUOTIENT($A158-B$4,B$5)*B$5)/B$7))))))))</f>
        <v>0.999999731191873</v>
      </c>
      <c r="C158" s="3">
        <f t="shared" si="148"/>
        <v>0.999999731191873</v>
      </c>
      <c r="D158" s="3" t="e">
        <f t="shared" si="148"/>
        <v>#DIV/0!</v>
      </c>
      <c r="E158" s="3" t="e">
        <f t="shared" si="148"/>
        <v>#REF!</v>
      </c>
      <c r="F158" s="3">
        <f t="shared" si="148"/>
        <v>0.999999999996185</v>
      </c>
      <c r="G158" s="3">
        <f t="shared" si="148"/>
        <v>0.999999999996185</v>
      </c>
      <c r="H158" s="3">
        <f t="shared" si="148"/>
        <v>0.999999731191873</v>
      </c>
      <c r="I158" s="3">
        <f t="shared" si="148"/>
        <v>0.999999731191873</v>
      </c>
      <c r="J158" s="3">
        <f t="shared" si="148"/>
        <v>1</v>
      </c>
      <c r="K158" s="3">
        <f t="shared" si="148"/>
        <v>0.999999731191873</v>
      </c>
      <c r="L158" s="3">
        <f t="shared" si="148"/>
        <v>0.999999731191873</v>
      </c>
      <c r="M158" s="3" t="e">
        <f t="shared" si="148"/>
        <v>#REF!</v>
      </c>
      <c r="N158" s="3">
        <f t="shared" si="148"/>
        <v>1</v>
      </c>
      <c r="O158" s="3">
        <f t="shared" si="148"/>
        <v>1</v>
      </c>
      <c r="P158" s="3">
        <f t="shared" si="148"/>
        <v>1</v>
      </c>
      <c r="Q158" s="3">
        <f t="shared" si="148"/>
        <v>1</v>
      </c>
      <c r="R158" s="3">
        <f t="shared" si="148"/>
        <v>1</v>
      </c>
      <c r="S158" s="3">
        <f t="shared" si="148"/>
        <v>1</v>
      </c>
      <c r="T158" s="3">
        <f t="shared" si="148"/>
        <v>1</v>
      </c>
      <c r="U158" s="3">
        <f t="shared" si="148"/>
        <v>1</v>
      </c>
      <c r="V158" s="3">
        <f t="shared" si="148"/>
        <v>1</v>
      </c>
      <c r="W158" s="3">
        <f t="shared" si="148"/>
        <v>1</v>
      </c>
    </row>
    <row r="159" customHeight="1" spans="1:23">
      <c r="A159" s="2">
        <v>146</v>
      </c>
      <c r="B159" s="3">
        <f t="shared" ref="B159:W159" si="149">MIN(1,IF($A159&lt;B$4+B$3,0,IF(B$2=0,1,IF(B$5=0,1/(1+(B$6*EXP(-($A159-B$4)/B$7))),IF(MOD($A159-B$4,B$5)=0,1/(1+(B$6*EXP(-($A159-B$4)/B$7))),1/(1+(B$6*EXP(-(QUOTIENT($A159-B$4,B$5)*B$5)/B$7))))))))</f>
        <v>0.999999762777653</v>
      </c>
      <c r="C159" s="3">
        <f t="shared" si="149"/>
        <v>0.999999762777653</v>
      </c>
      <c r="D159" s="3" t="e">
        <f t="shared" si="149"/>
        <v>#DIV/0!</v>
      </c>
      <c r="E159" s="3" t="e">
        <f t="shared" si="149"/>
        <v>#REF!</v>
      </c>
      <c r="F159" s="3">
        <f t="shared" si="149"/>
        <v>0.999999999996876</v>
      </c>
      <c r="G159" s="3">
        <f t="shared" si="149"/>
        <v>0.999999999996876</v>
      </c>
      <c r="H159" s="3">
        <f t="shared" si="149"/>
        <v>0.999999762777653</v>
      </c>
      <c r="I159" s="3">
        <f t="shared" si="149"/>
        <v>0.999999762777653</v>
      </c>
      <c r="J159" s="3">
        <f t="shared" si="149"/>
        <v>1</v>
      </c>
      <c r="K159" s="3">
        <f t="shared" si="149"/>
        <v>0.999999762777653</v>
      </c>
      <c r="L159" s="3">
        <f t="shared" si="149"/>
        <v>0.999999762777653</v>
      </c>
      <c r="M159" s="3" t="e">
        <f t="shared" si="149"/>
        <v>#REF!</v>
      </c>
      <c r="N159" s="3">
        <f t="shared" si="149"/>
        <v>1</v>
      </c>
      <c r="O159" s="3">
        <f t="shared" si="149"/>
        <v>1</v>
      </c>
      <c r="P159" s="3">
        <f t="shared" si="149"/>
        <v>1</v>
      </c>
      <c r="Q159" s="3">
        <f t="shared" si="149"/>
        <v>1</v>
      </c>
      <c r="R159" s="3">
        <f t="shared" si="149"/>
        <v>1</v>
      </c>
      <c r="S159" s="3">
        <f t="shared" si="149"/>
        <v>1</v>
      </c>
      <c r="T159" s="3">
        <f t="shared" si="149"/>
        <v>1</v>
      </c>
      <c r="U159" s="3">
        <f t="shared" si="149"/>
        <v>1</v>
      </c>
      <c r="V159" s="3">
        <f t="shared" si="149"/>
        <v>1</v>
      </c>
      <c r="W159" s="3">
        <f t="shared" si="149"/>
        <v>1</v>
      </c>
    </row>
    <row r="160" customHeight="1" spans="1:23">
      <c r="A160" s="2">
        <v>147</v>
      </c>
      <c r="B160" s="3">
        <f t="shared" ref="B160:W160" si="150">MIN(1,IF($A160&lt;B$4+B$3,0,IF(B$2=0,1,IF(B$5=0,1/(1+(B$6*EXP(-($A160-B$4)/B$7))),IF(MOD($A160-B$4,B$5)=0,1/(1+(B$6*EXP(-($A160-B$4)/B$7))),1/(1+(B$6*EXP(-(QUOTIENT($A160-B$4,B$5)*B$5)/B$7))))))))</f>
        <v>0.999999790652008</v>
      </c>
      <c r="C160" s="3">
        <f t="shared" si="150"/>
        <v>0.999999790652008</v>
      </c>
      <c r="D160" s="3" t="e">
        <f t="shared" si="150"/>
        <v>#DIV/0!</v>
      </c>
      <c r="E160" s="3" t="e">
        <f t="shared" si="150"/>
        <v>#REF!</v>
      </c>
      <c r="F160" s="3">
        <f t="shared" si="150"/>
        <v>0.999999999997442</v>
      </c>
      <c r="G160" s="3">
        <f t="shared" si="150"/>
        <v>0.999999999997442</v>
      </c>
      <c r="H160" s="3">
        <f t="shared" si="150"/>
        <v>0.999999790652008</v>
      </c>
      <c r="I160" s="3">
        <f t="shared" si="150"/>
        <v>0.999999790652008</v>
      </c>
      <c r="J160" s="3">
        <f t="shared" si="150"/>
        <v>1</v>
      </c>
      <c r="K160" s="3">
        <f t="shared" si="150"/>
        <v>0.999999790652008</v>
      </c>
      <c r="L160" s="3">
        <f t="shared" si="150"/>
        <v>0.999999790652008</v>
      </c>
      <c r="M160" s="3" t="e">
        <f t="shared" si="150"/>
        <v>#REF!</v>
      </c>
      <c r="N160" s="3">
        <f t="shared" si="150"/>
        <v>1</v>
      </c>
      <c r="O160" s="3">
        <f t="shared" si="150"/>
        <v>1</v>
      </c>
      <c r="P160" s="3">
        <f t="shared" si="150"/>
        <v>1</v>
      </c>
      <c r="Q160" s="3">
        <f t="shared" si="150"/>
        <v>1</v>
      </c>
      <c r="R160" s="3">
        <f t="shared" si="150"/>
        <v>1</v>
      </c>
      <c r="S160" s="3">
        <f t="shared" si="150"/>
        <v>1</v>
      </c>
      <c r="T160" s="3">
        <f t="shared" si="150"/>
        <v>1</v>
      </c>
      <c r="U160" s="3">
        <f t="shared" si="150"/>
        <v>1</v>
      </c>
      <c r="V160" s="3">
        <f t="shared" si="150"/>
        <v>1</v>
      </c>
      <c r="W160" s="3">
        <f t="shared" si="150"/>
        <v>1</v>
      </c>
    </row>
    <row r="161" customHeight="1" spans="1:23">
      <c r="A161" s="2">
        <v>148</v>
      </c>
      <c r="B161" s="3">
        <f t="shared" ref="B161:W161" si="151">MIN(1,IF($A161&lt;B$4+B$3,0,IF(B$2=0,1,IF(B$5=0,1/(1+(B$6*EXP(-($A161-B$4)/B$7))),IF(MOD($A161-B$4,B$5)=0,1/(1+(B$6*EXP(-($A161-B$4)/B$7))),1/(1+(B$6*EXP(-(QUOTIENT($A161-B$4,B$5)*B$5)/B$7))))))))</f>
        <v>0.999999815251041</v>
      </c>
      <c r="C161" s="3">
        <f t="shared" si="151"/>
        <v>0.999999815251041</v>
      </c>
      <c r="D161" s="3" t="e">
        <f t="shared" si="151"/>
        <v>#DIV/0!</v>
      </c>
      <c r="E161" s="3" t="e">
        <f t="shared" si="151"/>
        <v>#REF!</v>
      </c>
      <c r="F161" s="3">
        <f t="shared" si="151"/>
        <v>0.999999999997906</v>
      </c>
      <c r="G161" s="3">
        <f t="shared" si="151"/>
        <v>0.999999999997906</v>
      </c>
      <c r="H161" s="3">
        <f t="shared" si="151"/>
        <v>0.999999815251041</v>
      </c>
      <c r="I161" s="3">
        <f t="shared" si="151"/>
        <v>0.999999815251041</v>
      </c>
      <c r="J161" s="3">
        <f t="shared" si="151"/>
        <v>1</v>
      </c>
      <c r="K161" s="3">
        <f t="shared" si="151"/>
        <v>0.999999815251041</v>
      </c>
      <c r="L161" s="3">
        <f t="shared" si="151"/>
        <v>0.999999815251041</v>
      </c>
      <c r="M161" s="3" t="e">
        <f t="shared" si="151"/>
        <v>#REF!</v>
      </c>
      <c r="N161" s="3">
        <f t="shared" si="151"/>
        <v>1</v>
      </c>
      <c r="O161" s="3">
        <f t="shared" si="151"/>
        <v>1</v>
      </c>
      <c r="P161" s="3">
        <f t="shared" si="151"/>
        <v>1</v>
      </c>
      <c r="Q161" s="3">
        <f t="shared" si="151"/>
        <v>1</v>
      </c>
      <c r="R161" s="3">
        <f t="shared" si="151"/>
        <v>1</v>
      </c>
      <c r="S161" s="3">
        <f t="shared" si="151"/>
        <v>1</v>
      </c>
      <c r="T161" s="3">
        <f t="shared" si="151"/>
        <v>1</v>
      </c>
      <c r="U161" s="3">
        <f t="shared" si="151"/>
        <v>1</v>
      </c>
      <c r="V161" s="3">
        <f t="shared" si="151"/>
        <v>1</v>
      </c>
      <c r="W161" s="3">
        <f t="shared" si="151"/>
        <v>1</v>
      </c>
    </row>
    <row r="162" customHeight="1" spans="1:23">
      <c r="A162" s="2">
        <v>149</v>
      </c>
      <c r="B162" s="3">
        <f t="shared" ref="B162:W162" si="152">MIN(1,IF($A162&lt;B$4+B$3,0,IF(B$2=0,1,IF(B$5=0,1/(1+(B$6*EXP(-($A162-B$4)/B$7))),IF(MOD($A162-B$4,B$5)=0,1/(1+(B$6*EXP(-($A162-B$4)/B$7))),1/(1+(B$6*EXP(-(QUOTIENT($A162-B$4,B$5)*B$5)/B$7))))))))</f>
        <v>0.999999836959612</v>
      </c>
      <c r="C162" s="3">
        <f t="shared" si="152"/>
        <v>0.999999836959612</v>
      </c>
      <c r="D162" s="3" t="e">
        <f t="shared" si="152"/>
        <v>#DIV/0!</v>
      </c>
      <c r="E162" s="3" t="e">
        <f t="shared" si="152"/>
        <v>#REF!</v>
      </c>
      <c r="F162" s="3">
        <f t="shared" si="152"/>
        <v>0.999999999998286</v>
      </c>
      <c r="G162" s="3">
        <f t="shared" si="152"/>
        <v>0.999999999998286</v>
      </c>
      <c r="H162" s="3">
        <f t="shared" si="152"/>
        <v>0.999999836959612</v>
      </c>
      <c r="I162" s="3">
        <f t="shared" si="152"/>
        <v>0.999999836959612</v>
      </c>
      <c r="J162" s="3">
        <f t="shared" si="152"/>
        <v>1</v>
      </c>
      <c r="K162" s="3">
        <f t="shared" si="152"/>
        <v>0.999999836959612</v>
      </c>
      <c r="L162" s="3">
        <f t="shared" si="152"/>
        <v>0.999999836959612</v>
      </c>
      <c r="M162" s="3" t="e">
        <f t="shared" si="152"/>
        <v>#REF!</v>
      </c>
      <c r="N162" s="3">
        <f t="shared" si="152"/>
        <v>1</v>
      </c>
      <c r="O162" s="3">
        <f t="shared" si="152"/>
        <v>1</v>
      </c>
      <c r="P162" s="3">
        <f t="shared" si="152"/>
        <v>1</v>
      </c>
      <c r="Q162" s="3">
        <f t="shared" si="152"/>
        <v>1</v>
      </c>
      <c r="R162" s="3">
        <f t="shared" si="152"/>
        <v>1</v>
      </c>
      <c r="S162" s="3">
        <f t="shared" si="152"/>
        <v>1</v>
      </c>
      <c r="T162" s="3">
        <f t="shared" si="152"/>
        <v>1</v>
      </c>
      <c r="U162" s="3">
        <f t="shared" si="152"/>
        <v>1</v>
      </c>
      <c r="V162" s="3">
        <f t="shared" si="152"/>
        <v>1</v>
      </c>
      <c r="W162" s="3">
        <f t="shared" si="152"/>
        <v>1</v>
      </c>
    </row>
    <row r="163" customHeight="1" spans="1:23">
      <c r="A163" s="2">
        <v>150</v>
      </c>
      <c r="B163" s="3">
        <f t="shared" ref="B163:W163" si="153">MIN(1,IF($A163&lt;B$4+B$3,0,IF(B$2=0,1,IF(B$5=0,1/(1+(B$6*EXP(-($A163-B$4)/B$7))),IF(MOD($A163-B$4,B$5)=0,1/(1+(B$6*EXP(-($A163-B$4)/B$7))),1/(1+(B$6*EXP(-(QUOTIENT($A163-B$4,B$5)*B$5)/B$7))))))))</f>
        <v>0.99999985611736</v>
      </c>
      <c r="C163" s="3">
        <f t="shared" si="153"/>
        <v>0.99999985611736</v>
      </c>
      <c r="D163" s="3" t="e">
        <f t="shared" si="153"/>
        <v>#DIV/0!</v>
      </c>
      <c r="E163" s="3" t="e">
        <f t="shared" si="153"/>
        <v>#REF!</v>
      </c>
      <c r="F163" s="3">
        <f t="shared" si="153"/>
        <v>0.999999999998596</v>
      </c>
      <c r="G163" s="3">
        <f t="shared" si="153"/>
        <v>0.999999999998596</v>
      </c>
      <c r="H163" s="3">
        <f t="shared" si="153"/>
        <v>0.99999985611736</v>
      </c>
      <c r="I163" s="3">
        <f t="shared" si="153"/>
        <v>0.99999985611736</v>
      </c>
      <c r="J163" s="3">
        <f t="shared" si="153"/>
        <v>1</v>
      </c>
      <c r="K163" s="3">
        <f t="shared" si="153"/>
        <v>0.99999985611736</v>
      </c>
      <c r="L163" s="3">
        <f t="shared" si="153"/>
        <v>0.99999985611736</v>
      </c>
      <c r="M163" s="3" t="e">
        <f t="shared" si="153"/>
        <v>#REF!</v>
      </c>
      <c r="N163" s="3">
        <f t="shared" si="153"/>
        <v>1</v>
      </c>
      <c r="O163" s="3">
        <f t="shared" si="153"/>
        <v>1</v>
      </c>
      <c r="P163" s="3">
        <f t="shared" si="153"/>
        <v>1</v>
      </c>
      <c r="Q163" s="3">
        <f t="shared" si="153"/>
        <v>1</v>
      </c>
      <c r="R163" s="3">
        <f t="shared" si="153"/>
        <v>1</v>
      </c>
      <c r="S163" s="3">
        <f t="shared" si="153"/>
        <v>1</v>
      </c>
      <c r="T163" s="3">
        <f t="shared" si="153"/>
        <v>1</v>
      </c>
      <c r="U163" s="3">
        <f t="shared" si="153"/>
        <v>1</v>
      </c>
      <c r="V163" s="3">
        <f t="shared" si="153"/>
        <v>1</v>
      </c>
      <c r="W163" s="3">
        <f t="shared" si="153"/>
        <v>1</v>
      </c>
    </row>
    <row r="164" customHeight="1" spans="1:23">
      <c r="A164" s="2">
        <v>151</v>
      </c>
      <c r="B164" s="3">
        <f t="shared" ref="B164:W164" si="154">MIN(1,IF($A164&lt;B$4+B$3,0,IF(B$2=0,1,IF(B$5=0,1/(1+(B$6*EXP(-($A164-B$4)/B$7))),IF(MOD($A164-B$4,B$5)=0,1/(1+(B$6*EXP(-($A164-B$4)/B$7))),1/(1+(B$6*EXP(-(QUOTIENT($A164-B$4,B$5)*B$5)/B$7))))))))</f>
        <v>0.999999873024014</v>
      </c>
      <c r="C164" s="3">
        <f t="shared" si="154"/>
        <v>0.999999873024014</v>
      </c>
      <c r="D164" s="3" t="e">
        <f t="shared" si="154"/>
        <v>#DIV/0!</v>
      </c>
      <c r="E164" s="3" t="e">
        <f t="shared" si="154"/>
        <v>#REF!</v>
      </c>
      <c r="F164" s="3">
        <f t="shared" si="154"/>
        <v>0.999999999998851</v>
      </c>
      <c r="G164" s="3">
        <f t="shared" si="154"/>
        <v>0.999999999998851</v>
      </c>
      <c r="H164" s="3">
        <f t="shared" si="154"/>
        <v>0.999999873024014</v>
      </c>
      <c r="I164" s="3">
        <f t="shared" si="154"/>
        <v>0.999999873024014</v>
      </c>
      <c r="J164" s="3">
        <f t="shared" si="154"/>
        <v>1</v>
      </c>
      <c r="K164" s="3">
        <f t="shared" si="154"/>
        <v>0.999999873024014</v>
      </c>
      <c r="L164" s="3">
        <f t="shared" si="154"/>
        <v>0.999999873024014</v>
      </c>
      <c r="M164" s="3" t="e">
        <f t="shared" si="154"/>
        <v>#REF!</v>
      </c>
      <c r="N164" s="3">
        <f t="shared" si="154"/>
        <v>1</v>
      </c>
      <c r="O164" s="3">
        <f t="shared" si="154"/>
        <v>1</v>
      </c>
      <c r="P164" s="3">
        <f t="shared" si="154"/>
        <v>1</v>
      </c>
      <c r="Q164" s="3">
        <f t="shared" si="154"/>
        <v>1</v>
      </c>
      <c r="R164" s="3">
        <f t="shared" si="154"/>
        <v>1</v>
      </c>
      <c r="S164" s="3">
        <f t="shared" si="154"/>
        <v>1</v>
      </c>
      <c r="T164" s="3">
        <f t="shared" si="154"/>
        <v>1</v>
      </c>
      <c r="U164" s="3">
        <f t="shared" si="154"/>
        <v>1</v>
      </c>
      <c r="V164" s="3">
        <f t="shared" si="154"/>
        <v>1</v>
      </c>
      <c r="W164" s="3">
        <f t="shared" si="154"/>
        <v>1</v>
      </c>
    </row>
    <row r="165" customHeight="1" spans="1:23">
      <c r="A165" s="2">
        <v>152</v>
      </c>
      <c r="B165" s="3">
        <f t="shared" ref="B165:W165" si="155">MIN(1,IF($A165&lt;B$4+B$3,0,IF(B$2=0,1,IF(B$5=0,1/(1+(B$6*EXP(-($A165-B$4)/B$7))),IF(MOD($A165-B$4,B$5)=0,1/(1+(B$6*EXP(-($A165-B$4)/B$7))),1/(1+(B$6*EXP(-(QUOTIENT($A165-B$4,B$5)*B$5)/B$7))))))))</f>
        <v>0.999999887944084</v>
      </c>
      <c r="C165" s="3">
        <f t="shared" si="155"/>
        <v>0.999999887944084</v>
      </c>
      <c r="D165" s="3" t="e">
        <f t="shared" si="155"/>
        <v>#DIV/0!</v>
      </c>
      <c r="E165" s="3" t="e">
        <f t="shared" si="155"/>
        <v>#REF!</v>
      </c>
      <c r="F165" s="3">
        <f t="shared" si="155"/>
        <v>0.999999999999059</v>
      </c>
      <c r="G165" s="3">
        <f t="shared" si="155"/>
        <v>0.999999999999059</v>
      </c>
      <c r="H165" s="3">
        <f t="shared" si="155"/>
        <v>0.999999887944084</v>
      </c>
      <c r="I165" s="3">
        <f t="shared" si="155"/>
        <v>0.999999887944084</v>
      </c>
      <c r="J165" s="3">
        <f t="shared" si="155"/>
        <v>1</v>
      </c>
      <c r="K165" s="3">
        <f t="shared" si="155"/>
        <v>0.999999887944084</v>
      </c>
      <c r="L165" s="3">
        <f t="shared" si="155"/>
        <v>0.999999887944084</v>
      </c>
      <c r="M165" s="3" t="e">
        <f t="shared" si="155"/>
        <v>#REF!</v>
      </c>
      <c r="N165" s="3">
        <f t="shared" si="155"/>
        <v>1</v>
      </c>
      <c r="O165" s="3">
        <f t="shared" si="155"/>
        <v>1</v>
      </c>
      <c r="P165" s="3">
        <f t="shared" si="155"/>
        <v>1</v>
      </c>
      <c r="Q165" s="3">
        <f t="shared" si="155"/>
        <v>1</v>
      </c>
      <c r="R165" s="3">
        <f t="shared" si="155"/>
        <v>1</v>
      </c>
      <c r="S165" s="3">
        <f t="shared" si="155"/>
        <v>1</v>
      </c>
      <c r="T165" s="3">
        <f t="shared" si="155"/>
        <v>1</v>
      </c>
      <c r="U165" s="3">
        <f t="shared" si="155"/>
        <v>1</v>
      </c>
      <c r="V165" s="3">
        <f t="shared" si="155"/>
        <v>1</v>
      </c>
      <c r="W165" s="3">
        <f t="shared" si="155"/>
        <v>1</v>
      </c>
    </row>
    <row r="166" customHeight="1" spans="1:23">
      <c r="A166" s="2">
        <v>153</v>
      </c>
      <c r="B166" s="3">
        <f t="shared" ref="B166:W166" si="156">MIN(1,IF($A166&lt;B$4+B$3,0,IF(B$2=0,1,IF(B$5=0,1/(1+(B$6*EXP(-($A166-B$4)/B$7))),IF(MOD($A166-B$4,B$5)=0,1/(1+(B$6*EXP(-($A166-B$4)/B$7))),1/(1+(B$6*EXP(-(QUOTIENT($A166-B$4,B$5)*B$5)/B$7))))))))</f>
        <v>0.999999901111</v>
      </c>
      <c r="C166" s="3">
        <f t="shared" si="156"/>
        <v>0.999999901111</v>
      </c>
      <c r="D166" s="3" t="e">
        <f t="shared" si="156"/>
        <v>#DIV/0!</v>
      </c>
      <c r="E166" s="3" t="e">
        <f t="shared" si="156"/>
        <v>#REF!</v>
      </c>
      <c r="F166" s="3">
        <f t="shared" si="156"/>
        <v>0.99999999999923</v>
      </c>
      <c r="G166" s="3">
        <f t="shared" si="156"/>
        <v>0.99999999999923</v>
      </c>
      <c r="H166" s="3">
        <f t="shared" si="156"/>
        <v>0.999999901111</v>
      </c>
      <c r="I166" s="3">
        <f t="shared" si="156"/>
        <v>0.999999901111</v>
      </c>
      <c r="J166" s="3">
        <f t="shared" si="156"/>
        <v>1</v>
      </c>
      <c r="K166" s="3">
        <f t="shared" si="156"/>
        <v>0.999999901111</v>
      </c>
      <c r="L166" s="3">
        <f t="shared" si="156"/>
        <v>0.999999901111</v>
      </c>
      <c r="M166" s="3" t="e">
        <f t="shared" si="156"/>
        <v>#REF!</v>
      </c>
      <c r="N166" s="3">
        <f t="shared" si="156"/>
        <v>1</v>
      </c>
      <c r="O166" s="3">
        <f t="shared" si="156"/>
        <v>1</v>
      </c>
      <c r="P166" s="3">
        <f t="shared" si="156"/>
        <v>1</v>
      </c>
      <c r="Q166" s="3">
        <f t="shared" si="156"/>
        <v>1</v>
      </c>
      <c r="R166" s="3">
        <f t="shared" si="156"/>
        <v>1</v>
      </c>
      <c r="S166" s="3">
        <f t="shared" si="156"/>
        <v>1</v>
      </c>
      <c r="T166" s="3">
        <f t="shared" si="156"/>
        <v>1</v>
      </c>
      <c r="U166" s="3">
        <f t="shared" si="156"/>
        <v>1</v>
      </c>
      <c r="V166" s="3">
        <f t="shared" si="156"/>
        <v>1</v>
      </c>
      <c r="W166" s="3">
        <f t="shared" si="156"/>
        <v>1</v>
      </c>
    </row>
    <row r="167" customHeight="1" spans="1:23">
      <c r="A167" s="2">
        <v>154</v>
      </c>
      <c r="B167" s="3">
        <f t="shared" ref="B167:W167" si="157">MIN(1,IF($A167&lt;B$4+B$3,0,IF(B$2=0,1,IF(B$5=0,1/(1+(B$6*EXP(-($A167-B$4)/B$7))),IF(MOD($A167-B$4,B$5)=0,1/(1+(B$6*EXP(-($A167-B$4)/B$7))),1/(1+(B$6*EXP(-(QUOTIENT($A167-B$4,B$5)*B$5)/B$7))))))))</f>
        <v>0.999999912730762</v>
      </c>
      <c r="C167" s="3">
        <f t="shared" si="157"/>
        <v>0.999999912730762</v>
      </c>
      <c r="D167" s="3" t="e">
        <f t="shared" si="157"/>
        <v>#DIV/0!</v>
      </c>
      <c r="E167" s="3" t="e">
        <f t="shared" si="157"/>
        <v>#REF!</v>
      </c>
      <c r="F167" s="3">
        <f t="shared" si="157"/>
        <v>0.999999999999369</v>
      </c>
      <c r="G167" s="3">
        <f t="shared" si="157"/>
        <v>0.999999999999369</v>
      </c>
      <c r="H167" s="3">
        <f t="shared" si="157"/>
        <v>0.999999912730762</v>
      </c>
      <c r="I167" s="3">
        <f t="shared" si="157"/>
        <v>0.999999912730762</v>
      </c>
      <c r="J167" s="3">
        <f t="shared" si="157"/>
        <v>1</v>
      </c>
      <c r="K167" s="3">
        <f t="shared" si="157"/>
        <v>0.999999912730762</v>
      </c>
      <c r="L167" s="3">
        <f t="shared" si="157"/>
        <v>0.999999912730762</v>
      </c>
      <c r="M167" s="3" t="e">
        <f t="shared" si="157"/>
        <v>#REF!</v>
      </c>
      <c r="N167" s="3">
        <f t="shared" si="157"/>
        <v>1</v>
      </c>
      <c r="O167" s="3">
        <f t="shared" si="157"/>
        <v>1</v>
      </c>
      <c r="P167" s="3">
        <f t="shared" si="157"/>
        <v>1</v>
      </c>
      <c r="Q167" s="3">
        <f t="shared" si="157"/>
        <v>1</v>
      </c>
      <c r="R167" s="3">
        <f t="shared" si="157"/>
        <v>1</v>
      </c>
      <c r="S167" s="3">
        <f t="shared" si="157"/>
        <v>1</v>
      </c>
      <c r="T167" s="3">
        <f t="shared" si="157"/>
        <v>1</v>
      </c>
      <c r="U167" s="3">
        <f t="shared" si="157"/>
        <v>1</v>
      </c>
      <c r="V167" s="3">
        <f t="shared" si="157"/>
        <v>1</v>
      </c>
      <c r="W167" s="3">
        <f t="shared" si="157"/>
        <v>1</v>
      </c>
    </row>
    <row r="168" customHeight="1" spans="1:23">
      <c r="A168" s="2">
        <v>155</v>
      </c>
      <c r="B168" s="3">
        <f t="shared" ref="B168:W168" si="158">MIN(1,IF($A168&lt;B$4+B$3,0,IF(B$2=0,1,IF(B$5=0,1/(1+(B$6*EXP(-($A168-B$4)/B$7))),IF(MOD($A168-B$4,B$5)=0,1/(1+(B$6*EXP(-($A168-B$4)/B$7))),1/(1+(B$6*EXP(-(QUOTIENT($A168-B$4,B$5)*B$5)/B$7))))))))</f>
        <v>0.999999922985167</v>
      </c>
      <c r="C168" s="3">
        <f t="shared" si="158"/>
        <v>0.999999922985167</v>
      </c>
      <c r="D168" s="3" t="e">
        <f t="shared" si="158"/>
        <v>#DIV/0!</v>
      </c>
      <c r="E168" s="3" t="e">
        <f t="shared" si="158"/>
        <v>#REF!</v>
      </c>
      <c r="F168" s="3">
        <f t="shared" si="158"/>
        <v>0.999999999999484</v>
      </c>
      <c r="G168" s="3">
        <f t="shared" si="158"/>
        <v>0.999999999999484</v>
      </c>
      <c r="H168" s="3">
        <f t="shared" si="158"/>
        <v>0.999999922985167</v>
      </c>
      <c r="I168" s="3">
        <f t="shared" si="158"/>
        <v>0.999999922985167</v>
      </c>
      <c r="J168" s="3">
        <f t="shared" si="158"/>
        <v>1</v>
      </c>
      <c r="K168" s="3">
        <f t="shared" si="158"/>
        <v>0.999999922985167</v>
      </c>
      <c r="L168" s="3">
        <f t="shared" si="158"/>
        <v>0.999999922985167</v>
      </c>
      <c r="M168" s="3" t="e">
        <f t="shared" si="158"/>
        <v>#REF!</v>
      </c>
      <c r="N168" s="3">
        <f t="shared" si="158"/>
        <v>1</v>
      </c>
      <c r="O168" s="3">
        <f t="shared" si="158"/>
        <v>1</v>
      </c>
      <c r="P168" s="3">
        <f t="shared" si="158"/>
        <v>1</v>
      </c>
      <c r="Q168" s="3">
        <f t="shared" si="158"/>
        <v>1</v>
      </c>
      <c r="R168" s="3">
        <f t="shared" si="158"/>
        <v>1</v>
      </c>
      <c r="S168" s="3">
        <f t="shared" si="158"/>
        <v>1</v>
      </c>
      <c r="T168" s="3">
        <f t="shared" si="158"/>
        <v>1</v>
      </c>
      <c r="U168" s="3">
        <f t="shared" si="158"/>
        <v>1</v>
      </c>
      <c r="V168" s="3">
        <f t="shared" si="158"/>
        <v>1</v>
      </c>
      <c r="W168" s="3">
        <f t="shared" si="158"/>
        <v>1</v>
      </c>
    </row>
    <row r="169" customHeight="1" spans="1:23">
      <c r="A169" s="2">
        <v>156</v>
      </c>
      <c r="B169" s="3">
        <f t="shared" ref="B169:W169" si="159">MIN(1,IF($A169&lt;B$4+B$3,0,IF(B$2=0,1,IF(B$5=0,1/(1+(B$6*EXP(-($A169-B$4)/B$7))),IF(MOD($A169-B$4,B$5)=0,1/(1+(B$6*EXP(-($A169-B$4)/B$7))),1/(1+(B$6*EXP(-(QUOTIENT($A169-B$4,B$5)*B$5)/B$7))))))))</f>
        <v>0.999999932034648</v>
      </c>
      <c r="C169" s="3">
        <f t="shared" si="159"/>
        <v>0.999999932034648</v>
      </c>
      <c r="D169" s="3" t="e">
        <f t="shared" si="159"/>
        <v>#DIV/0!</v>
      </c>
      <c r="E169" s="3" t="e">
        <f t="shared" si="159"/>
        <v>#REF!</v>
      </c>
      <c r="F169" s="3">
        <f t="shared" si="159"/>
        <v>0.999999999999577</v>
      </c>
      <c r="G169" s="3">
        <f t="shared" si="159"/>
        <v>0.999999999999577</v>
      </c>
      <c r="H169" s="3">
        <f t="shared" si="159"/>
        <v>0.999999932034648</v>
      </c>
      <c r="I169" s="3">
        <f t="shared" si="159"/>
        <v>0.999999932034648</v>
      </c>
      <c r="J169" s="3">
        <f t="shared" si="159"/>
        <v>1</v>
      </c>
      <c r="K169" s="3">
        <f t="shared" si="159"/>
        <v>0.999999932034648</v>
      </c>
      <c r="L169" s="3">
        <f t="shared" si="159"/>
        <v>0.999999932034648</v>
      </c>
      <c r="M169" s="3" t="e">
        <f t="shared" si="159"/>
        <v>#REF!</v>
      </c>
      <c r="N169" s="3">
        <f t="shared" si="159"/>
        <v>1</v>
      </c>
      <c r="O169" s="3">
        <f t="shared" si="159"/>
        <v>1</v>
      </c>
      <c r="P169" s="3">
        <f t="shared" si="159"/>
        <v>1</v>
      </c>
      <c r="Q169" s="3">
        <f t="shared" si="159"/>
        <v>1</v>
      </c>
      <c r="R169" s="3">
        <f t="shared" si="159"/>
        <v>1</v>
      </c>
      <c r="S169" s="3">
        <f t="shared" si="159"/>
        <v>1</v>
      </c>
      <c r="T169" s="3">
        <f t="shared" si="159"/>
        <v>1</v>
      </c>
      <c r="U169" s="3">
        <f t="shared" si="159"/>
        <v>1</v>
      </c>
      <c r="V169" s="3">
        <f t="shared" si="159"/>
        <v>1</v>
      </c>
      <c r="W169" s="3">
        <f t="shared" si="159"/>
        <v>1</v>
      </c>
    </row>
    <row r="170" customHeight="1" spans="1:23">
      <c r="A170" s="2">
        <v>157</v>
      </c>
      <c r="B170" s="3">
        <f t="shared" ref="B170:W170" si="160">MIN(1,IF($A170&lt;B$4+B$3,0,IF(B$2=0,1,IF(B$5=0,1/(1+(B$6*EXP(-($A170-B$4)/B$7))),IF(MOD($A170-B$4,B$5)=0,1/(1+(B$6*EXP(-($A170-B$4)/B$7))),1/(1+(B$6*EXP(-(QUOTIENT($A170-B$4,B$5)*B$5)/B$7))))))))</f>
        <v>0.999999940020787</v>
      </c>
      <c r="C170" s="3">
        <f t="shared" si="160"/>
        <v>0.999999940020787</v>
      </c>
      <c r="D170" s="3" t="e">
        <f t="shared" si="160"/>
        <v>#DIV/0!</v>
      </c>
      <c r="E170" s="3" t="e">
        <f t="shared" si="160"/>
        <v>#REF!</v>
      </c>
      <c r="F170" s="3">
        <f t="shared" si="160"/>
        <v>0.999999999999654</v>
      </c>
      <c r="G170" s="3">
        <f t="shared" si="160"/>
        <v>0.999999999999654</v>
      </c>
      <c r="H170" s="3">
        <f t="shared" si="160"/>
        <v>0.999999940020787</v>
      </c>
      <c r="I170" s="3">
        <f t="shared" si="160"/>
        <v>0.999999940020787</v>
      </c>
      <c r="J170" s="3">
        <f t="shared" si="160"/>
        <v>1</v>
      </c>
      <c r="K170" s="3">
        <f t="shared" si="160"/>
        <v>0.999999940020787</v>
      </c>
      <c r="L170" s="3">
        <f t="shared" si="160"/>
        <v>0.999999940020787</v>
      </c>
      <c r="M170" s="3" t="e">
        <f t="shared" si="160"/>
        <v>#REF!</v>
      </c>
      <c r="N170" s="3">
        <f t="shared" si="160"/>
        <v>1</v>
      </c>
      <c r="O170" s="3">
        <f t="shared" si="160"/>
        <v>1</v>
      </c>
      <c r="P170" s="3">
        <f t="shared" si="160"/>
        <v>1</v>
      </c>
      <c r="Q170" s="3">
        <f t="shared" si="160"/>
        <v>1</v>
      </c>
      <c r="R170" s="3">
        <f t="shared" si="160"/>
        <v>1</v>
      </c>
      <c r="S170" s="3">
        <f t="shared" si="160"/>
        <v>1</v>
      </c>
      <c r="T170" s="3">
        <f t="shared" si="160"/>
        <v>1</v>
      </c>
      <c r="U170" s="3">
        <f t="shared" si="160"/>
        <v>1</v>
      </c>
      <c r="V170" s="3">
        <f t="shared" si="160"/>
        <v>1</v>
      </c>
      <c r="W170" s="3">
        <f t="shared" si="160"/>
        <v>1</v>
      </c>
    </row>
    <row r="171" customHeight="1" spans="1:23">
      <c r="A171" s="2">
        <v>158</v>
      </c>
      <c r="B171" s="3">
        <f t="shared" ref="B171:W171" si="161">MIN(1,IF($A171&lt;B$4+B$3,0,IF(B$2=0,1,IF(B$5=0,1/(1+(B$6*EXP(-($A171-B$4)/B$7))),IF(MOD($A171-B$4,B$5)=0,1/(1+(B$6*EXP(-($A171-B$4)/B$7))),1/(1+(B$6*EXP(-(QUOTIENT($A171-B$4,B$5)*B$5)/B$7))))))))</f>
        <v>0.99999994706853</v>
      </c>
      <c r="C171" s="3">
        <f t="shared" si="161"/>
        <v>0.99999994706853</v>
      </c>
      <c r="D171" s="3" t="e">
        <f t="shared" si="161"/>
        <v>#DIV/0!</v>
      </c>
      <c r="E171" s="3" t="e">
        <f t="shared" si="161"/>
        <v>#REF!</v>
      </c>
      <c r="F171" s="3">
        <f t="shared" si="161"/>
        <v>0.999999999999717</v>
      </c>
      <c r="G171" s="3">
        <f t="shared" si="161"/>
        <v>0.999999999999717</v>
      </c>
      <c r="H171" s="3">
        <f t="shared" si="161"/>
        <v>0.99999994706853</v>
      </c>
      <c r="I171" s="3">
        <f t="shared" si="161"/>
        <v>0.99999994706853</v>
      </c>
      <c r="J171" s="3">
        <f t="shared" si="161"/>
        <v>1</v>
      </c>
      <c r="K171" s="3">
        <f t="shared" si="161"/>
        <v>0.99999994706853</v>
      </c>
      <c r="L171" s="3">
        <f t="shared" si="161"/>
        <v>0.99999994706853</v>
      </c>
      <c r="M171" s="3" t="e">
        <f t="shared" si="161"/>
        <v>#REF!</v>
      </c>
      <c r="N171" s="3">
        <f t="shared" si="161"/>
        <v>1</v>
      </c>
      <c r="O171" s="3">
        <f t="shared" si="161"/>
        <v>1</v>
      </c>
      <c r="P171" s="3">
        <f t="shared" si="161"/>
        <v>1</v>
      </c>
      <c r="Q171" s="3">
        <f t="shared" si="161"/>
        <v>1</v>
      </c>
      <c r="R171" s="3">
        <f t="shared" si="161"/>
        <v>1</v>
      </c>
      <c r="S171" s="3">
        <f t="shared" si="161"/>
        <v>1</v>
      </c>
      <c r="T171" s="3">
        <f t="shared" si="161"/>
        <v>1</v>
      </c>
      <c r="U171" s="3">
        <f t="shared" si="161"/>
        <v>1</v>
      </c>
      <c r="V171" s="3">
        <f t="shared" si="161"/>
        <v>1</v>
      </c>
      <c r="W171" s="3">
        <f t="shared" si="161"/>
        <v>1</v>
      </c>
    </row>
    <row r="172" customHeight="1" spans="1:23">
      <c r="A172" s="2">
        <v>159</v>
      </c>
      <c r="B172" s="3">
        <f t="shared" ref="B172:W172" si="162">MIN(1,IF($A172&lt;B$4+B$3,0,IF(B$2=0,1,IF(B$5=0,1/(1+(B$6*EXP(-($A172-B$4)/B$7))),IF(MOD($A172-B$4,B$5)=0,1/(1+(B$6*EXP(-($A172-B$4)/B$7))),1/(1+(B$6*EXP(-(QUOTIENT($A172-B$4,B$5)*B$5)/B$7))))))))</f>
        <v>0.999999953288141</v>
      </c>
      <c r="C172" s="3">
        <f t="shared" si="162"/>
        <v>0.999999953288141</v>
      </c>
      <c r="D172" s="3" t="e">
        <f t="shared" si="162"/>
        <v>#DIV/0!</v>
      </c>
      <c r="E172" s="3" t="e">
        <f t="shared" si="162"/>
        <v>#REF!</v>
      </c>
      <c r="F172" s="3">
        <f t="shared" si="162"/>
        <v>0.999999999999768</v>
      </c>
      <c r="G172" s="3">
        <f t="shared" si="162"/>
        <v>0.999999999999768</v>
      </c>
      <c r="H172" s="3">
        <f t="shared" si="162"/>
        <v>0.999999953288141</v>
      </c>
      <c r="I172" s="3">
        <f t="shared" si="162"/>
        <v>0.999999953288141</v>
      </c>
      <c r="J172" s="3">
        <f t="shared" si="162"/>
        <v>1</v>
      </c>
      <c r="K172" s="3">
        <f t="shared" si="162"/>
        <v>0.999999953288141</v>
      </c>
      <c r="L172" s="3">
        <f t="shared" si="162"/>
        <v>0.999999953288141</v>
      </c>
      <c r="M172" s="3" t="e">
        <f t="shared" si="162"/>
        <v>#REF!</v>
      </c>
      <c r="N172" s="3">
        <f t="shared" si="162"/>
        <v>1</v>
      </c>
      <c r="O172" s="3">
        <f t="shared" si="162"/>
        <v>1</v>
      </c>
      <c r="P172" s="3">
        <f t="shared" si="162"/>
        <v>1</v>
      </c>
      <c r="Q172" s="3">
        <f t="shared" si="162"/>
        <v>1</v>
      </c>
      <c r="R172" s="3">
        <f t="shared" si="162"/>
        <v>1</v>
      </c>
      <c r="S172" s="3">
        <f t="shared" si="162"/>
        <v>1</v>
      </c>
      <c r="T172" s="3">
        <f t="shared" si="162"/>
        <v>1</v>
      </c>
      <c r="U172" s="3">
        <f t="shared" si="162"/>
        <v>1</v>
      </c>
      <c r="V172" s="3">
        <f t="shared" si="162"/>
        <v>1</v>
      </c>
      <c r="W172" s="3">
        <f t="shared" si="162"/>
        <v>1</v>
      </c>
    </row>
    <row r="173" customHeight="1" spans="1:23">
      <c r="A173" s="2">
        <v>160</v>
      </c>
      <c r="B173" s="3">
        <f t="shared" ref="B173:W173" si="163">MIN(1,IF($A173&lt;B$4+B$3,0,IF(B$2=0,1,IF(B$5=0,1/(1+(B$6*EXP(-($A173-B$4)/B$7))),IF(MOD($A173-B$4,B$5)=0,1/(1+(B$6*EXP(-($A173-B$4)/B$7))),1/(1+(B$6*EXP(-(QUOTIENT($A173-B$4,B$5)*B$5)/B$7))))))))</f>
        <v>0.999999958776929</v>
      </c>
      <c r="C173" s="3">
        <f t="shared" si="163"/>
        <v>0.999999958776929</v>
      </c>
      <c r="D173" s="3" t="e">
        <f t="shared" si="163"/>
        <v>#DIV/0!</v>
      </c>
      <c r="E173" s="3" t="e">
        <f t="shared" si="163"/>
        <v>#REF!</v>
      </c>
      <c r="F173" s="3">
        <f t="shared" si="163"/>
        <v>0.99999999999981</v>
      </c>
      <c r="G173" s="3">
        <f t="shared" si="163"/>
        <v>0.99999999999981</v>
      </c>
      <c r="H173" s="3">
        <f t="shared" si="163"/>
        <v>0.999999958776929</v>
      </c>
      <c r="I173" s="3">
        <f t="shared" si="163"/>
        <v>0.999999958776929</v>
      </c>
      <c r="J173" s="3">
        <f t="shared" si="163"/>
        <v>1</v>
      </c>
      <c r="K173" s="3">
        <f t="shared" si="163"/>
        <v>0.999999958776929</v>
      </c>
      <c r="L173" s="3">
        <f t="shared" si="163"/>
        <v>0.999999958776929</v>
      </c>
      <c r="M173" s="3" t="e">
        <f t="shared" si="163"/>
        <v>#REF!</v>
      </c>
      <c r="N173" s="3">
        <f t="shared" si="163"/>
        <v>1</v>
      </c>
      <c r="O173" s="3">
        <f t="shared" si="163"/>
        <v>1</v>
      </c>
      <c r="P173" s="3">
        <f t="shared" si="163"/>
        <v>1</v>
      </c>
      <c r="Q173" s="3">
        <f t="shared" si="163"/>
        <v>1</v>
      </c>
      <c r="R173" s="3">
        <f t="shared" si="163"/>
        <v>1</v>
      </c>
      <c r="S173" s="3">
        <f t="shared" si="163"/>
        <v>1</v>
      </c>
      <c r="T173" s="3">
        <f t="shared" si="163"/>
        <v>1</v>
      </c>
      <c r="U173" s="3">
        <f t="shared" si="163"/>
        <v>1</v>
      </c>
      <c r="V173" s="3">
        <f t="shared" si="163"/>
        <v>1</v>
      </c>
      <c r="W173" s="3">
        <f t="shared" si="163"/>
        <v>1</v>
      </c>
    </row>
    <row r="174" customHeight="1" spans="1:23">
      <c r="A174" s="2">
        <v>161</v>
      </c>
      <c r="B174" s="3">
        <f t="shared" ref="B174:W174" si="164">MIN(1,IF($A174&lt;B$4+B$3,0,IF(B$2=0,1,IF(B$5=0,1/(1+(B$6*EXP(-($A174-B$4)/B$7))),IF(MOD($A174-B$4,B$5)=0,1/(1+(B$6*EXP(-($A174-B$4)/B$7))),1/(1+(B$6*EXP(-(QUOTIENT($A174-B$4,B$5)*B$5)/B$7))))))))</f>
        <v>0.999999963620767</v>
      </c>
      <c r="C174" s="3">
        <f t="shared" si="164"/>
        <v>0.999999963620767</v>
      </c>
      <c r="D174" s="3" t="e">
        <f t="shared" si="164"/>
        <v>#DIV/0!</v>
      </c>
      <c r="E174" s="3" t="e">
        <f t="shared" si="164"/>
        <v>#REF!</v>
      </c>
      <c r="F174" s="3">
        <f t="shared" si="164"/>
        <v>0.999999999999845</v>
      </c>
      <c r="G174" s="3">
        <f t="shared" si="164"/>
        <v>0.999999999999845</v>
      </c>
      <c r="H174" s="3">
        <f t="shared" si="164"/>
        <v>0.999999963620767</v>
      </c>
      <c r="I174" s="3">
        <f t="shared" si="164"/>
        <v>0.999999963620767</v>
      </c>
      <c r="J174" s="3">
        <f t="shared" si="164"/>
        <v>1</v>
      </c>
      <c r="K174" s="3">
        <f t="shared" si="164"/>
        <v>0.999999963620767</v>
      </c>
      <c r="L174" s="3">
        <f t="shared" si="164"/>
        <v>0.999999963620767</v>
      </c>
      <c r="M174" s="3" t="e">
        <f t="shared" si="164"/>
        <v>#REF!</v>
      </c>
      <c r="N174" s="3">
        <f t="shared" si="164"/>
        <v>1</v>
      </c>
      <c r="O174" s="3">
        <f t="shared" si="164"/>
        <v>1</v>
      </c>
      <c r="P174" s="3">
        <f t="shared" si="164"/>
        <v>1</v>
      </c>
      <c r="Q174" s="3">
        <f t="shared" si="164"/>
        <v>1</v>
      </c>
      <c r="R174" s="3">
        <f t="shared" si="164"/>
        <v>1</v>
      </c>
      <c r="S174" s="3">
        <f t="shared" si="164"/>
        <v>1</v>
      </c>
      <c r="T174" s="3">
        <f t="shared" si="164"/>
        <v>1</v>
      </c>
      <c r="U174" s="3">
        <f t="shared" si="164"/>
        <v>1</v>
      </c>
      <c r="V174" s="3">
        <f t="shared" si="164"/>
        <v>1</v>
      </c>
      <c r="W174" s="3">
        <f t="shared" si="164"/>
        <v>1</v>
      </c>
    </row>
    <row r="175" customHeight="1" spans="1:23">
      <c r="A175" s="2">
        <v>162</v>
      </c>
      <c r="B175" s="3">
        <f t="shared" ref="B175:W175" si="165">MIN(1,IF($A175&lt;B$4+B$3,0,IF(B$2=0,1,IF(B$5=0,1/(1+(B$6*EXP(-($A175-B$4)/B$7))),IF(MOD($A175-B$4,B$5)=0,1/(1+(B$6*EXP(-($A175-B$4)/B$7))),1/(1+(B$6*EXP(-(QUOTIENT($A175-B$4,B$5)*B$5)/B$7))))))))</f>
        <v>0.99999996789544</v>
      </c>
      <c r="C175" s="3">
        <f t="shared" si="165"/>
        <v>0.99999996789544</v>
      </c>
      <c r="D175" s="3" t="e">
        <f t="shared" si="165"/>
        <v>#DIV/0!</v>
      </c>
      <c r="E175" s="3" t="e">
        <f t="shared" si="165"/>
        <v>#REF!</v>
      </c>
      <c r="F175" s="3">
        <f t="shared" si="165"/>
        <v>0.999999999999873</v>
      </c>
      <c r="G175" s="3">
        <f t="shared" si="165"/>
        <v>0.999999999999873</v>
      </c>
      <c r="H175" s="3">
        <f t="shared" si="165"/>
        <v>0.99999996789544</v>
      </c>
      <c r="I175" s="3">
        <f t="shared" si="165"/>
        <v>0.99999996789544</v>
      </c>
      <c r="J175" s="3">
        <f t="shared" si="165"/>
        <v>1</v>
      </c>
      <c r="K175" s="3">
        <f t="shared" si="165"/>
        <v>0.99999996789544</v>
      </c>
      <c r="L175" s="3">
        <f t="shared" si="165"/>
        <v>0.99999996789544</v>
      </c>
      <c r="M175" s="3" t="e">
        <f t="shared" si="165"/>
        <v>#REF!</v>
      </c>
      <c r="N175" s="3">
        <f t="shared" si="165"/>
        <v>1</v>
      </c>
      <c r="O175" s="3">
        <f t="shared" si="165"/>
        <v>1</v>
      </c>
      <c r="P175" s="3">
        <f t="shared" si="165"/>
        <v>1</v>
      </c>
      <c r="Q175" s="3">
        <f t="shared" si="165"/>
        <v>1</v>
      </c>
      <c r="R175" s="3">
        <f t="shared" si="165"/>
        <v>1</v>
      </c>
      <c r="S175" s="3">
        <f t="shared" si="165"/>
        <v>1</v>
      </c>
      <c r="T175" s="3">
        <f t="shared" si="165"/>
        <v>1</v>
      </c>
      <c r="U175" s="3">
        <f t="shared" si="165"/>
        <v>1</v>
      </c>
      <c r="V175" s="3">
        <f t="shared" si="165"/>
        <v>1</v>
      </c>
      <c r="W175" s="3">
        <f t="shared" si="165"/>
        <v>1</v>
      </c>
    </row>
    <row r="176" customHeight="1" spans="1:23">
      <c r="A176" s="2">
        <v>163</v>
      </c>
      <c r="B176" s="3">
        <f t="shared" ref="B176:W176" si="166">MIN(1,IF($A176&lt;B$4+B$3,0,IF(B$2=0,1,IF(B$5=0,1/(1+(B$6*EXP(-($A176-B$4)/B$7))),IF(MOD($A176-B$4,B$5)=0,1/(1+(B$6*EXP(-($A176-B$4)/B$7))),1/(1+(B$6*EXP(-(QUOTIENT($A176-B$4,B$5)*B$5)/B$7))))))))</f>
        <v>0.999999971667825</v>
      </c>
      <c r="C176" s="3">
        <f t="shared" si="166"/>
        <v>0.999999971667825</v>
      </c>
      <c r="D176" s="3" t="e">
        <f t="shared" si="166"/>
        <v>#DIV/0!</v>
      </c>
      <c r="E176" s="3" t="e">
        <f t="shared" si="166"/>
        <v>#REF!</v>
      </c>
      <c r="F176" s="3">
        <f t="shared" si="166"/>
        <v>0.999999999999896</v>
      </c>
      <c r="G176" s="3">
        <f t="shared" si="166"/>
        <v>0.999999999999896</v>
      </c>
      <c r="H176" s="3">
        <f t="shared" si="166"/>
        <v>0.999999971667825</v>
      </c>
      <c r="I176" s="3">
        <f t="shared" si="166"/>
        <v>0.999999971667825</v>
      </c>
      <c r="J176" s="3">
        <f t="shared" si="166"/>
        <v>1</v>
      </c>
      <c r="K176" s="3">
        <f t="shared" si="166"/>
        <v>0.999999971667825</v>
      </c>
      <c r="L176" s="3">
        <f t="shared" si="166"/>
        <v>0.999999971667825</v>
      </c>
      <c r="M176" s="3" t="e">
        <f t="shared" si="166"/>
        <v>#REF!</v>
      </c>
      <c r="N176" s="3">
        <f t="shared" si="166"/>
        <v>1</v>
      </c>
      <c r="O176" s="3">
        <f t="shared" si="166"/>
        <v>1</v>
      </c>
      <c r="P176" s="3">
        <f t="shared" si="166"/>
        <v>1</v>
      </c>
      <c r="Q176" s="3">
        <f t="shared" si="166"/>
        <v>1</v>
      </c>
      <c r="R176" s="3">
        <f t="shared" si="166"/>
        <v>1</v>
      </c>
      <c r="S176" s="3">
        <f t="shared" si="166"/>
        <v>1</v>
      </c>
      <c r="T176" s="3">
        <f t="shared" si="166"/>
        <v>1</v>
      </c>
      <c r="U176" s="3">
        <f t="shared" si="166"/>
        <v>1</v>
      </c>
      <c r="V176" s="3">
        <f t="shared" si="166"/>
        <v>1</v>
      </c>
      <c r="W176" s="3">
        <f t="shared" si="166"/>
        <v>1</v>
      </c>
    </row>
    <row r="177" customHeight="1" spans="1:23">
      <c r="A177" s="2">
        <v>164</v>
      </c>
      <c r="B177" s="3">
        <f t="shared" ref="B177:W177" si="167">MIN(1,IF($A177&lt;B$4+B$3,0,IF(B$2=0,1,IF(B$5=0,1/(1+(B$6*EXP(-($A177-B$4)/B$7))),IF(MOD($A177-B$4,B$5)=0,1/(1+(B$6*EXP(-($A177-B$4)/B$7))),1/(1+(B$6*EXP(-(QUOTIENT($A177-B$4,B$5)*B$5)/B$7))))))))</f>
        <v>0.999999974996943</v>
      </c>
      <c r="C177" s="3">
        <f t="shared" si="167"/>
        <v>0.999999974996943</v>
      </c>
      <c r="D177" s="3" t="e">
        <f t="shared" si="167"/>
        <v>#DIV/0!</v>
      </c>
      <c r="E177" s="3" t="e">
        <f t="shared" si="167"/>
        <v>#REF!</v>
      </c>
      <c r="F177" s="3">
        <f t="shared" si="167"/>
        <v>0.999999999999915</v>
      </c>
      <c r="G177" s="3">
        <f t="shared" si="167"/>
        <v>0.999999999999915</v>
      </c>
      <c r="H177" s="3">
        <f t="shared" si="167"/>
        <v>0.999999974996943</v>
      </c>
      <c r="I177" s="3">
        <f t="shared" si="167"/>
        <v>0.999999974996943</v>
      </c>
      <c r="J177" s="3">
        <f t="shared" si="167"/>
        <v>1</v>
      </c>
      <c r="K177" s="3">
        <f t="shared" si="167"/>
        <v>0.999999974996943</v>
      </c>
      <c r="L177" s="3">
        <f t="shared" si="167"/>
        <v>0.999999974996943</v>
      </c>
      <c r="M177" s="3" t="e">
        <f t="shared" si="167"/>
        <v>#REF!</v>
      </c>
      <c r="N177" s="3">
        <f t="shared" si="167"/>
        <v>1</v>
      </c>
      <c r="O177" s="3">
        <f t="shared" si="167"/>
        <v>1</v>
      </c>
      <c r="P177" s="3">
        <f t="shared" si="167"/>
        <v>1</v>
      </c>
      <c r="Q177" s="3">
        <f t="shared" si="167"/>
        <v>1</v>
      </c>
      <c r="R177" s="3">
        <f t="shared" si="167"/>
        <v>1</v>
      </c>
      <c r="S177" s="3">
        <f t="shared" si="167"/>
        <v>1</v>
      </c>
      <c r="T177" s="3">
        <f t="shared" si="167"/>
        <v>1</v>
      </c>
      <c r="U177" s="3">
        <f t="shared" si="167"/>
        <v>1</v>
      </c>
      <c r="V177" s="3">
        <f t="shared" si="167"/>
        <v>1</v>
      </c>
      <c r="W177" s="3">
        <f t="shared" si="167"/>
        <v>1</v>
      </c>
    </row>
    <row r="178" customHeight="1" spans="1:23">
      <c r="A178" s="2">
        <v>165</v>
      </c>
      <c r="B178" s="3">
        <f t="shared" ref="B178:W178" si="168">MIN(1,IF($A178&lt;B$4+B$3,0,IF(B$2=0,1,IF(B$5=0,1/(1+(B$6*EXP(-($A178-B$4)/B$7))),IF(MOD($A178-B$4,B$5)=0,1/(1+(B$6*EXP(-($A178-B$4)/B$7))),1/(1+(B$6*EXP(-(QUOTIENT($A178-B$4,B$5)*B$5)/B$7))))))))</f>
        <v>0.99999997793488</v>
      </c>
      <c r="C178" s="3">
        <f t="shared" si="168"/>
        <v>0.99999997793488</v>
      </c>
      <c r="D178" s="3" t="e">
        <f t="shared" si="168"/>
        <v>#DIV/0!</v>
      </c>
      <c r="E178" s="3" t="e">
        <f t="shared" si="168"/>
        <v>#REF!</v>
      </c>
      <c r="F178" s="3">
        <f t="shared" si="168"/>
        <v>0.99999999999993</v>
      </c>
      <c r="G178" s="3">
        <f t="shared" si="168"/>
        <v>0.99999999999993</v>
      </c>
      <c r="H178" s="3">
        <f t="shared" si="168"/>
        <v>0.99999997793488</v>
      </c>
      <c r="I178" s="3">
        <f t="shared" si="168"/>
        <v>0.99999997793488</v>
      </c>
      <c r="J178" s="3">
        <f t="shared" si="168"/>
        <v>1</v>
      </c>
      <c r="K178" s="3">
        <f t="shared" si="168"/>
        <v>0.99999997793488</v>
      </c>
      <c r="L178" s="3">
        <f t="shared" si="168"/>
        <v>0.99999997793488</v>
      </c>
      <c r="M178" s="3" t="e">
        <f t="shared" si="168"/>
        <v>#REF!</v>
      </c>
      <c r="N178" s="3">
        <f t="shared" si="168"/>
        <v>1</v>
      </c>
      <c r="O178" s="3">
        <f t="shared" si="168"/>
        <v>1</v>
      </c>
      <c r="P178" s="3">
        <f t="shared" si="168"/>
        <v>1</v>
      </c>
      <c r="Q178" s="3">
        <f t="shared" si="168"/>
        <v>1</v>
      </c>
      <c r="R178" s="3">
        <f t="shared" si="168"/>
        <v>1</v>
      </c>
      <c r="S178" s="3">
        <f t="shared" si="168"/>
        <v>1</v>
      </c>
      <c r="T178" s="3">
        <f t="shared" si="168"/>
        <v>1</v>
      </c>
      <c r="U178" s="3">
        <f t="shared" si="168"/>
        <v>1</v>
      </c>
      <c r="V178" s="3">
        <f t="shared" si="168"/>
        <v>1</v>
      </c>
      <c r="W178" s="3">
        <f t="shared" si="168"/>
        <v>1</v>
      </c>
    </row>
    <row r="179" customHeight="1" spans="1:23">
      <c r="A179" s="2">
        <v>166</v>
      </c>
      <c r="B179" s="3">
        <f t="shared" ref="B179:W179" si="169">MIN(1,IF($A179&lt;B$4+B$3,0,IF(B$2=0,1,IF(B$5=0,1/(1+(B$6*EXP(-($A179-B$4)/B$7))),IF(MOD($A179-B$4,B$5)=0,1/(1+(B$6*EXP(-($A179-B$4)/B$7))),1/(1+(B$6*EXP(-(QUOTIENT($A179-B$4,B$5)*B$5)/B$7))))))))</f>
        <v>0.9999999805276</v>
      </c>
      <c r="C179" s="3">
        <f t="shared" si="169"/>
        <v>0.9999999805276</v>
      </c>
      <c r="D179" s="3" t="e">
        <f t="shared" si="169"/>
        <v>#DIV/0!</v>
      </c>
      <c r="E179" s="3" t="e">
        <f t="shared" si="169"/>
        <v>#REF!</v>
      </c>
      <c r="F179" s="3">
        <f t="shared" si="169"/>
        <v>0.999999999999943</v>
      </c>
      <c r="G179" s="3">
        <f t="shared" si="169"/>
        <v>0.999999999999943</v>
      </c>
      <c r="H179" s="3">
        <f t="shared" si="169"/>
        <v>0.9999999805276</v>
      </c>
      <c r="I179" s="3">
        <f t="shared" si="169"/>
        <v>0.9999999805276</v>
      </c>
      <c r="J179" s="3">
        <f t="shared" si="169"/>
        <v>1</v>
      </c>
      <c r="K179" s="3">
        <f t="shared" si="169"/>
        <v>0.9999999805276</v>
      </c>
      <c r="L179" s="3">
        <f t="shared" si="169"/>
        <v>0.9999999805276</v>
      </c>
      <c r="M179" s="3" t="e">
        <f t="shared" si="169"/>
        <v>#REF!</v>
      </c>
      <c r="N179" s="3">
        <f t="shared" si="169"/>
        <v>1</v>
      </c>
      <c r="O179" s="3">
        <f t="shared" si="169"/>
        <v>1</v>
      </c>
      <c r="P179" s="3">
        <f t="shared" si="169"/>
        <v>1</v>
      </c>
      <c r="Q179" s="3">
        <f t="shared" si="169"/>
        <v>1</v>
      </c>
      <c r="R179" s="3">
        <f t="shared" si="169"/>
        <v>1</v>
      </c>
      <c r="S179" s="3">
        <f t="shared" si="169"/>
        <v>1</v>
      </c>
      <c r="T179" s="3">
        <f t="shared" si="169"/>
        <v>1</v>
      </c>
      <c r="U179" s="3">
        <f t="shared" si="169"/>
        <v>1</v>
      </c>
      <c r="V179" s="3">
        <f t="shared" si="169"/>
        <v>1</v>
      </c>
      <c r="W179" s="3">
        <f t="shared" si="169"/>
        <v>1</v>
      </c>
    </row>
    <row r="180" customHeight="1" spans="1:23">
      <c r="A180" s="2">
        <v>167</v>
      </c>
      <c r="B180" s="3">
        <f t="shared" ref="B180:W180" si="170">MIN(1,IF($A180&lt;B$4+B$3,0,IF(B$2=0,1,IF(B$5=0,1/(1+(B$6*EXP(-($A180-B$4)/B$7))),IF(MOD($A180-B$4,B$5)=0,1/(1+(B$6*EXP(-($A180-B$4)/B$7))),1/(1+(B$6*EXP(-(QUOTIENT($A180-B$4,B$5)*B$5)/B$7))))))))</f>
        <v>0.999999982815667</v>
      </c>
      <c r="C180" s="3">
        <f t="shared" si="170"/>
        <v>0.999999982815667</v>
      </c>
      <c r="D180" s="3" t="e">
        <f t="shared" si="170"/>
        <v>#DIV/0!</v>
      </c>
      <c r="E180" s="3" t="e">
        <f t="shared" si="170"/>
        <v>#REF!</v>
      </c>
      <c r="F180" s="3">
        <f t="shared" si="170"/>
        <v>0.999999999999953</v>
      </c>
      <c r="G180" s="3">
        <f t="shared" si="170"/>
        <v>0.999999999999953</v>
      </c>
      <c r="H180" s="3">
        <f t="shared" si="170"/>
        <v>0.999999982815667</v>
      </c>
      <c r="I180" s="3">
        <f t="shared" si="170"/>
        <v>0.999999982815667</v>
      </c>
      <c r="J180" s="3">
        <f t="shared" si="170"/>
        <v>1</v>
      </c>
      <c r="K180" s="3">
        <f t="shared" si="170"/>
        <v>0.999999982815667</v>
      </c>
      <c r="L180" s="3">
        <f t="shared" si="170"/>
        <v>0.999999982815667</v>
      </c>
      <c r="M180" s="3" t="e">
        <f t="shared" si="170"/>
        <v>#REF!</v>
      </c>
      <c r="N180" s="3">
        <f t="shared" si="170"/>
        <v>1</v>
      </c>
      <c r="O180" s="3">
        <f t="shared" si="170"/>
        <v>1</v>
      </c>
      <c r="P180" s="3">
        <f t="shared" si="170"/>
        <v>1</v>
      </c>
      <c r="Q180" s="3">
        <f t="shared" si="170"/>
        <v>1</v>
      </c>
      <c r="R180" s="3">
        <f t="shared" si="170"/>
        <v>1</v>
      </c>
      <c r="S180" s="3">
        <f t="shared" si="170"/>
        <v>1</v>
      </c>
      <c r="T180" s="3">
        <f t="shared" si="170"/>
        <v>1</v>
      </c>
      <c r="U180" s="3">
        <f t="shared" si="170"/>
        <v>1</v>
      </c>
      <c r="V180" s="3">
        <f t="shared" si="170"/>
        <v>1</v>
      </c>
      <c r="W180" s="3">
        <f t="shared" si="170"/>
        <v>1</v>
      </c>
    </row>
    <row r="181" customHeight="1" spans="1:23">
      <c r="A181" s="2">
        <v>168</v>
      </c>
      <c r="B181" s="3">
        <f t="shared" ref="B181:W181" si="171">MIN(1,IF($A181&lt;B$4+B$3,0,IF(B$2=0,1,IF(B$5=0,1/(1+(B$6*EXP(-($A181-B$4)/B$7))),IF(MOD($A181-B$4,B$5)=0,1/(1+(B$6*EXP(-($A181-B$4)/B$7))),1/(1+(B$6*EXP(-(QUOTIENT($A181-B$4,B$5)*B$5)/B$7))))))))</f>
        <v>0.999999984834879</v>
      </c>
      <c r="C181" s="3">
        <f t="shared" si="171"/>
        <v>0.999999984834879</v>
      </c>
      <c r="D181" s="3" t="e">
        <f t="shared" si="171"/>
        <v>#DIV/0!</v>
      </c>
      <c r="E181" s="3" t="e">
        <f t="shared" si="171"/>
        <v>#REF!</v>
      </c>
      <c r="F181" s="3">
        <f t="shared" si="171"/>
        <v>0.999999999999962</v>
      </c>
      <c r="G181" s="3">
        <f t="shared" si="171"/>
        <v>0.999999999999962</v>
      </c>
      <c r="H181" s="3">
        <f t="shared" si="171"/>
        <v>0.999999984834879</v>
      </c>
      <c r="I181" s="3">
        <f t="shared" si="171"/>
        <v>0.999999984834879</v>
      </c>
      <c r="J181" s="3">
        <f t="shared" si="171"/>
        <v>1</v>
      </c>
      <c r="K181" s="3">
        <f t="shared" si="171"/>
        <v>0.999999984834879</v>
      </c>
      <c r="L181" s="3">
        <f t="shared" si="171"/>
        <v>0.999999984834879</v>
      </c>
      <c r="M181" s="3" t="e">
        <f t="shared" si="171"/>
        <v>#REF!</v>
      </c>
      <c r="N181" s="3">
        <f t="shared" si="171"/>
        <v>1</v>
      </c>
      <c r="O181" s="3">
        <f t="shared" si="171"/>
        <v>1</v>
      </c>
      <c r="P181" s="3">
        <f t="shared" si="171"/>
        <v>1</v>
      </c>
      <c r="Q181" s="3">
        <f t="shared" si="171"/>
        <v>1</v>
      </c>
      <c r="R181" s="3">
        <f t="shared" si="171"/>
        <v>1</v>
      </c>
      <c r="S181" s="3">
        <f t="shared" si="171"/>
        <v>1</v>
      </c>
      <c r="T181" s="3">
        <f t="shared" si="171"/>
        <v>1</v>
      </c>
      <c r="U181" s="3">
        <f t="shared" si="171"/>
        <v>1</v>
      </c>
      <c r="V181" s="3">
        <f t="shared" si="171"/>
        <v>1</v>
      </c>
      <c r="W181" s="3">
        <f t="shared" si="171"/>
        <v>1</v>
      </c>
    </row>
    <row r="182" customHeight="1" spans="1:23">
      <c r="A182" s="2">
        <v>169</v>
      </c>
      <c r="B182" s="3">
        <f t="shared" ref="B182:W182" si="172">MIN(1,IF($A182&lt;B$4+B$3,0,IF(B$2=0,1,IF(B$5=0,1/(1+(B$6*EXP(-($A182-B$4)/B$7))),IF(MOD($A182-B$4,B$5)=0,1/(1+(B$6*EXP(-($A182-B$4)/B$7))),1/(1+(B$6*EXP(-(QUOTIENT($A182-B$4,B$5)*B$5)/B$7))))))))</f>
        <v>0.999999986616828</v>
      </c>
      <c r="C182" s="3">
        <f t="shared" si="172"/>
        <v>0.999999986616828</v>
      </c>
      <c r="D182" s="3" t="e">
        <f t="shared" si="172"/>
        <v>#DIV/0!</v>
      </c>
      <c r="E182" s="3" t="e">
        <f t="shared" si="172"/>
        <v>#REF!</v>
      </c>
      <c r="F182" s="3">
        <f t="shared" si="172"/>
        <v>0.999999999999969</v>
      </c>
      <c r="G182" s="3">
        <f t="shared" si="172"/>
        <v>0.999999999999969</v>
      </c>
      <c r="H182" s="3">
        <f t="shared" si="172"/>
        <v>0.999999986616828</v>
      </c>
      <c r="I182" s="3">
        <f t="shared" si="172"/>
        <v>0.999999986616828</v>
      </c>
      <c r="J182" s="3">
        <f t="shared" si="172"/>
        <v>1</v>
      </c>
      <c r="K182" s="3">
        <f t="shared" si="172"/>
        <v>0.999999986616828</v>
      </c>
      <c r="L182" s="3">
        <f t="shared" si="172"/>
        <v>0.999999986616828</v>
      </c>
      <c r="M182" s="3" t="e">
        <f t="shared" si="172"/>
        <v>#REF!</v>
      </c>
      <c r="N182" s="3">
        <f t="shared" si="172"/>
        <v>1</v>
      </c>
      <c r="O182" s="3">
        <f t="shared" si="172"/>
        <v>1</v>
      </c>
      <c r="P182" s="3">
        <f t="shared" si="172"/>
        <v>1</v>
      </c>
      <c r="Q182" s="3">
        <f t="shared" si="172"/>
        <v>1</v>
      </c>
      <c r="R182" s="3">
        <f t="shared" si="172"/>
        <v>1</v>
      </c>
      <c r="S182" s="3">
        <f t="shared" si="172"/>
        <v>1</v>
      </c>
      <c r="T182" s="3">
        <f t="shared" si="172"/>
        <v>1</v>
      </c>
      <c r="U182" s="3">
        <f t="shared" si="172"/>
        <v>1</v>
      </c>
      <c r="V182" s="3">
        <f t="shared" si="172"/>
        <v>1</v>
      </c>
      <c r="W182" s="3">
        <f t="shared" si="172"/>
        <v>1</v>
      </c>
    </row>
    <row r="183" customHeight="1" spans="1:23">
      <c r="A183" s="2">
        <v>170</v>
      </c>
      <c r="B183" s="3">
        <f t="shared" ref="B183:W183" si="173">MIN(1,IF($A183&lt;B$4+B$3,0,IF(B$2=0,1,IF(B$5=0,1/(1+(B$6*EXP(-($A183-B$4)/B$7))),IF(MOD($A183-B$4,B$5)=0,1/(1+(B$6*EXP(-($A183-B$4)/B$7))),1/(1+(B$6*EXP(-(QUOTIENT($A183-B$4,B$5)*B$5)/B$7))))))))</f>
        <v>0.999999988189392</v>
      </c>
      <c r="C183" s="3">
        <f t="shared" si="173"/>
        <v>0.999999988189392</v>
      </c>
      <c r="D183" s="3" t="e">
        <f t="shared" si="173"/>
        <v>#DIV/0!</v>
      </c>
      <c r="E183" s="3" t="e">
        <f t="shared" si="173"/>
        <v>#REF!</v>
      </c>
      <c r="F183" s="3">
        <f t="shared" si="173"/>
        <v>0.999999999999974</v>
      </c>
      <c r="G183" s="3">
        <f t="shared" si="173"/>
        <v>0.999999999999974</v>
      </c>
      <c r="H183" s="3">
        <f t="shared" si="173"/>
        <v>0.999999988189392</v>
      </c>
      <c r="I183" s="3">
        <f t="shared" si="173"/>
        <v>0.999999988189392</v>
      </c>
      <c r="J183" s="3">
        <f t="shared" si="173"/>
        <v>1</v>
      </c>
      <c r="K183" s="3">
        <f t="shared" si="173"/>
        <v>0.999999988189392</v>
      </c>
      <c r="L183" s="3">
        <f t="shared" si="173"/>
        <v>0.999999988189392</v>
      </c>
      <c r="M183" s="3" t="e">
        <f t="shared" si="173"/>
        <v>#REF!</v>
      </c>
      <c r="N183" s="3">
        <f t="shared" si="173"/>
        <v>1</v>
      </c>
      <c r="O183" s="3">
        <f t="shared" si="173"/>
        <v>1</v>
      </c>
      <c r="P183" s="3">
        <f t="shared" si="173"/>
        <v>1</v>
      </c>
      <c r="Q183" s="3">
        <f t="shared" si="173"/>
        <v>1</v>
      </c>
      <c r="R183" s="3">
        <f t="shared" si="173"/>
        <v>1</v>
      </c>
      <c r="S183" s="3">
        <f t="shared" si="173"/>
        <v>1</v>
      </c>
      <c r="T183" s="3">
        <f t="shared" si="173"/>
        <v>1</v>
      </c>
      <c r="U183" s="3">
        <f t="shared" si="173"/>
        <v>1</v>
      </c>
      <c r="V183" s="3">
        <f t="shared" si="173"/>
        <v>1</v>
      </c>
      <c r="W183" s="3">
        <f t="shared" si="173"/>
        <v>1</v>
      </c>
    </row>
    <row r="184" customHeight="1" spans="1:23">
      <c r="A184" s="2">
        <v>171</v>
      </c>
      <c r="B184" s="3">
        <f t="shared" ref="B184:W184" si="174">MIN(1,IF($A184&lt;B$4+B$3,0,IF(B$2=0,1,IF(B$5=0,1/(1+(B$6*EXP(-($A184-B$4)/B$7))),IF(MOD($A184-B$4,B$5)=0,1/(1+(B$6*EXP(-($A184-B$4)/B$7))),1/(1+(B$6*EXP(-(QUOTIENT($A184-B$4,B$5)*B$5)/B$7))))))))</f>
        <v>0.999999989577175</v>
      </c>
      <c r="C184" s="3">
        <f t="shared" si="174"/>
        <v>0.999999989577175</v>
      </c>
      <c r="D184" s="3" t="e">
        <f t="shared" si="174"/>
        <v>#DIV/0!</v>
      </c>
      <c r="E184" s="3" t="e">
        <f t="shared" si="174"/>
        <v>#REF!</v>
      </c>
      <c r="F184" s="3">
        <f t="shared" si="174"/>
        <v>0.999999999999979</v>
      </c>
      <c r="G184" s="3">
        <f t="shared" si="174"/>
        <v>0.999999999999979</v>
      </c>
      <c r="H184" s="3">
        <f t="shared" si="174"/>
        <v>0.999999989577175</v>
      </c>
      <c r="I184" s="3">
        <f t="shared" si="174"/>
        <v>0.999999989577175</v>
      </c>
      <c r="J184" s="3">
        <f t="shared" si="174"/>
        <v>1</v>
      </c>
      <c r="K184" s="3">
        <f t="shared" si="174"/>
        <v>0.999999989577175</v>
      </c>
      <c r="L184" s="3">
        <f t="shared" si="174"/>
        <v>0.999999989577175</v>
      </c>
      <c r="M184" s="3" t="e">
        <f t="shared" si="174"/>
        <v>#REF!</v>
      </c>
      <c r="N184" s="3">
        <f t="shared" si="174"/>
        <v>1</v>
      </c>
      <c r="O184" s="3">
        <f t="shared" si="174"/>
        <v>1</v>
      </c>
      <c r="P184" s="3">
        <f t="shared" si="174"/>
        <v>1</v>
      </c>
      <c r="Q184" s="3">
        <f t="shared" si="174"/>
        <v>1</v>
      </c>
      <c r="R184" s="3">
        <f t="shared" si="174"/>
        <v>1</v>
      </c>
      <c r="S184" s="3">
        <f t="shared" si="174"/>
        <v>1</v>
      </c>
      <c r="T184" s="3">
        <f t="shared" si="174"/>
        <v>1</v>
      </c>
      <c r="U184" s="3">
        <f t="shared" si="174"/>
        <v>1</v>
      </c>
      <c r="V184" s="3">
        <f t="shared" si="174"/>
        <v>1</v>
      </c>
      <c r="W184" s="3">
        <f t="shared" si="174"/>
        <v>1</v>
      </c>
    </row>
    <row r="185" customHeight="1" spans="1:23">
      <c r="A185" s="2">
        <v>172</v>
      </c>
      <c r="B185" s="3">
        <f t="shared" ref="B185:W185" si="175">MIN(1,IF($A185&lt;B$4+B$3,0,IF(B$2=0,1,IF(B$5=0,1/(1+(B$6*EXP(-($A185-B$4)/B$7))),IF(MOD($A185-B$4,B$5)=0,1/(1+(B$6*EXP(-($A185-B$4)/B$7))),1/(1+(B$6*EXP(-(QUOTIENT($A185-B$4,B$5)*B$5)/B$7))))))))</f>
        <v>0.999999990801889</v>
      </c>
      <c r="C185" s="3">
        <f t="shared" si="175"/>
        <v>0.999999990801889</v>
      </c>
      <c r="D185" s="3" t="e">
        <f t="shared" si="175"/>
        <v>#DIV/0!</v>
      </c>
      <c r="E185" s="3" t="e">
        <f t="shared" si="175"/>
        <v>#REF!</v>
      </c>
      <c r="F185" s="3">
        <f t="shared" si="175"/>
        <v>0.999999999999983</v>
      </c>
      <c r="G185" s="3">
        <f t="shared" si="175"/>
        <v>0.999999999999983</v>
      </c>
      <c r="H185" s="3">
        <f t="shared" si="175"/>
        <v>0.999999990801889</v>
      </c>
      <c r="I185" s="3">
        <f t="shared" si="175"/>
        <v>0.999999990801889</v>
      </c>
      <c r="J185" s="3">
        <f t="shared" si="175"/>
        <v>1</v>
      </c>
      <c r="K185" s="3">
        <f t="shared" si="175"/>
        <v>0.999999990801889</v>
      </c>
      <c r="L185" s="3">
        <f t="shared" si="175"/>
        <v>0.999999990801889</v>
      </c>
      <c r="M185" s="3" t="e">
        <f t="shared" si="175"/>
        <v>#REF!</v>
      </c>
      <c r="N185" s="3">
        <f t="shared" si="175"/>
        <v>1</v>
      </c>
      <c r="O185" s="3">
        <f t="shared" si="175"/>
        <v>1</v>
      </c>
      <c r="P185" s="3">
        <f t="shared" si="175"/>
        <v>1</v>
      </c>
      <c r="Q185" s="3">
        <f t="shared" si="175"/>
        <v>1</v>
      </c>
      <c r="R185" s="3">
        <f t="shared" si="175"/>
        <v>1</v>
      </c>
      <c r="S185" s="3">
        <f t="shared" si="175"/>
        <v>1</v>
      </c>
      <c r="T185" s="3">
        <f t="shared" si="175"/>
        <v>1</v>
      </c>
      <c r="U185" s="3">
        <f t="shared" si="175"/>
        <v>1</v>
      </c>
      <c r="V185" s="3">
        <f t="shared" si="175"/>
        <v>1</v>
      </c>
      <c r="W185" s="3">
        <f t="shared" si="175"/>
        <v>1</v>
      </c>
    </row>
    <row r="186" customHeight="1" spans="1:23">
      <c r="A186" s="2">
        <v>173</v>
      </c>
      <c r="B186" s="3">
        <f t="shared" ref="B186:W186" si="176">MIN(1,IF($A186&lt;B$4+B$3,0,IF(B$2=0,1,IF(B$5=0,1/(1+(B$6*EXP(-($A186-B$4)/B$7))),IF(MOD($A186-B$4,B$5)=0,1/(1+(B$6*EXP(-($A186-B$4)/B$7))),1/(1+(B$6*EXP(-(QUOTIENT($A186-B$4,B$5)*B$5)/B$7))))))))</f>
        <v>0.999999991882696</v>
      </c>
      <c r="C186" s="3">
        <f t="shared" si="176"/>
        <v>0.999999991882696</v>
      </c>
      <c r="D186" s="3" t="e">
        <f t="shared" si="176"/>
        <v>#DIV/0!</v>
      </c>
      <c r="E186" s="3" t="e">
        <f t="shared" si="176"/>
        <v>#REF!</v>
      </c>
      <c r="F186" s="3">
        <f t="shared" si="176"/>
        <v>0.999999999999986</v>
      </c>
      <c r="G186" s="3">
        <f t="shared" si="176"/>
        <v>0.999999999999986</v>
      </c>
      <c r="H186" s="3">
        <f t="shared" si="176"/>
        <v>0.999999991882696</v>
      </c>
      <c r="I186" s="3">
        <f t="shared" si="176"/>
        <v>0.999999991882696</v>
      </c>
      <c r="J186" s="3">
        <f t="shared" si="176"/>
        <v>1</v>
      </c>
      <c r="K186" s="3">
        <f t="shared" si="176"/>
        <v>0.999999991882696</v>
      </c>
      <c r="L186" s="3">
        <f t="shared" si="176"/>
        <v>0.999999991882696</v>
      </c>
      <c r="M186" s="3" t="e">
        <f t="shared" si="176"/>
        <v>#REF!</v>
      </c>
      <c r="N186" s="3">
        <f t="shared" si="176"/>
        <v>1</v>
      </c>
      <c r="O186" s="3">
        <f t="shared" si="176"/>
        <v>1</v>
      </c>
      <c r="P186" s="3">
        <f t="shared" si="176"/>
        <v>1</v>
      </c>
      <c r="Q186" s="3">
        <f t="shared" si="176"/>
        <v>1</v>
      </c>
      <c r="R186" s="3">
        <f t="shared" si="176"/>
        <v>1</v>
      </c>
      <c r="S186" s="3">
        <f t="shared" si="176"/>
        <v>1</v>
      </c>
      <c r="T186" s="3">
        <f t="shared" si="176"/>
        <v>1</v>
      </c>
      <c r="U186" s="3">
        <f t="shared" si="176"/>
        <v>1</v>
      </c>
      <c r="V186" s="3">
        <f t="shared" si="176"/>
        <v>1</v>
      </c>
      <c r="W186" s="3">
        <f t="shared" si="176"/>
        <v>1</v>
      </c>
    </row>
    <row r="187" customHeight="1" spans="1:23">
      <c r="A187" s="2">
        <v>174</v>
      </c>
      <c r="B187" s="3">
        <f t="shared" ref="B187:W187" si="177">MIN(1,IF($A187&lt;B$4+B$3,0,IF(B$2=0,1,IF(B$5=0,1/(1+(B$6*EXP(-($A187-B$4)/B$7))),IF(MOD($A187-B$4,B$5)=0,1/(1+(B$6*EXP(-($A187-B$4)/B$7))),1/(1+(B$6*EXP(-(QUOTIENT($A187-B$4,B$5)*B$5)/B$7))))))))</f>
        <v>0.999999992836504</v>
      </c>
      <c r="C187" s="3">
        <f t="shared" si="177"/>
        <v>0.999999992836504</v>
      </c>
      <c r="D187" s="3" t="e">
        <f t="shared" si="177"/>
        <v>#DIV/0!</v>
      </c>
      <c r="E187" s="3" t="e">
        <f t="shared" si="177"/>
        <v>#REF!</v>
      </c>
      <c r="F187" s="3">
        <f t="shared" si="177"/>
        <v>0.999999999999988</v>
      </c>
      <c r="G187" s="3">
        <f t="shared" si="177"/>
        <v>0.999999999999988</v>
      </c>
      <c r="H187" s="3">
        <f t="shared" si="177"/>
        <v>0.999999992836504</v>
      </c>
      <c r="I187" s="3">
        <f t="shared" si="177"/>
        <v>0.999999992836504</v>
      </c>
      <c r="J187" s="3">
        <f t="shared" si="177"/>
        <v>1</v>
      </c>
      <c r="K187" s="3">
        <f t="shared" si="177"/>
        <v>0.999999992836504</v>
      </c>
      <c r="L187" s="3">
        <f t="shared" si="177"/>
        <v>0.999999992836504</v>
      </c>
      <c r="M187" s="3" t="e">
        <f t="shared" si="177"/>
        <v>#REF!</v>
      </c>
      <c r="N187" s="3">
        <f t="shared" si="177"/>
        <v>1</v>
      </c>
      <c r="O187" s="3">
        <f t="shared" si="177"/>
        <v>1</v>
      </c>
      <c r="P187" s="3">
        <f t="shared" si="177"/>
        <v>1</v>
      </c>
      <c r="Q187" s="3">
        <f t="shared" si="177"/>
        <v>1</v>
      </c>
      <c r="R187" s="3">
        <f t="shared" si="177"/>
        <v>1</v>
      </c>
      <c r="S187" s="3">
        <f t="shared" si="177"/>
        <v>1</v>
      </c>
      <c r="T187" s="3">
        <f t="shared" si="177"/>
        <v>1</v>
      </c>
      <c r="U187" s="3">
        <f t="shared" si="177"/>
        <v>1</v>
      </c>
      <c r="V187" s="3">
        <f t="shared" si="177"/>
        <v>1</v>
      </c>
      <c r="W187" s="3">
        <f t="shared" si="177"/>
        <v>1</v>
      </c>
    </row>
    <row r="188" customHeight="1" spans="1:23">
      <c r="A188" s="2">
        <v>175</v>
      </c>
      <c r="B188" s="3">
        <f t="shared" ref="B188:W188" si="178">MIN(1,IF($A188&lt;B$4+B$3,0,IF(B$2=0,1,IF(B$5=0,1/(1+(B$6*EXP(-($A188-B$4)/B$7))),IF(MOD($A188-B$4,B$5)=0,1/(1+(B$6*EXP(-($A188-B$4)/B$7))),1/(1+(B$6*EXP(-(QUOTIENT($A188-B$4,B$5)*B$5)/B$7))))))))</f>
        <v>0.999999993678237</v>
      </c>
      <c r="C188" s="3">
        <f t="shared" si="178"/>
        <v>0.999999993678237</v>
      </c>
      <c r="D188" s="3" t="e">
        <f t="shared" si="178"/>
        <v>#DIV/0!</v>
      </c>
      <c r="E188" s="3" t="e">
        <f t="shared" si="178"/>
        <v>#REF!</v>
      </c>
      <c r="F188" s="3">
        <f t="shared" si="178"/>
        <v>0.99999999999999</v>
      </c>
      <c r="G188" s="3">
        <f t="shared" si="178"/>
        <v>0.99999999999999</v>
      </c>
      <c r="H188" s="3">
        <f t="shared" si="178"/>
        <v>0.999999993678237</v>
      </c>
      <c r="I188" s="3">
        <f t="shared" si="178"/>
        <v>0.999999993678237</v>
      </c>
      <c r="J188" s="3">
        <f t="shared" si="178"/>
        <v>1</v>
      </c>
      <c r="K188" s="3">
        <f t="shared" si="178"/>
        <v>0.999999993678237</v>
      </c>
      <c r="L188" s="3">
        <f t="shared" si="178"/>
        <v>0.999999993678237</v>
      </c>
      <c r="M188" s="3" t="e">
        <f t="shared" si="178"/>
        <v>#REF!</v>
      </c>
      <c r="N188" s="3">
        <f t="shared" si="178"/>
        <v>1</v>
      </c>
      <c r="O188" s="3">
        <f t="shared" si="178"/>
        <v>1</v>
      </c>
      <c r="P188" s="3">
        <f t="shared" si="178"/>
        <v>1</v>
      </c>
      <c r="Q188" s="3">
        <f t="shared" si="178"/>
        <v>1</v>
      </c>
      <c r="R188" s="3">
        <f t="shared" si="178"/>
        <v>1</v>
      </c>
      <c r="S188" s="3">
        <f t="shared" si="178"/>
        <v>1</v>
      </c>
      <c r="T188" s="3">
        <f t="shared" si="178"/>
        <v>1</v>
      </c>
      <c r="U188" s="3">
        <f t="shared" si="178"/>
        <v>1</v>
      </c>
      <c r="V188" s="3">
        <f t="shared" si="178"/>
        <v>1</v>
      </c>
      <c r="W188" s="3">
        <f t="shared" si="178"/>
        <v>1</v>
      </c>
    </row>
    <row r="189" customHeight="1" spans="1:23">
      <c r="A189" s="2">
        <v>176</v>
      </c>
      <c r="B189" s="3">
        <f t="shared" ref="B189:W189" si="179">MIN(1,IF($A189&lt;B$4+B$3,0,IF(B$2=0,1,IF(B$5=0,1/(1+(B$6*EXP(-($A189-B$4)/B$7))),IF(MOD($A189-B$4,B$5)=0,1/(1+(B$6*EXP(-($A189-B$4)/B$7))),1/(1+(B$6*EXP(-(QUOTIENT($A189-B$4,B$5)*B$5)/B$7))))))))</f>
        <v>0.999999994421064</v>
      </c>
      <c r="C189" s="3">
        <f t="shared" si="179"/>
        <v>0.999999994421064</v>
      </c>
      <c r="D189" s="3" t="e">
        <f t="shared" si="179"/>
        <v>#DIV/0!</v>
      </c>
      <c r="E189" s="3" t="e">
        <f t="shared" si="179"/>
        <v>#REF!</v>
      </c>
      <c r="F189" s="3">
        <f t="shared" si="179"/>
        <v>0.999999999999992</v>
      </c>
      <c r="G189" s="3">
        <f t="shared" si="179"/>
        <v>0.999999999999992</v>
      </c>
      <c r="H189" s="3">
        <f t="shared" si="179"/>
        <v>0.999999994421064</v>
      </c>
      <c r="I189" s="3">
        <f t="shared" si="179"/>
        <v>0.999999994421064</v>
      </c>
      <c r="J189" s="3">
        <f t="shared" si="179"/>
        <v>1</v>
      </c>
      <c r="K189" s="3">
        <f t="shared" si="179"/>
        <v>0.999999994421064</v>
      </c>
      <c r="L189" s="3">
        <f t="shared" si="179"/>
        <v>0.999999994421064</v>
      </c>
      <c r="M189" s="3" t="e">
        <f t="shared" si="179"/>
        <v>#REF!</v>
      </c>
      <c r="N189" s="3">
        <f t="shared" si="179"/>
        <v>1</v>
      </c>
      <c r="O189" s="3">
        <f t="shared" si="179"/>
        <v>1</v>
      </c>
      <c r="P189" s="3">
        <f t="shared" si="179"/>
        <v>1</v>
      </c>
      <c r="Q189" s="3">
        <f t="shared" si="179"/>
        <v>1</v>
      </c>
      <c r="R189" s="3">
        <f t="shared" si="179"/>
        <v>1</v>
      </c>
      <c r="S189" s="3">
        <f t="shared" si="179"/>
        <v>1</v>
      </c>
      <c r="T189" s="3">
        <f t="shared" si="179"/>
        <v>1</v>
      </c>
      <c r="U189" s="3">
        <f t="shared" si="179"/>
        <v>1</v>
      </c>
      <c r="V189" s="3">
        <f t="shared" si="179"/>
        <v>1</v>
      </c>
      <c r="W189" s="3">
        <f t="shared" si="179"/>
        <v>1</v>
      </c>
    </row>
    <row r="190" customHeight="1" spans="1:23">
      <c r="A190" s="2">
        <v>177</v>
      </c>
      <c r="B190" s="3">
        <f t="shared" ref="B190:W190" si="180">MIN(1,IF($A190&lt;B$4+B$3,0,IF(B$2=0,1,IF(B$5=0,1/(1+(B$6*EXP(-($A190-B$4)/B$7))),IF(MOD($A190-B$4,B$5)=0,1/(1+(B$6*EXP(-($A190-B$4)/B$7))),1/(1+(B$6*EXP(-(QUOTIENT($A190-B$4,B$5)*B$5)/B$7))))))))</f>
        <v>0.999999995076606</v>
      </c>
      <c r="C190" s="3">
        <f t="shared" si="180"/>
        <v>0.999999995076606</v>
      </c>
      <c r="D190" s="3" t="e">
        <f t="shared" si="180"/>
        <v>#DIV/0!</v>
      </c>
      <c r="E190" s="3" t="e">
        <f t="shared" si="180"/>
        <v>#REF!</v>
      </c>
      <c r="F190" s="3">
        <f t="shared" si="180"/>
        <v>0.999999999999994</v>
      </c>
      <c r="G190" s="3">
        <f t="shared" si="180"/>
        <v>0.999999999999994</v>
      </c>
      <c r="H190" s="3">
        <f t="shared" si="180"/>
        <v>0.999999995076606</v>
      </c>
      <c r="I190" s="3">
        <f t="shared" si="180"/>
        <v>0.999999995076606</v>
      </c>
      <c r="J190" s="3">
        <f t="shared" si="180"/>
        <v>1</v>
      </c>
      <c r="K190" s="3">
        <f t="shared" si="180"/>
        <v>0.999999995076606</v>
      </c>
      <c r="L190" s="3">
        <f t="shared" si="180"/>
        <v>0.999999995076606</v>
      </c>
      <c r="M190" s="3" t="e">
        <f t="shared" si="180"/>
        <v>#REF!</v>
      </c>
      <c r="N190" s="3">
        <f t="shared" si="180"/>
        <v>1</v>
      </c>
      <c r="O190" s="3">
        <f t="shared" si="180"/>
        <v>1</v>
      </c>
      <c r="P190" s="3">
        <f t="shared" si="180"/>
        <v>1</v>
      </c>
      <c r="Q190" s="3">
        <f t="shared" si="180"/>
        <v>1</v>
      </c>
      <c r="R190" s="3">
        <f t="shared" si="180"/>
        <v>1</v>
      </c>
      <c r="S190" s="3">
        <f t="shared" si="180"/>
        <v>1</v>
      </c>
      <c r="T190" s="3">
        <f t="shared" si="180"/>
        <v>1</v>
      </c>
      <c r="U190" s="3">
        <f t="shared" si="180"/>
        <v>1</v>
      </c>
      <c r="V190" s="3">
        <f t="shared" si="180"/>
        <v>1</v>
      </c>
      <c r="W190" s="3">
        <f t="shared" si="180"/>
        <v>1</v>
      </c>
    </row>
    <row r="191" customHeight="1" spans="1:23">
      <c r="A191" s="2">
        <v>178</v>
      </c>
      <c r="B191" s="3">
        <f t="shared" ref="B191:W191" si="181">MIN(1,IF($A191&lt;B$4+B$3,0,IF(B$2=0,1,IF(B$5=0,1/(1+(B$6*EXP(-($A191-B$4)/B$7))),IF(MOD($A191-B$4,B$5)=0,1/(1+(B$6*EXP(-($A191-B$4)/B$7))),1/(1+(B$6*EXP(-(QUOTIENT($A191-B$4,B$5)*B$5)/B$7))))))))</f>
        <v>0.99999999565512</v>
      </c>
      <c r="C191" s="3">
        <f t="shared" si="181"/>
        <v>0.99999999565512</v>
      </c>
      <c r="D191" s="3" t="e">
        <f t="shared" si="181"/>
        <v>#DIV/0!</v>
      </c>
      <c r="E191" s="3" t="e">
        <f t="shared" si="181"/>
        <v>#REF!</v>
      </c>
      <c r="F191" s="3">
        <f t="shared" si="181"/>
        <v>0.999999999999995</v>
      </c>
      <c r="G191" s="3">
        <f t="shared" si="181"/>
        <v>0.999999999999995</v>
      </c>
      <c r="H191" s="3">
        <f t="shared" si="181"/>
        <v>0.99999999565512</v>
      </c>
      <c r="I191" s="3">
        <f t="shared" si="181"/>
        <v>0.99999999565512</v>
      </c>
      <c r="J191" s="3">
        <f t="shared" si="181"/>
        <v>1</v>
      </c>
      <c r="K191" s="3">
        <f t="shared" si="181"/>
        <v>0.99999999565512</v>
      </c>
      <c r="L191" s="3">
        <f t="shared" si="181"/>
        <v>0.99999999565512</v>
      </c>
      <c r="M191" s="3" t="e">
        <f t="shared" si="181"/>
        <v>#REF!</v>
      </c>
      <c r="N191" s="3">
        <f t="shared" si="181"/>
        <v>1</v>
      </c>
      <c r="O191" s="3">
        <f t="shared" si="181"/>
        <v>1</v>
      </c>
      <c r="P191" s="3">
        <f t="shared" si="181"/>
        <v>1</v>
      </c>
      <c r="Q191" s="3">
        <f t="shared" si="181"/>
        <v>1</v>
      </c>
      <c r="R191" s="3">
        <f t="shared" si="181"/>
        <v>1</v>
      </c>
      <c r="S191" s="3">
        <f t="shared" si="181"/>
        <v>1</v>
      </c>
      <c r="T191" s="3">
        <f t="shared" si="181"/>
        <v>1</v>
      </c>
      <c r="U191" s="3">
        <f t="shared" si="181"/>
        <v>1</v>
      </c>
      <c r="V191" s="3">
        <f t="shared" si="181"/>
        <v>1</v>
      </c>
      <c r="W191" s="3">
        <f t="shared" si="181"/>
        <v>1</v>
      </c>
    </row>
    <row r="192" customHeight="1" spans="1:23">
      <c r="A192" s="2">
        <v>179</v>
      </c>
      <c r="B192" s="3">
        <f t="shared" ref="B192:W192" si="182">MIN(1,IF($A192&lt;B$4+B$3,0,IF(B$2=0,1,IF(B$5=0,1/(1+(B$6*EXP(-($A192-B$4)/B$7))),IF(MOD($A192-B$4,B$5)=0,1/(1+(B$6*EXP(-($A192-B$4)/B$7))),1/(1+(B$6*EXP(-(QUOTIENT($A192-B$4,B$5)*B$5)/B$7))))))))</f>
        <v>0.999999996165657</v>
      </c>
      <c r="C192" s="3">
        <f t="shared" si="182"/>
        <v>0.999999996165657</v>
      </c>
      <c r="D192" s="3" t="e">
        <f t="shared" si="182"/>
        <v>#DIV/0!</v>
      </c>
      <c r="E192" s="3" t="e">
        <f t="shared" si="182"/>
        <v>#REF!</v>
      </c>
      <c r="F192" s="3">
        <f t="shared" si="182"/>
        <v>0.999999999999996</v>
      </c>
      <c r="G192" s="3">
        <f t="shared" si="182"/>
        <v>0.999999999999996</v>
      </c>
      <c r="H192" s="3">
        <f t="shared" si="182"/>
        <v>0.999999996165657</v>
      </c>
      <c r="I192" s="3">
        <f t="shared" si="182"/>
        <v>0.999999996165657</v>
      </c>
      <c r="J192" s="3">
        <f t="shared" si="182"/>
        <v>1</v>
      </c>
      <c r="K192" s="3">
        <f t="shared" si="182"/>
        <v>0.999999996165657</v>
      </c>
      <c r="L192" s="3">
        <f t="shared" si="182"/>
        <v>0.999999996165657</v>
      </c>
      <c r="M192" s="3" t="e">
        <f t="shared" si="182"/>
        <v>#REF!</v>
      </c>
      <c r="N192" s="3">
        <f t="shared" si="182"/>
        <v>1</v>
      </c>
      <c r="O192" s="3">
        <f t="shared" si="182"/>
        <v>1</v>
      </c>
      <c r="P192" s="3">
        <f t="shared" si="182"/>
        <v>1</v>
      </c>
      <c r="Q192" s="3">
        <f t="shared" si="182"/>
        <v>1</v>
      </c>
      <c r="R192" s="3">
        <f t="shared" si="182"/>
        <v>1</v>
      </c>
      <c r="S192" s="3">
        <f t="shared" si="182"/>
        <v>1</v>
      </c>
      <c r="T192" s="3">
        <f t="shared" si="182"/>
        <v>1</v>
      </c>
      <c r="U192" s="3">
        <f t="shared" si="182"/>
        <v>1</v>
      </c>
      <c r="V192" s="3">
        <f t="shared" si="182"/>
        <v>1</v>
      </c>
      <c r="W192" s="3">
        <f t="shared" si="182"/>
        <v>1</v>
      </c>
    </row>
    <row r="193" customHeight="1" spans="1:23">
      <c r="A193" s="2">
        <v>180</v>
      </c>
      <c r="B193" s="3">
        <f t="shared" ref="B193:W193" si="183">MIN(1,IF($A193&lt;B$4+B$3,0,IF(B$2=0,1,IF(B$5=0,1/(1+(B$6*EXP(-($A193-B$4)/B$7))),IF(MOD($A193-B$4,B$5)=0,1/(1+(B$6*EXP(-($A193-B$4)/B$7))),1/(1+(B$6*EXP(-(QUOTIENT($A193-B$4,B$5)*B$5)/B$7))))))))</f>
        <v>0.999999996616204</v>
      </c>
      <c r="C193" s="3">
        <f t="shared" si="183"/>
        <v>0.999999996616204</v>
      </c>
      <c r="D193" s="3" t="e">
        <f t="shared" si="183"/>
        <v>#DIV/0!</v>
      </c>
      <c r="E193" s="3" t="e">
        <f t="shared" si="183"/>
        <v>#REF!</v>
      </c>
      <c r="F193" s="3">
        <f t="shared" si="183"/>
        <v>0.999999999999996</v>
      </c>
      <c r="G193" s="3">
        <f t="shared" si="183"/>
        <v>0.999999999999996</v>
      </c>
      <c r="H193" s="3">
        <f t="shared" si="183"/>
        <v>0.999999996616204</v>
      </c>
      <c r="I193" s="3">
        <f t="shared" si="183"/>
        <v>0.999999996616204</v>
      </c>
      <c r="J193" s="3">
        <f t="shared" si="183"/>
        <v>1</v>
      </c>
      <c r="K193" s="3">
        <f t="shared" si="183"/>
        <v>0.999999996616204</v>
      </c>
      <c r="L193" s="3">
        <f t="shared" si="183"/>
        <v>0.999999996616204</v>
      </c>
      <c r="M193" s="3" t="e">
        <f t="shared" si="183"/>
        <v>#REF!</v>
      </c>
      <c r="N193" s="3">
        <f t="shared" si="183"/>
        <v>1</v>
      </c>
      <c r="O193" s="3">
        <f t="shared" si="183"/>
        <v>1</v>
      </c>
      <c r="P193" s="3">
        <f t="shared" si="183"/>
        <v>1</v>
      </c>
      <c r="Q193" s="3">
        <f t="shared" si="183"/>
        <v>1</v>
      </c>
      <c r="R193" s="3">
        <f t="shared" si="183"/>
        <v>1</v>
      </c>
      <c r="S193" s="3">
        <f t="shared" si="183"/>
        <v>1</v>
      </c>
      <c r="T193" s="3">
        <f t="shared" si="183"/>
        <v>1</v>
      </c>
      <c r="U193" s="3">
        <f t="shared" si="183"/>
        <v>1</v>
      </c>
      <c r="V193" s="3">
        <f t="shared" si="183"/>
        <v>1</v>
      </c>
      <c r="W193" s="3">
        <f t="shared" si="183"/>
        <v>1</v>
      </c>
    </row>
    <row r="194" customHeight="1" spans="1:23">
      <c r="A194" s="2">
        <v>181</v>
      </c>
      <c r="B194" s="3">
        <f t="shared" ref="B194:W194" si="184">MIN(1,IF($A194&lt;B$4+B$3,0,IF(B$2=0,1,IF(B$5=0,1/(1+(B$6*EXP(-($A194-B$4)/B$7))),IF(MOD($A194-B$4,B$5)=0,1/(1+(B$6*EXP(-($A194-B$4)/B$7))),1/(1+(B$6*EXP(-(QUOTIENT($A194-B$4,B$5)*B$5)/B$7))))))))</f>
        <v>0.999999997013811</v>
      </c>
      <c r="C194" s="3">
        <f t="shared" si="184"/>
        <v>0.999999997013811</v>
      </c>
      <c r="D194" s="3" t="e">
        <f t="shared" si="184"/>
        <v>#DIV/0!</v>
      </c>
      <c r="E194" s="3" t="e">
        <f t="shared" si="184"/>
        <v>#REF!</v>
      </c>
      <c r="F194" s="3">
        <f t="shared" si="184"/>
        <v>0.999999999999997</v>
      </c>
      <c r="G194" s="3">
        <f t="shared" si="184"/>
        <v>0.999999999999997</v>
      </c>
      <c r="H194" s="3">
        <f t="shared" si="184"/>
        <v>0.999999997013811</v>
      </c>
      <c r="I194" s="3">
        <f t="shared" si="184"/>
        <v>0.999999997013811</v>
      </c>
      <c r="J194" s="3">
        <f t="shared" si="184"/>
        <v>1</v>
      </c>
      <c r="K194" s="3">
        <f t="shared" si="184"/>
        <v>0.999999997013811</v>
      </c>
      <c r="L194" s="3">
        <f t="shared" si="184"/>
        <v>0.999999997013811</v>
      </c>
      <c r="M194" s="3" t="e">
        <f t="shared" si="184"/>
        <v>#REF!</v>
      </c>
      <c r="N194" s="3">
        <f t="shared" si="184"/>
        <v>1</v>
      </c>
      <c r="O194" s="3">
        <f t="shared" si="184"/>
        <v>1</v>
      </c>
      <c r="P194" s="3">
        <f t="shared" si="184"/>
        <v>1</v>
      </c>
      <c r="Q194" s="3">
        <f t="shared" si="184"/>
        <v>1</v>
      </c>
      <c r="R194" s="3">
        <f t="shared" si="184"/>
        <v>1</v>
      </c>
      <c r="S194" s="3">
        <f t="shared" si="184"/>
        <v>1</v>
      </c>
      <c r="T194" s="3">
        <f t="shared" si="184"/>
        <v>1</v>
      </c>
      <c r="U194" s="3">
        <f t="shared" si="184"/>
        <v>1</v>
      </c>
      <c r="V194" s="3">
        <f t="shared" si="184"/>
        <v>1</v>
      </c>
      <c r="W194" s="3">
        <f t="shared" si="184"/>
        <v>1</v>
      </c>
    </row>
    <row r="195" customHeight="1" spans="1:23">
      <c r="A195" s="2">
        <v>182</v>
      </c>
      <c r="B195" s="3">
        <f t="shared" ref="B195:W195" si="185">MIN(1,IF($A195&lt;B$4+B$3,0,IF(B$2=0,1,IF(B$5=0,1/(1+(B$6*EXP(-($A195-B$4)/B$7))),IF(MOD($A195-B$4,B$5)=0,1/(1+(B$6*EXP(-($A195-B$4)/B$7))),1/(1+(B$6*EXP(-(QUOTIENT($A195-B$4,B$5)*B$5)/B$7))))))))</f>
        <v>0.999999997364697</v>
      </c>
      <c r="C195" s="3">
        <f t="shared" si="185"/>
        <v>0.999999997364697</v>
      </c>
      <c r="D195" s="3" t="e">
        <f t="shared" si="185"/>
        <v>#DIV/0!</v>
      </c>
      <c r="E195" s="3" t="e">
        <f t="shared" si="185"/>
        <v>#REF!</v>
      </c>
      <c r="F195" s="3">
        <f t="shared" si="185"/>
        <v>0.999999999999998</v>
      </c>
      <c r="G195" s="3">
        <f t="shared" si="185"/>
        <v>0.999999999999998</v>
      </c>
      <c r="H195" s="3">
        <f t="shared" si="185"/>
        <v>0.999999997364697</v>
      </c>
      <c r="I195" s="3">
        <f t="shared" si="185"/>
        <v>0.999999997364697</v>
      </c>
      <c r="J195" s="3">
        <f t="shared" si="185"/>
        <v>1</v>
      </c>
      <c r="K195" s="3">
        <f t="shared" si="185"/>
        <v>0.999999997364697</v>
      </c>
      <c r="L195" s="3">
        <f t="shared" si="185"/>
        <v>0.999999997364697</v>
      </c>
      <c r="M195" s="3" t="e">
        <f t="shared" si="185"/>
        <v>#REF!</v>
      </c>
      <c r="N195" s="3">
        <f t="shared" si="185"/>
        <v>1</v>
      </c>
      <c r="O195" s="3">
        <f t="shared" si="185"/>
        <v>1</v>
      </c>
      <c r="P195" s="3">
        <f t="shared" si="185"/>
        <v>1</v>
      </c>
      <c r="Q195" s="3">
        <f t="shared" si="185"/>
        <v>1</v>
      </c>
      <c r="R195" s="3">
        <f t="shared" si="185"/>
        <v>1</v>
      </c>
      <c r="S195" s="3">
        <f t="shared" si="185"/>
        <v>1</v>
      </c>
      <c r="T195" s="3">
        <f t="shared" si="185"/>
        <v>1</v>
      </c>
      <c r="U195" s="3">
        <f t="shared" si="185"/>
        <v>1</v>
      </c>
      <c r="V195" s="3">
        <f t="shared" si="185"/>
        <v>1</v>
      </c>
      <c r="W195" s="3">
        <f t="shared" si="185"/>
        <v>1</v>
      </c>
    </row>
    <row r="196" customHeight="1" spans="1:23">
      <c r="A196" s="2">
        <v>183</v>
      </c>
      <c r="B196" s="3">
        <f t="shared" ref="B196:W196" si="186">MIN(1,IF($A196&lt;B$4+B$3,0,IF(B$2=0,1,IF(B$5=0,1/(1+(B$6*EXP(-($A196-B$4)/B$7))),IF(MOD($A196-B$4,B$5)=0,1/(1+(B$6*EXP(-($A196-B$4)/B$7))),1/(1+(B$6*EXP(-(QUOTIENT($A196-B$4,B$5)*B$5)/B$7))))))))</f>
        <v>0.999999997674353</v>
      </c>
      <c r="C196" s="3">
        <f t="shared" si="186"/>
        <v>0.999999997674353</v>
      </c>
      <c r="D196" s="3" t="e">
        <f t="shared" si="186"/>
        <v>#DIV/0!</v>
      </c>
      <c r="E196" s="3" t="e">
        <f t="shared" si="186"/>
        <v>#REF!</v>
      </c>
      <c r="F196" s="3">
        <f t="shared" si="186"/>
        <v>0.999999999999998</v>
      </c>
      <c r="G196" s="3">
        <f t="shared" si="186"/>
        <v>0.999999999999998</v>
      </c>
      <c r="H196" s="3">
        <f t="shared" si="186"/>
        <v>0.999999997674353</v>
      </c>
      <c r="I196" s="3">
        <f t="shared" si="186"/>
        <v>0.999999997674353</v>
      </c>
      <c r="J196" s="3">
        <f t="shared" si="186"/>
        <v>1</v>
      </c>
      <c r="K196" s="3">
        <f t="shared" si="186"/>
        <v>0.999999997674353</v>
      </c>
      <c r="L196" s="3">
        <f t="shared" si="186"/>
        <v>0.999999997674353</v>
      </c>
      <c r="M196" s="3" t="e">
        <f t="shared" si="186"/>
        <v>#REF!</v>
      </c>
      <c r="N196" s="3">
        <f t="shared" si="186"/>
        <v>1</v>
      </c>
      <c r="O196" s="3">
        <f t="shared" si="186"/>
        <v>1</v>
      </c>
      <c r="P196" s="3">
        <f t="shared" si="186"/>
        <v>1</v>
      </c>
      <c r="Q196" s="3">
        <f t="shared" si="186"/>
        <v>1</v>
      </c>
      <c r="R196" s="3">
        <f t="shared" si="186"/>
        <v>1</v>
      </c>
      <c r="S196" s="3">
        <f t="shared" si="186"/>
        <v>1</v>
      </c>
      <c r="T196" s="3">
        <f t="shared" si="186"/>
        <v>1</v>
      </c>
      <c r="U196" s="3">
        <f t="shared" si="186"/>
        <v>1</v>
      </c>
      <c r="V196" s="3">
        <f t="shared" si="186"/>
        <v>1</v>
      </c>
      <c r="W196" s="3">
        <f t="shared" si="186"/>
        <v>1</v>
      </c>
    </row>
    <row r="197" customHeight="1" spans="1:23">
      <c r="A197" s="2">
        <v>184</v>
      </c>
      <c r="B197" s="3">
        <f t="shared" ref="B197:W197" si="187">MIN(1,IF($A197&lt;B$4+B$3,0,IF(B$2=0,1,IF(B$5=0,1/(1+(B$6*EXP(-($A197-B$4)/B$7))),IF(MOD($A197-B$4,B$5)=0,1/(1+(B$6*EXP(-($A197-B$4)/B$7))),1/(1+(B$6*EXP(-(QUOTIENT($A197-B$4,B$5)*B$5)/B$7))))))))</f>
        <v>0.999999997947624</v>
      </c>
      <c r="C197" s="3">
        <f t="shared" si="187"/>
        <v>0.999999997947624</v>
      </c>
      <c r="D197" s="3" t="e">
        <f t="shared" si="187"/>
        <v>#DIV/0!</v>
      </c>
      <c r="E197" s="3" t="e">
        <f t="shared" si="187"/>
        <v>#REF!</v>
      </c>
      <c r="F197" s="3">
        <f t="shared" si="187"/>
        <v>0.999999999999998</v>
      </c>
      <c r="G197" s="3">
        <f t="shared" si="187"/>
        <v>0.999999999999998</v>
      </c>
      <c r="H197" s="3">
        <f t="shared" si="187"/>
        <v>0.999999997947624</v>
      </c>
      <c r="I197" s="3">
        <f t="shared" si="187"/>
        <v>0.999999997947624</v>
      </c>
      <c r="J197" s="3">
        <f t="shared" si="187"/>
        <v>1</v>
      </c>
      <c r="K197" s="3">
        <f t="shared" si="187"/>
        <v>0.999999997947624</v>
      </c>
      <c r="L197" s="3">
        <f t="shared" si="187"/>
        <v>0.999999997947624</v>
      </c>
      <c r="M197" s="3" t="e">
        <f t="shared" si="187"/>
        <v>#REF!</v>
      </c>
      <c r="N197" s="3">
        <f t="shared" si="187"/>
        <v>1</v>
      </c>
      <c r="O197" s="3">
        <f t="shared" si="187"/>
        <v>1</v>
      </c>
      <c r="P197" s="3">
        <f t="shared" si="187"/>
        <v>1</v>
      </c>
      <c r="Q197" s="3">
        <f t="shared" si="187"/>
        <v>1</v>
      </c>
      <c r="R197" s="3">
        <f t="shared" si="187"/>
        <v>1</v>
      </c>
      <c r="S197" s="3">
        <f t="shared" si="187"/>
        <v>1</v>
      </c>
      <c r="T197" s="3">
        <f t="shared" si="187"/>
        <v>1</v>
      </c>
      <c r="U197" s="3">
        <f t="shared" si="187"/>
        <v>1</v>
      </c>
      <c r="V197" s="3">
        <f t="shared" si="187"/>
        <v>1</v>
      </c>
      <c r="W197" s="3">
        <f t="shared" si="187"/>
        <v>1</v>
      </c>
    </row>
    <row r="198" customHeight="1" spans="1:23">
      <c r="A198" s="2">
        <v>185</v>
      </c>
      <c r="B198" s="3">
        <f t="shared" ref="B198:W198" si="188">MIN(1,IF($A198&lt;B$4+B$3,0,IF(B$2=0,1,IF(B$5=0,1/(1+(B$6*EXP(-($A198-B$4)/B$7))),IF(MOD($A198-B$4,B$5)=0,1/(1+(B$6*EXP(-($A198-B$4)/B$7))),1/(1+(B$6*EXP(-(QUOTIENT($A198-B$4,B$5)*B$5)/B$7))))))))</f>
        <v>0.999999998188785</v>
      </c>
      <c r="C198" s="3">
        <f t="shared" si="188"/>
        <v>0.999999998188785</v>
      </c>
      <c r="D198" s="3" t="e">
        <f t="shared" si="188"/>
        <v>#DIV/0!</v>
      </c>
      <c r="E198" s="3" t="e">
        <f t="shared" si="188"/>
        <v>#REF!</v>
      </c>
      <c r="F198" s="3">
        <f t="shared" si="188"/>
        <v>0.999999999999999</v>
      </c>
      <c r="G198" s="3">
        <f t="shared" si="188"/>
        <v>0.999999999999999</v>
      </c>
      <c r="H198" s="3">
        <f t="shared" si="188"/>
        <v>0.999999998188785</v>
      </c>
      <c r="I198" s="3">
        <f t="shared" si="188"/>
        <v>0.999999998188785</v>
      </c>
      <c r="J198" s="3">
        <f t="shared" si="188"/>
        <v>1</v>
      </c>
      <c r="K198" s="3">
        <f t="shared" si="188"/>
        <v>0.999999998188785</v>
      </c>
      <c r="L198" s="3">
        <f t="shared" si="188"/>
        <v>0.999999998188785</v>
      </c>
      <c r="M198" s="3" t="e">
        <f t="shared" si="188"/>
        <v>#REF!</v>
      </c>
      <c r="N198" s="3">
        <f t="shared" si="188"/>
        <v>1</v>
      </c>
      <c r="O198" s="3">
        <f t="shared" si="188"/>
        <v>1</v>
      </c>
      <c r="P198" s="3">
        <f t="shared" si="188"/>
        <v>1</v>
      </c>
      <c r="Q198" s="3">
        <f t="shared" si="188"/>
        <v>1</v>
      </c>
      <c r="R198" s="3">
        <f t="shared" si="188"/>
        <v>1</v>
      </c>
      <c r="S198" s="3">
        <f t="shared" si="188"/>
        <v>1</v>
      </c>
      <c r="T198" s="3">
        <f t="shared" si="188"/>
        <v>1</v>
      </c>
      <c r="U198" s="3">
        <f t="shared" si="188"/>
        <v>1</v>
      </c>
      <c r="V198" s="3">
        <f t="shared" si="188"/>
        <v>1</v>
      </c>
      <c r="W198" s="3">
        <f t="shared" si="188"/>
        <v>1</v>
      </c>
    </row>
    <row r="199" customHeight="1" spans="1:23">
      <c r="A199" s="2">
        <v>186</v>
      </c>
      <c r="B199" s="3">
        <f t="shared" ref="B199:W199" si="189">MIN(1,IF($A199&lt;B$4+B$3,0,IF(B$2=0,1,IF(B$5=0,1/(1+(B$6*EXP(-($A199-B$4)/B$7))),IF(MOD($A199-B$4,B$5)=0,1/(1+(B$6*EXP(-($A199-B$4)/B$7))),1/(1+(B$6*EXP(-(QUOTIENT($A199-B$4,B$5)*B$5)/B$7))))))))</f>
        <v>0.999999998401608</v>
      </c>
      <c r="C199" s="3">
        <f t="shared" si="189"/>
        <v>0.999999998401608</v>
      </c>
      <c r="D199" s="3" t="e">
        <f t="shared" si="189"/>
        <v>#DIV/0!</v>
      </c>
      <c r="E199" s="3" t="e">
        <f t="shared" si="189"/>
        <v>#REF!</v>
      </c>
      <c r="F199" s="3">
        <f t="shared" si="189"/>
        <v>0.999999999999999</v>
      </c>
      <c r="G199" s="3">
        <f t="shared" si="189"/>
        <v>0.999999999999999</v>
      </c>
      <c r="H199" s="3">
        <f t="shared" si="189"/>
        <v>0.999999998401608</v>
      </c>
      <c r="I199" s="3">
        <f t="shared" si="189"/>
        <v>0.999999998401608</v>
      </c>
      <c r="J199" s="3">
        <f t="shared" si="189"/>
        <v>1</v>
      </c>
      <c r="K199" s="3">
        <f t="shared" si="189"/>
        <v>0.999999998401608</v>
      </c>
      <c r="L199" s="3">
        <f t="shared" si="189"/>
        <v>0.999999998401608</v>
      </c>
      <c r="M199" s="3" t="e">
        <f t="shared" si="189"/>
        <v>#REF!</v>
      </c>
      <c r="N199" s="3">
        <f t="shared" si="189"/>
        <v>1</v>
      </c>
      <c r="O199" s="3">
        <f t="shared" si="189"/>
        <v>1</v>
      </c>
      <c r="P199" s="3">
        <f t="shared" si="189"/>
        <v>1</v>
      </c>
      <c r="Q199" s="3">
        <f t="shared" si="189"/>
        <v>1</v>
      </c>
      <c r="R199" s="3">
        <f t="shared" si="189"/>
        <v>1</v>
      </c>
      <c r="S199" s="3">
        <f t="shared" si="189"/>
        <v>1</v>
      </c>
      <c r="T199" s="3">
        <f t="shared" si="189"/>
        <v>1</v>
      </c>
      <c r="U199" s="3">
        <f t="shared" si="189"/>
        <v>1</v>
      </c>
      <c r="V199" s="3">
        <f t="shared" si="189"/>
        <v>1</v>
      </c>
      <c r="W199" s="3">
        <f t="shared" si="189"/>
        <v>1</v>
      </c>
    </row>
    <row r="200" customHeight="1" spans="1:23">
      <c r="A200" s="2">
        <v>187</v>
      </c>
      <c r="B200" s="3">
        <f t="shared" ref="B200:W200" si="190">MIN(1,IF($A200&lt;B$4+B$3,0,IF(B$2=0,1,IF(B$5=0,1/(1+(B$6*EXP(-($A200-B$4)/B$7))),IF(MOD($A200-B$4,B$5)=0,1/(1+(B$6*EXP(-($A200-B$4)/B$7))),1/(1+(B$6*EXP(-(QUOTIENT($A200-B$4,B$5)*B$5)/B$7))))))))</f>
        <v>0.999999998589424</v>
      </c>
      <c r="C200" s="3">
        <f t="shared" si="190"/>
        <v>0.999999998589424</v>
      </c>
      <c r="D200" s="3" t="e">
        <f t="shared" si="190"/>
        <v>#DIV/0!</v>
      </c>
      <c r="E200" s="3" t="e">
        <f t="shared" si="190"/>
        <v>#REF!</v>
      </c>
      <c r="F200" s="3">
        <f t="shared" si="190"/>
        <v>0.999999999999999</v>
      </c>
      <c r="G200" s="3">
        <f t="shared" si="190"/>
        <v>0.999999999999999</v>
      </c>
      <c r="H200" s="3">
        <f t="shared" si="190"/>
        <v>0.999999998589424</v>
      </c>
      <c r="I200" s="3">
        <f t="shared" si="190"/>
        <v>0.999999998589424</v>
      </c>
      <c r="J200" s="3">
        <f t="shared" si="190"/>
        <v>1</v>
      </c>
      <c r="K200" s="3">
        <f t="shared" si="190"/>
        <v>0.999999998589424</v>
      </c>
      <c r="L200" s="3">
        <f t="shared" si="190"/>
        <v>0.999999998589424</v>
      </c>
      <c r="M200" s="3" t="e">
        <f t="shared" si="190"/>
        <v>#REF!</v>
      </c>
      <c r="N200" s="3">
        <f t="shared" si="190"/>
        <v>1</v>
      </c>
      <c r="O200" s="3">
        <f t="shared" si="190"/>
        <v>1</v>
      </c>
      <c r="P200" s="3">
        <f t="shared" si="190"/>
        <v>1</v>
      </c>
      <c r="Q200" s="3">
        <f t="shared" si="190"/>
        <v>1</v>
      </c>
      <c r="R200" s="3">
        <f t="shared" si="190"/>
        <v>1</v>
      </c>
      <c r="S200" s="3">
        <f t="shared" si="190"/>
        <v>1</v>
      </c>
      <c r="T200" s="3">
        <f t="shared" si="190"/>
        <v>1</v>
      </c>
      <c r="U200" s="3">
        <f t="shared" si="190"/>
        <v>1</v>
      </c>
      <c r="V200" s="3">
        <f t="shared" si="190"/>
        <v>1</v>
      </c>
      <c r="W200" s="3">
        <f t="shared" si="190"/>
        <v>1</v>
      </c>
    </row>
    <row r="201" customHeight="1" spans="1:23">
      <c r="A201" s="2">
        <v>188</v>
      </c>
      <c r="B201" s="3">
        <f t="shared" ref="B201:W201" si="191">MIN(1,IF($A201&lt;B$4+B$3,0,IF(B$2=0,1,IF(B$5=0,1/(1+(B$6*EXP(-($A201-B$4)/B$7))),IF(MOD($A201-B$4,B$5)=0,1/(1+(B$6*EXP(-($A201-B$4)/B$7))),1/(1+(B$6*EXP(-(QUOTIENT($A201-B$4,B$5)*B$5)/B$7))))))))</f>
        <v>0.999999998755171</v>
      </c>
      <c r="C201" s="3">
        <f t="shared" si="191"/>
        <v>0.999999998755171</v>
      </c>
      <c r="D201" s="3" t="e">
        <f t="shared" si="191"/>
        <v>#DIV/0!</v>
      </c>
      <c r="E201" s="3" t="e">
        <f t="shared" si="191"/>
        <v>#REF!</v>
      </c>
      <c r="F201" s="3">
        <f t="shared" si="191"/>
        <v>0.999999999999999</v>
      </c>
      <c r="G201" s="3">
        <f t="shared" si="191"/>
        <v>0.999999999999999</v>
      </c>
      <c r="H201" s="3">
        <f t="shared" si="191"/>
        <v>0.999999998755171</v>
      </c>
      <c r="I201" s="3">
        <f t="shared" si="191"/>
        <v>0.999999998755171</v>
      </c>
      <c r="J201" s="3">
        <f t="shared" si="191"/>
        <v>1</v>
      </c>
      <c r="K201" s="3">
        <f t="shared" si="191"/>
        <v>0.999999998755171</v>
      </c>
      <c r="L201" s="3">
        <f t="shared" si="191"/>
        <v>0.999999998755171</v>
      </c>
      <c r="M201" s="3" t="e">
        <f t="shared" si="191"/>
        <v>#REF!</v>
      </c>
      <c r="N201" s="3">
        <f t="shared" si="191"/>
        <v>1</v>
      </c>
      <c r="O201" s="3">
        <f t="shared" si="191"/>
        <v>1</v>
      </c>
      <c r="P201" s="3">
        <f t="shared" si="191"/>
        <v>1</v>
      </c>
      <c r="Q201" s="3">
        <f t="shared" si="191"/>
        <v>1</v>
      </c>
      <c r="R201" s="3">
        <f t="shared" si="191"/>
        <v>1</v>
      </c>
      <c r="S201" s="3">
        <f t="shared" si="191"/>
        <v>1</v>
      </c>
      <c r="T201" s="3">
        <f t="shared" si="191"/>
        <v>1</v>
      </c>
      <c r="U201" s="3">
        <f t="shared" si="191"/>
        <v>1</v>
      </c>
      <c r="V201" s="3">
        <f t="shared" si="191"/>
        <v>1</v>
      </c>
      <c r="W201" s="3">
        <f t="shared" si="191"/>
        <v>1</v>
      </c>
    </row>
    <row r="202" customHeight="1" spans="1:23">
      <c r="A202" s="2">
        <v>189</v>
      </c>
      <c r="B202" s="3">
        <f t="shared" ref="B202:W202" si="192">MIN(1,IF($A202&lt;B$4+B$3,0,IF(B$2=0,1,IF(B$5=0,1/(1+(B$6*EXP(-($A202-B$4)/B$7))),IF(MOD($A202-B$4,B$5)=0,1/(1+(B$6*EXP(-($A202-B$4)/B$7))),1/(1+(B$6*EXP(-(QUOTIENT($A202-B$4,B$5)*B$5)/B$7))))))))</f>
        <v>0.999999998901442</v>
      </c>
      <c r="C202" s="3">
        <f t="shared" si="192"/>
        <v>0.999999998901442</v>
      </c>
      <c r="D202" s="3" t="e">
        <f t="shared" si="192"/>
        <v>#DIV/0!</v>
      </c>
      <c r="E202" s="3" t="e">
        <f t="shared" si="192"/>
        <v>#REF!</v>
      </c>
      <c r="F202" s="3">
        <f t="shared" si="192"/>
        <v>0.999999999999999</v>
      </c>
      <c r="G202" s="3">
        <f t="shared" si="192"/>
        <v>0.999999999999999</v>
      </c>
      <c r="H202" s="3">
        <f t="shared" si="192"/>
        <v>0.999999998901442</v>
      </c>
      <c r="I202" s="3">
        <f t="shared" si="192"/>
        <v>0.999999998901442</v>
      </c>
      <c r="J202" s="3">
        <f t="shared" si="192"/>
        <v>1</v>
      </c>
      <c r="K202" s="3">
        <f t="shared" si="192"/>
        <v>0.999999998901442</v>
      </c>
      <c r="L202" s="3">
        <f t="shared" si="192"/>
        <v>0.999999998901442</v>
      </c>
      <c r="M202" s="3" t="e">
        <f t="shared" si="192"/>
        <v>#REF!</v>
      </c>
      <c r="N202" s="3">
        <f t="shared" si="192"/>
        <v>1</v>
      </c>
      <c r="O202" s="3">
        <f t="shared" si="192"/>
        <v>1</v>
      </c>
      <c r="P202" s="3">
        <f t="shared" si="192"/>
        <v>1</v>
      </c>
      <c r="Q202" s="3">
        <f t="shared" si="192"/>
        <v>1</v>
      </c>
      <c r="R202" s="3">
        <f t="shared" si="192"/>
        <v>1</v>
      </c>
      <c r="S202" s="3">
        <f t="shared" si="192"/>
        <v>1</v>
      </c>
      <c r="T202" s="3">
        <f t="shared" si="192"/>
        <v>1</v>
      </c>
      <c r="U202" s="3">
        <f t="shared" si="192"/>
        <v>1</v>
      </c>
      <c r="V202" s="3">
        <f t="shared" si="192"/>
        <v>1</v>
      </c>
      <c r="W202" s="3">
        <f t="shared" si="192"/>
        <v>1</v>
      </c>
    </row>
    <row r="203" customHeight="1" spans="1:23">
      <c r="A203" s="2">
        <v>190</v>
      </c>
      <c r="B203" s="3">
        <f t="shared" ref="B203:W203" si="193">MIN(1,IF($A203&lt;B$4+B$3,0,IF(B$2=0,1,IF(B$5=0,1/(1+(B$6*EXP(-($A203-B$4)/B$7))),IF(MOD($A203-B$4,B$5)=0,1/(1+(B$6*EXP(-($A203-B$4)/B$7))),1/(1+(B$6*EXP(-(QUOTIENT($A203-B$4,B$5)*B$5)/B$7))))))))</f>
        <v>0.999999999030526</v>
      </c>
      <c r="C203" s="3">
        <f t="shared" si="193"/>
        <v>0.999999999030526</v>
      </c>
      <c r="D203" s="3" t="e">
        <f t="shared" si="193"/>
        <v>#DIV/0!</v>
      </c>
      <c r="E203" s="3" t="e">
        <f t="shared" si="193"/>
        <v>#REF!</v>
      </c>
      <c r="F203" s="3">
        <f t="shared" si="193"/>
        <v>1</v>
      </c>
      <c r="G203" s="3">
        <f t="shared" si="193"/>
        <v>1</v>
      </c>
      <c r="H203" s="3">
        <f t="shared" si="193"/>
        <v>0.999999999030526</v>
      </c>
      <c r="I203" s="3">
        <f t="shared" si="193"/>
        <v>0.999999999030526</v>
      </c>
      <c r="J203" s="3">
        <f t="shared" si="193"/>
        <v>1</v>
      </c>
      <c r="K203" s="3">
        <f t="shared" si="193"/>
        <v>0.999999999030526</v>
      </c>
      <c r="L203" s="3">
        <f t="shared" si="193"/>
        <v>0.999999999030526</v>
      </c>
      <c r="M203" s="3" t="e">
        <f t="shared" si="193"/>
        <v>#REF!</v>
      </c>
      <c r="N203" s="3">
        <f t="shared" si="193"/>
        <v>1</v>
      </c>
      <c r="O203" s="3">
        <f t="shared" si="193"/>
        <v>1</v>
      </c>
      <c r="P203" s="3">
        <f t="shared" si="193"/>
        <v>1</v>
      </c>
      <c r="Q203" s="3">
        <f t="shared" si="193"/>
        <v>1</v>
      </c>
      <c r="R203" s="3">
        <f t="shared" si="193"/>
        <v>1</v>
      </c>
      <c r="S203" s="3">
        <f t="shared" si="193"/>
        <v>1</v>
      </c>
      <c r="T203" s="3">
        <f t="shared" si="193"/>
        <v>1</v>
      </c>
      <c r="U203" s="3">
        <f t="shared" si="193"/>
        <v>1</v>
      </c>
      <c r="V203" s="3">
        <f t="shared" si="193"/>
        <v>1</v>
      </c>
      <c r="W203" s="3">
        <f t="shared" si="193"/>
        <v>1</v>
      </c>
    </row>
    <row r="204" customHeight="1" spans="1:23">
      <c r="A204" s="2">
        <v>191</v>
      </c>
      <c r="B204" s="3">
        <f t="shared" ref="B204:W204" si="194">MIN(1,IF($A204&lt;B$4+B$3,0,IF(B$2=0,1,IF(B$5=0,1/(1+(B$6*EXP(-($A204-B$4)/B$7))),IF(MOD($A204-B$4,B$5)=0,1/(1+(B$6*EXP(-($A204-B$4)/B$7))),1/(1+(B$6*EXP(-(QUOTIENT($A204-B$4,B$5)*B$5)/B$7))))))))</f>
        <v>0.999999999144442</v>
      </c>
      <c r="C204" s="3">
        <f t="shared" si="194"/>
        <v>0.999999999144442</v>
      </c>
      <c r="D204" s="3" t="e">
        <f t="shared" si="194"/>
        <v>#DIV/0!</v>
      </c>
      <c r="E204" s="3" t="e">
        <f t="shared" si="194"/>
        <v>#REF!</v>
      </c>
      <c r="F204" s="3">
        <f t="shared" si="194"/>
        <v>1</v>
      </c>
      <c r="G204" s="3">
        <f t="shared" si="194"/>
        <v>1</v>
      </c>
      <c r="H204" s="3">
        <f t="shared" si="194"/>
        <v>0.999999999144442</v>
      </c>
      <c r="I204" s="3">
        <f t="shared" si="194"/>
        <v>0.999999999144442</v>
      </c>
      <c r="J204" s="3">
        <f t="shared" si="194"/>
        <v>1</v>
      </c>
      <c r="K204" s="3">
        <f t="shared" si="194"/>
        <v>0.999999999144442</v>
      </c>
      <c r="L204" s="3">
        <f t="shared" si="194"/>
        <v>0.999999999144442</v>
      </c>
      <c r="M204" s="3" t="e">
        <f t="shared" si="194"/>
        <v>#REF!</v>
      </c>
      <c r="N204" s="3">
        <f t="shared" si="194"/>
        <v>1</v>
      </c>
      <c r="O204" s="3">
        <f t="shared" si="194"/>
        <v>1</v>
      </c>
      <c r="P204" s="3">
        <f t="shared" si="194"/>
        <v>1</v>
      </c>
      <c r="Q204" s="3">
        <f t="shared" si="194"/>
        <v>1</v>
      </c>
      <c r="R204" s="3">
        <f t="shared" si="194"/>
        <v>1</v>
      </c>
      <c r="S204" s="3">
        <f t="shared" si="194"/>
        <v>1</v>
      </c>
      <c r="T204" s="3">
        <f t="shared" si="194"/>
        <v>1</v>
      </c>
      <c r="U204" s="3">
        <f t="shared" si="194"/>
        <v>1</v>
      </c>
      <c r="V204" s="3">
        <f t="shared" si="194"/>
        <v>1</v>
      </c>
      <c r="W204" s="3">
        <f t="shared" si="194"/>
        <v>1</v>
      </c>
    </row>
    <row r="205" customHeight="1" spans="1:23">
      <c r="A205" s="2">
        <v>192</v>
      </c>
      <c r="B205" s="3">
        <f t="shared" ref="B205:W205" si="195">MIN(1,IF($A205&lt;B$4+B$3,0,IF(B$2=0,1,IF(B$5=0,1/(1+(B$6*EXP(-($A205-B$4)/B$7))),IF(MOD($A205-B$4,B$5)=0,1/(1+(B$6*EXP(-($A205-B$4)/B$7))),1/(1+(B$6*EXP(-(QUOTIENT($A205-B$4,B$5)*B$5)/B$7))))))))</f>
        <v>0.999999999244973</v>
      </c>
      <c r="C205" s="3">
        <f t="shared" si="195"/>
        <v>0.999999999244973</v>
      </c>
      <c r="D205" s="3" t="e">
        <f t="shared" si="195"/>
        <v>#DIV/0!</v>
      </c>
      <c r="E205" s="3" t="e">
        <f t="shared" si="195"/>
        <v>#REF!</v>
      </c>
      <c r="F205" s="3">
        <f t="shared" si="195"/>
        <v>1</v>
      </c>
      <c r="G205" s="3">
        <f t="shared" si="195"/>
        <v>1</v>
      </c>
      <c r="H205" s="3">
        <f t="shared" si="195"/>
        <v>0.999999999244973</v>
      </c>
      <c r="I205" s="3">
        <f t="shared" si="195"/>
        <v>0.999999999244973</v>
      </c>
      <c r="J205" s="3">
        <f t="shared" si="195"/>
        <v>1</v>
      </c>
      <c r="K205" s="3">
        <f t="shared" si="195"/>
        <v>0.999999999244973</v>
      </c>
      <c r="L205" s="3">
        <f t="shared" si="195"/>
        <v>0.999999999244973</v>
      </c>
      <c r="M205" s="3" t="e">
        <f t="shared" si="195"/>
        <v>#REF!</v>
      </c>
      <c r="N205" s="3">
        <f t="shared" si="195"/>
        <v>1</v>
      </c>
      <c r="O205" s="3">
        <f t="shared" si="195"/>
        <v>1</v>
      </c>
      <c r="P205" s="3">
        <f t="shared" si="195"/>
        <v>1</v>
      </c>
      <c r="Q205" s="3">
        <f t="shared" si="195"/>
        <v>1</v>
      </c>
      <c r="R205" s="3">
        <f t="shared" si="195"/>
        <v>1</v>
      </c>
      <c r="S205" s="3">
        <f t="shared" si="195"/>
        <v>1</v>
      </c>
      <c r="T205" s="3">
        <f t="shared" si="195"/>
        <v>1</v>
      </c>
      <c r="U205" s="3">
        <f t="shared" si="195"/>
        <v>1</v>
      </c>
      <c r="V205" s="3">
        <f t="shared" si="195"/>
        <v>1</v>
      </c>
      <c r="W205" s="3">
        <f t="shared" si="195"/>
        <v>1</v>
      </c>
    </row>
    <row r="206" customHeight="1" spans="1:23">
      <c r="A206" s="2">
        <v>193</v>
      </c>
      <c r="B206" s="3">
        <f t="shared" ref="B206:W206" si="196">MIN(1,IF($A206&lt;B$4+B$3,0,IF(B$2=0,1,IF(B$5=0,1/(1+(B$6*EXP(-($A206-B$4)/B$7))),IF(MOD($A206-B$4,B$5)=0,1/(1+(B$6*EXP(-($A206-B$4)/B$7))),1/(1+(B$6*EXP(-(QUOTIENT($A206-B$4,B$5)*B$5)/B$7))))))))</f>
        <v>0.999999999333691</v>
      </c>
      <c r="C206" s="3">
        <f t="shared" si="196"/>
        <v>0.999999999333691</v>
      </c>
      <c r="D206" s="3" t="e">
        <f t="shared" si="196"/>
        <v>#DIV/0!</v>
      </c>
      <c r="E206" s="3" t="e">
        <f t="shared" si="196"/>
        <v>#REF!</v>
      </c>
      <c r="F206" s="3">
        <f t="shared" si="196"/>
        <v>1</v>
      </c>
      <c r="G206" s="3">
        <f t="shared" si="196"/>
        <v>1</v>
      </c>
      <c r="H206" s="3">
        <f t="shared" si="196"/>
        <v>0.999999999333691</v>
      </c>
      <c r="I206" s="3">
        <f t="shared" si="196"/>
        <v>0.999999999333691</v>
      </c>
      <c r="J206" s="3">
        <f t="shared" si="196"/>
        <v>1</v>
      </c>
      <c r="K206" s="3">
        <f t="shared" si="196"/>
        <v>0.999999999333691</v>
      </c>
      <c r="L206" s="3">
        <f t="shared" si="196"/>
        <v>0.999999999333691</v>
      </c>
      <c r="M206" s="3" t="e">
        <f t="shared" si="196"/>
        <v>#REF!</v>
      </c>
      <c r="N206" s="3">
        <f t="shared" si="196"/>
        <v>1</v>
      </c>
      <c r="O206" s="3">
        <f t="shared" si="196"/>
        <v>1</v>
      </c>
      <c r="P206" s="3">
        <f t="shared" si="196"/>
        <v>1</v>
      </c>
      <c r="Q206" s="3">
        <f t="shared" si="196"/>
        <v>1</v>
      </c>
      <c r="R206" s="3">
        <f t="shared" si="196"/>
        <v>1</v>
      </c>
      <c r="S206" s="3">
        <f t="shared" si="196"/>
        <v>1</v>
      </c>
      <c r="T206" s="3">
        <f t="shared" si="196"/>
        <v>1</v>
      </c>
      <c r="U206" s="3">
        <f t="shared" si="196"/>
        <v>1</v>
      </c>
      <c r="V206" s="3">
        <f t="shared" si="196"/>
        <v>1</v>
      </c>
      <c r="W206" s="3">
        <f t="shared" si="196"/>
        <v>1</v>
      </c>
    </row>
    <row r="207" customHeight="1" spans="1:23">
      <c r="A207" s="2">
        <v>194</v>
      </c>
      <c r="B207" s="3">
        <f t="shared" ref="B207:W207" si="197">MIN(1,IF($A207&lt;B$4+B$3,0,IF(B$2=0,1,IF(B$5=0,1/(1+(B$6*EXP(-($A207-B$4)/B$7))),IF(MOD($A207-B$4,B$5)=0,1/(1+(B$6*EXP(-($A207-B$4)/B$7))),1/(1+(B$6*EXP(-(QUOTIENT($A207-B$4,B$5)*B$5)/B$7))))))))</f>
        <v>0.999999999411984</v>
      </c>
      <c r="C207" s="3">
        <f t="shared" si="197"/>
        <v>0.999999999411984</v>
      </c>
      <c r="D207" s="3" t="e">
        <f t="shared" si="197"/>
        <v>#DIV/0!</v>
      </c>
      <c r="E207" s="3" t="e">
        <f t="shared" si="197"/>
        <v>#REF!</v>
      </c>
      <c r="F207" s="3">
        <f t="shared" si="197"/>
        <v>1</v>
      </c>
      <c r="G207" s="3">
        <f t="shared" si="197"/>
        <v>1</v>
      </c>
      <c r="H207" s="3">
        <f t="shared" si="197"/>
        <v>0.999999999411984</v>
      </c>
      <c r="I207" s="3">
        <f t="shared" si="197"/>
        <v>0.999999999411984</v>
      </c>
      <c r="J207" s="3">
        <f t="shared" si="197"/>
        <v>1</v>
      </c>
      <c r="K207" s="3">
        <f t="shared" si="197"/>
        <v>0.999999999411984</v>
      </c>
      <c r="L207" s="3">
        <f t="shared" si="197"/>
        <v>0.999999999411984</v>
      </c>
      <c r="M207" s="3" t="e">
        <f t="shared" si="197"/>
        <v>#REF!</v>
      </c>
      <c r="N207" s="3">
        <f t="shared" si="197"/>
        <v>1</v>
      </c>
      <c r="O207" s="3">
        <f t="shared" si="197"/>
        <v>1</v>
      </c>
      <c r="P207" s="3">
        <f t="shared" si="197"/>
        <v>1</v>
      </c>
      <c r="Q207" s="3">
        <f t="shared" si="197"/>
        <v>1</v>
      </c>
      <c r="R207" s="3">
        <f t="shared" si="197"/>
        <v>1</v>
      </c>
      <c r="S207" s="3">
        <f t="shared" si="197"/>
        <v>1</v>
      </c>
      <c r="T207" s="3">
        <f t="shared" si="197"/>
        <v>1</v>
      </c>
      <c r="U207" s="3">
        <f t="shared" si="197"/>
        <v>1</v>
      </c>
      <c r="V207" s="3">
        <f t="shared" si="197"/>
        <v>1</v>
      </c>
      <c r="W207" s="3">
        <f t="shared" si="197"/>
        <v>1</v>
      </c>
    </row>
    <row r="208" customHeight="1" spans="1:23">
      <c r="A208" s="2">
        <v>195</v>
      </c>
      <c r="B208" s="3">
        <f t="shared" ref="B208:W208" si="198">MIN(1,IF($A208&lt;B$4+B$3,0,IF(B$2=0,1,IF(B$5=0,1/(1+(B$6*EXP(-($A208-B$4)/B$7))),IF(MOD($A208-B$4,B$5)=0,1/(1+(B$6*EXP(-($A208-B$4)/B$7))),1/(1+(B$6*EXP(-(QUOTIENT($A208-B$4,B$5)*B$5)/B$7))))))))</f>
        <v>0.999999999481078</v>
      </c>
      <c r="C208" s="3">
        <f t="shared" si="198"/>
        <v>0.999999999481078</v>
      </c>
      <c r="D208" s="3" t="e">
        <f t="shared" si="198"/>
        <v>#DIV/0!</v>
      </c>
      <c r="E208" s="3" t="e">
        <f t="shared" si="198"/>
        <v>#REF!</v>
      </c>
      <c r="F208" s="3">
        <f t="shared" si="198"/>
        <v>1</v>
      </c>
      <c r="G208" s="3">
        <f t="shared" si="198"/>
        <v>1</v>
      </c>
      <c r="H208" s="3">
        <f t="shared" si="198"/>
        <v>0.999999999481078</v>
      </c>
      <c r="I208" s="3">
        <f t="shared" si="198"/>
        <v>0.999999999481078</v>
      </c>
      <c r="J208" s="3">
        <f t="shared" si="198"/>
        <v>1</v>
      </c>
      <c r="K208" s="3">
        <f t="shared" si="198"/>
        <v>0.999999999481078</v>
      </c>
      <c r="L208" s="3">
        <f t="shared" si="198"/>
        <v>0.999999999481078</v>
      </c>
      <c r="M208" s="3" t="e">
        <f t="shared" si="198"/>
        <v>#REF!</v>
      </c>
      <c r="N208" s="3">
        <f t="shared" si="198"/>
        <v>1</v>
      </c>
      <c r="O208" s="3">
        <f t="shared" si="198"/>
        <v>1</v>
      </c>
      <c r="P208" s="3">
        <f t="shared" si="198"/>
        <v>1</v>
      </c>
      <c r="Q208" s="3">
        <f t="shared" si="198"/>
        <v>1</v>
      </c>
      <c r="R208" s="3">
        <f t="shared" si="198"/>
        <v>1</v>
      </c>
      <c r="S208" s="3">
        <f t="shared" si="198"/>
        <v>1</v>
      </c>
      <c r="T208" s="3">
        <f t="shared" si="198"/>
        <v>1</v>
      </c>
      <c r="U208" s="3">
        <f t="shared" si="198"/>
        <v>1</v>
      </c>
      <c r="V208" s="3">
        <f t="shared" si="198"/>
        <v>1</v>
      </c>
      <c r="W208" s="3">
        <f t="shared" si="198"/>
        <v>1</v>
      </c>
    </row>
    <row r="209" customHeight="1" spans="1:23">
      <c r="A209" s="2">
        <v>196</v>
      </c>
      <c r="B209" s="3">
        <f t="shared" ref="B209:W209" si="199">MIN(1,IF($A209&lt;B$4+B$3,0,IF(B$2=0,1,IF(B$5=0,1/(1+(B$6*EXP(-($A209-B$4)/B$7))),IF(MOD($A209-B$4,B$5)=0,1/(1+(B$6*EXP(-($A209-B$4)/B$7))),1/(1+(B$6*EXP(-(QUOTIENT($A209-B$4,B$5)*B$5)/B$7))))))))</f>
        <v>0.999999999542053</v>
      </c>
      <c r="C209" s="3">
        <f t="shared" si="199"/>
        <v>0.999999999542053</v>
      </c>
      <c r="D209" s="3" t="e">
        <f t="shared" si="199"/>
        <v>#DIV/0!</v>
      </c>
      <c r="E209" s="3" t="e">
        <f t="shared" si="199"/>
        <v>#REF!</v>
      </c>
      <c r="F209" s="3">
        <f t="shared" si="199"/>
        <v>1</v>
      </c>
      <c r="G209" s="3">
        <f t="shared" si="199"/>
        <v>1</v>
      </c>
      <c r="H209" s="3">
        <f t="shared" si="199"/>
        <v>0.999999999542053</v>
      </c>
      <c r="I209" s="3">
        <f t="shared" si="199"/>
        <v>0.999999999542053</v>
      </c>
      <c r="J209" s="3">
        <f t="shared" si="199"/>
        <v>1</v>
      </c>
      <c r="K209" s="3">
        <f t="shared" si="199"/>
        <v>0.999999999542053</v>
      </c>
      <c r="L209" s="3">
        <f t="shared" si="199"/>
        <v>0.999999999542053</v>
      </c>
      <c r="M209" s="3" t="e">
        <f t="shared" si="199"/>
        <v>#REF!</v>
      </c>
      <c r="N209" s="3">
        <f t="shared" si="199"/>
        <v>1</v>
      </c>
      <c r="O209" s="3">
        <f t="shared" si="199"/>
        <v>1</v>
      </c>
      <c r="P209" s="3">
        <f t="shared" si="199"/>
        <v>1</v>
      </c>
      <c r="Q209" s="3">
        <f t="shared" si="199"/>
        <v>1</v>
      </c>
      <c r="R209" s="3">
        <f t="shared" si="199"/>
        <v>1</v>
      </c>
      <c r="S209" s="3">
        <f t="shared" si="199"/>
        <v>1</v>
      </c>
      <c r="T209" s="3">
        <f t="shared" si="199"/>
        <v>1</v>
      </c>
      <c r="U209" s="3">
        <f t="shared" si="199"/>
        <v>1</v>
      </c>
      <c r="V209" s="3">
        <f t="shared" si="199"/>
        <v>1</v>
      </c>
      <c r="W209" s="3">
        <f t="shared" si="199"/>
        <v>1</v>
      </c>
    </row>
    <row r="210" customHeight="1" spans="1:23">
      <c r="A210" s="2">
        <v>197</v>
      </c>
      <c r="B210" s="3">
        <f t="shared" ref="B210:W210" si="200">MIN(1,IF($A210&lt;B$4+B$3,0,IF(B$2=0,1,IF(B$5=0,1/(1+(B$6*EXP(-($A210-B$4)/B$7))),IF(MOD($A210-B$4,B$5)=0,1/(1+(B$6*EXP(-($A210-B$4)/B$7))),1/(1+(B$6*EXP(-(QUOTIENT($A210-B$4,B$5)*B$5)/B$7))))))))</f>
        <v>0.999999999595863</v>
      </c>
      <c r="C210" s="3">
        <f t="shared" si="200"/>
        <v>0.999999999595863</v>
      </c>
      <c r="D210" s="3" t="e">
        <f t="shared" si="200"/>
        <v>#DIV/0!</v>
      </c>
      <c r="E210" s="3" t="e">
        <f t="shared" si="200"/>
        <v>#REF!</v>
      </c>
      <c r="F210" s="3">
        <f t="shared" si="200"/>
        <v>1</v>
      </c>
      <c r="G210" s="3">
        <f t="shared" si="200"/>
        <v>1</v>
      </c>
      <c r="H210" s="3">
        <f t="shared" si="200"/>
        <v>0.999999999595863</v>
      </c>
      <c r="I210" s="3">
        <f t="shared" si="200"/>
        <v>0.999999999595863</v>
      </c>
      <c r="J210" s="3">
        <f t="shared" si="200"/>
        <v>1</v>
      </c>
      <c r="K210" s="3">
        <f t="shared" si="200"/>
        <v>0.999999999595863</v>
      </c>
      <c r="L210" s="3">
        <f t="shared" si="200"/>
        <v>0.999999999595863</v>
      </c>
      <c r="M210" s="3" t="e">
        <f t="shared" si="200"/>
        <v>#REF!</v>
      </c>
      <c r="N210" s="3">
        <f t="shared" si="200"/>
        <v>1</v>
      </c>
      <c r="O210" s="3">
        <f t="shared" si="200"/>
        <v>1</v>
      </c>
      <c r="P210" s="3">
        <f t="shared" si="200"/>
        <v>1</v>
      </c>
      <c r="Q210" s="3">
        <f t="shared" si="200"/>
        <v>1</v>
      </c>
      <c r="R210" s="3">
        <f t="shared" si="200"/>
        <v>1</v>
      </c>
      <c r="S210" s="3">
        <f t="shared" si="200"/>
        <v>1</v>
      </c>
      <c r="T210" s="3">
        <f t="shared" si="200"/>
        <v>1</v>
      </c>
      <c r="U210" s="3">
        <f t="shared" si="200"/>
        <v>1</v>
      </c>
      <c r="V210" s="3">
        <f t="shared" si="200"/>
        <v>1</v>
      </c>
      <c r="W210" s="3">
        <f t="shared" si="200"/>
        <v>1</v>
      </c>
    </row>
    <row r="211" customHeight="1" spans="1:23">
      <c r="A211" s="2">
        <v>198</v>
      </c>
      <c r="B211" s="3">
        <f t="shared" ref="B211:W211" si="201">MIN(1,IF($A211&lt;B$4+B$3,0,IF(B$2=0,1,IF(B$5=0,1/(1+(B$6*EXP(-($A211-B$4)/B$7))),IF(MOD($A211-B$4,B$5)=0,1/(1+(B$6*EXP(-($A211-B$4)/B$7))),1/(1+(B$6*EXP(-(QUOTIENT($A211-B$4,B$5)*B$5)/B$7))))))))</f>
        <v>0.999999999643351</v>
      </c>
      <c r="C211" s="3">
        <f t="shared" si="201"/>
        <v>0.999999999643351</v>
      </c>
      <c r="D211" s="3" t="e">
        <f t="shared" si="201"/>
        <v>#DIV/0!</v>
      </c>
      <c r="E211" s="3" t="e">
        <f t="shared" si="201"/>
        <v>#REF!</v>
      </c>
      <c r="F211" s="3">
        <f t="shared" si="201"/>
        <v>1</v>
      </c>
      <c r="G211" s="3">
        <f t="shared" si="201"/>
        <v>1</v>
      </c>
      <c r="H211" s="3">
        <f t="shared" si="201"/>
        <v>0.999999999643351</v>
      </c>
      <c r="I211" s="3">
        <f t="shared" si="201"/>
        <v>0.999999999643351</v>
      </c>
      <c r="J211" s="3">
        <f t="shared" si="201"/>
        <v>1</v>
      </c>
      <c r="K211" s="3">
        <f t="shared" si="201"/>
        <v>0.999999999643351</v>
      </c>
      <c r="L211" s="3">
        <f t="shared" si="201"/>
        <v>0.999999999643351</v>
      </c>
      <c r="M211" s="3" t="e">
        <f t="shared" si="201"/>
        <v>#REF!</v>
      </c>
      <c r="N211" s="3">
        <f t="shared" si="201"/>
        <v>1</v>
      </c>
      <c r="O211" s="3">
        <f t="shared" si="201"/>
        <v>1</v>
      </c>
      <c r="P211" s="3">
        <f t="shared" si="201"/>
        <v>1</v>
      </c>
      <c r="Q211" s="3">
        <f t="shared" si="201"/>
        <v>1</v>
      </c>
      <c r="R211" s="3">
        <f t="shared" si="201"/>
        <v>1</v>
      </c>
      <c r="S211" s="3">
        <f t="shared" si="201"/>
        <v>1</v>
      </c>
      <c r="T211" s="3">
        <f t="shared" si="201"/>
        <v>1</v>
      </c>
      <c r="U211" s="3">
        <f t="shared" si="201"/>
        <v>1</v>
      </c>
      <c r="V211" s="3">
        <f t="shared" si="201"/>
        <v>1</v>
      </c>
      <c r="W211" s="3">
        <f t="shared" si="201"/>
        <v>1</v>
      </c>
    </row>
    <row r="212" customHeight="1" spans="1:23">
      <c r="A212" s="2">
        <v>199</v>
      </c>
      <c r="B212" s="3">
        <f t="shared" ref="B212:W212" si="202">MIN(1,IF($A212&lt;B$4+B$3,0,IF(B$2=0,1,IF(B$5=0,1/(1+(B$6*EXP(-($A212-B$4)/B$7))),IF(MOD($A212-B$4,B$5)=0,1/(1+(B$6*EXP(-($A212-B$4)/B$7))),1/(1+(B$6*EXP(-(QUOTIENT($A212-B$4,B$5)*B$5)/B$7))))))))</f>
        <v>0.999999999685258</v>
      </c>
      <c r="C212" s="3">
        <f t="shared" si="202"/>
        <v>0.999999999685258</v>
      </c>
      <c r="D212" s="3" t="e">
        <f t="shared" si="202"/>
        <v>#DIV/0!</v>
      </c>
      <c r="E212" s="3" t="e">
        <f t="shared" si="202"/>
        <v>#REF!</v>
      </c>
      <c r="F212" s="3">
        <f t="shared" si="202"/>
        <v>1</v>
      </c>
      <c r="G212" s="3">
        <f t="shared" si="202"/>
        <v>1</v>
      </c>
      <c r="H212" s="3">
        <f t="shared" si="202"/>
        <v>0.999999999685258</v>
      </c>
      <c r="I212" s="3">
        <f t="shared" si="202"/>
        <v>0.999999999685258</v>
      </c>
      <c r="J212" s="3">
        <f t="shared" si="202"/>
        <v>1</v>
      </c>
      <c r="K212" s="3">
        <f t="shared" si="202"/>
        <v>0.999999999685258</v>
      </c>
      <c r="L212" s="3">
        <f t="shared" si="202"/>
        <v>0.999999999685258</v>
      </c>
      <c r="M212" s="3" t="e">
        <f t="shared" si="202"/>
        <v>#REF!</v>
      </c>
      <c r="N212" s="3">
        <f t="shared" si="202"/>
        <v>1</v>
      </c>
      <c r="O212" s="3">
        <f t="shared" si="202"/>
        <v>1</v>
      </c>
      <c r="P212" s="3">
        <f t="shared" si="202"/>
        <v>1</v>
      </c>
      <c r="Q212" s="3">
        <f t="shared" si="202"/>
        <v>1</v>
      </c>
      <c r="R212" s="3">
        <f t="shared" si="202"/>
        <v>1</v>
      </c>
      <c r="S212" s="3">
        <f t="shared" si="202"/>
        <v>1</v>
      </c>
      <c r="T212" s="3">
        <f t="shared" si="202"/>
        <v>1</v>
      </c>
      <c r="U212" s="3">
        <f t="shared" si="202"/>
        <v>1</v>
      </c>
      <c r="V212" s="3">
        <f t="shared" si="202"/>
        <v>1</v>
      </c>
      <c r="W212" s="3">
        <f t="shared" si="202"/>
        <v>1</v>
      </c>
    </row>
    <row r="213" customHeight="1" spans="1:23">
      <c r="A213" s="2">
        <v>200</v>
      </c>
      <c r="B213" s="3">
        <f t="shared" ref="B213:W213" si="203">MIN(1,IF($A213&lt;B$4+B$3,0,IF(B$2=0,1,IF(B$5=0,1/(1+(B$6*EXP(-($A213-B$4)/B$7))),IF(MOD($A213-B$4,B$5)=0,1/(1+(B$6*EXP(-($A213-B$4)/B$7))),1/(1+(B$6*EXP(-(QUOTIENT($A213-B$4,B$5)*B$5)/B$7))))))))</f>
        <v>0.999999999722241</v>
      </c>
      <c r="C213" s="3">
        <f t="shared" si="203"/>
        <v>0.999999999722241</v>
      </c>
      <c r="D213" s="3" t="e">
        <f t="shared" si="203"/>
        <v>#DIV/0!</v>
      </c>
      <c r="E213" s="3" t="e">
        <f t="shared" si="203"/>
        <v>#REF!</v>
      </c>
      <c r="F213" s="3">
        <f t="shared" si="203"/>
        <v>1</v>
      </c>
      <c r="G213" s="3">
        <f t="shared" si="203"/>
        <v>1</v>
      </c>
      <c r="H213" s="3">
        <f t="shared" si="203"/>
        <v>0.999999999722241</v>
      </c>
      <c r="I213" s="3">
        <f t="shared" si="203"/>
        <v>0.999999999722241</v>
      </c>
      <c r="J213" s="3">
        <f t="shared" si="203"/>
        <v>1</v>
      </c>
      <c r="K213" s="3">
        <f t="shared" si="203"/>
        <v>0.999999999722241</v>
      </c>
      <c r="L213" s="3">
        <f t="shared" si="203"/>
        <v>0.999999999722241</v>
      </c>
      <c r="M213" s="3" t="e">
        <f t="shared" si="203"/>
        <v>#REF!</v>
      </c>
      <c r="N213" s="3">
        <f t="shared" si="203"/>
        <v>1</v>
      </c>
      <c r="O213" s="3">
        <f t="shared" si="203"/>
        <v>1</v>
      </c>
      <c r="P213" s="3">
        <f t="shared" si="203"/>
        <v>1</v>
      </c>
      <c r="Q213" s="3">
        <f t="shared" si="203"/>
        <v>1</v>
      </c>
      <c r="R213" s="3">
        <f t="shared" si="203"/>
        <v>1</v>
      </c>
      <c r="S213" s="3">
        <f t="shared" si="203"/>
        <v>1</v>
      </c>
      <c r="T213" s="3">
        <f t="shared" si="203"/>
        <v>1</v>
      </c>
      <c r="U213" s="3">
        <f t="shared" si="203"/>
        <v>1</v>
      </c>
      <c r="V213" s="3">
        <f t="shared" si="203"/>
        <v>1</v>
      </c>
      <c r="W213" s="3">
        <f t="shared" si="203"/>
        <v>1</v>
      </c>
    </row>
    <row r="214" customHeight="1" spans="1:23">
      <c r="A214" s="2">
        <v>201</v>
      </c>
      <c r="B214" s="3">
        <f t="shared" ref="B214:W214" si="204">MIN(1,IF($A214&lt;B$4+B$3,0,IF(B$2=0,1,IF(B$5=0,1/(1+(B$6*EXP(-($A214-B$4)/B$7))),IF(MOD($A214-B$4,B$5)=0,1/(1+(B$6*EXP(-($A214-B$4)/B$7))),1/(1+(B$6*EXP(-(QUOTIENT($A214-B$4,B$5)*B$5)/B$7))))))))</f>
        <v>0.999999999754879</v>
      </c>
      <c r="C214" s="3">
        <f t="shared" si="204"/>
        <v>0.999999999754879</v>
      </c>
      <c r="D214" s="3" t="e">
        <f t="shared" si="204"/>
        <v>#DIV/0!</v>
      </c>
      <c r="E214" s="3" t="e">
        <f t="shared" si="204"/>
        <v>#REF!</v>
      </c>
      <c r="F214" s="3">
        <f t="shared" si="204"/>
        <v>1</v>
      </c>
      <c r="G214" s="3">
        <f t="shared" si="204"/>
        <v>1</v>
      </c>
      <c r="H214" s="3">
        <f t="shared" si="204"/>
        <v>0.999999999754879</v>
      </c>
      <c r="I214" s="3">
        <f t="shared" si="204"/>
        <v>0.999999999754879</v>
      </c>
      <c r="J214" s="3">
        <f t="shared" si="204"/>
        <v>1</v>
      </c>
      <c r="K214" s="3">
        <f t="shared" si="204"/>
        <v>0.999999999754879</v>
      </c>
      <c r="L214" s="3">
        <f t="shared" si="204"/>
        <v>0.999999999754879</v>
      </c>
      <c r="M214" s="3" t="e">
        <f t="shared" si="204"/>
        <v>#REF!</v>
      </c>
      <c r="N214" s="3">
        <f t="shared" si="204"/>
        <v>1</v>
      </c>
      <c r="O214" s="3">
        <f t="shared" si="204"/>
        <v>1</v>
      </c>
      <c r="P214" s="3">
        <f t="shared" si="204"/>
        <v>1</v>
      </c>
      <c r="Q214" s="3">
        <f t="shared" si="204"/>
        <v>1</v>
      </c>
      <c r="R214" s="3">
        <f t="shared" si="204"/>
        <v>1</v>
      </c>
      <c r="S214" s="3">
        <f t="shared" si="204"/>
        <v>1</v>
      </c>
      <c r="T214" s="3">
        <f t="shared" si="204"/>
        <v>1</v>
      </c>
      <c r="U214" s="3">
        <f t="shared" si="204"/>
        <v>1</v>
      </c>
      <c r="V214" s="3">
        <f t="shared" si="204"/>
        <v>1</v>
      </c>
      <c r="W214" s="3">
        <f t="shared" si="204"/>
        <v>1</v>
      </c>
    </row>
    <row r="215" customHeight="1" spans="1:23">
      <c r="A215" s="2">
        <v>202</v>
      </c>
      <c r="B215" s="3">
        <f t="shared" ref="B215:W215" si="205">MIN(1,IF($A215&lt;B$4+B$3,0,IF(B$2=0,1,IF(B$5=0,1/(1+(B$6*EXP(-($A215-B$4)/B$7))),IF(MOD($A215-B$4,B$5)=0,1/(1+(B$6*EXP(-($A215-B$4)/B$7))),1/(1+(B$6*EXP(-(QUOTIENT($A215-B$4,B$5)*B$5)/B$7))))))))</f>
        <v>0.999999999783681</v>
      </c>
      <c r="C215" s="3">
        <f t="shared" si="205"/>
        <v>0.999999999783681</v>
      </c>
      <c r="D215" s="3" t="e">
        <f t="shared" si="205"/>
        <v>#DIV/0!</v>
      </c>
      <c r="E215" s="3" t="e">
        <f t="shared" si="205"/>
        <v>#REF!</v>
      </c>
      <c r="F215" s="3">
        <f t="shared" si="205"/>
        <v>1</v>
      </c>
      <c r="G215" s="3">
        <f t="shared" si="205"/>
        <v>1</v>
      </c>
      <c r="H215" s="3">
        <f t="shared" si="205"/>
        <v>0.999999999783681</v>
      </c>
      <c r="I215" s="3">
        <f t="shared" si="205"/>
        <v>0.999999999783681</v>
      </c>
      <c r="J215" s="3">
        <f t="shared" si="205"/>
        <v>1</v>
      </c>
      <c r="K215" s="3">
        <f t="shared" si="205"/>
        <v>0.999999999783681</v>
      </c>
      <c r="L215" s="3">
        <f t="shared" si="205"/>
        <v>0.999999999783681</v>
      </c>
      <c r="M215" s="3" t="e">
        <f t="shared" si="205"/>
        <v>#REF!</v>
      </c>
      <c r="N215" s="3">
        <f t="shared" si="205"/>
        <v>1</v>
      </c>
      <c r="O215" s="3">
        <f t="shared" si="205"/>
        <v>1</v>
      </c>
      <c r="P215" s="3">
        <f t="shared" si="205"/>
        <v>1</v>
      </c>
      <c r="Q215" s="3">
        <f t="shared" si="205"/>
        <v>1</v>
      </c>
      <c r="R215" s="3">
        <f t="shared" si="205"/>
        <v>1</v>
      </c>
      <c r="S215" s="3">
        <f t="shared" si="205"/>
        <v>1</v>
      </c>
      <c r="T215" s="3">
        <f t="shared" si="205"/>
        <v>1</v>
      </c>
      <c r="U215" s="3">
        <f t="shared" si="205"/>
        <v>1</v>
      </c>
      <c r="V215" s="3">
        <f t="shared" si="205"/>
        <v>1</v>
      </c>
      <c r="W215" s="3">
        <f t="shared" si="205"/>
        <v>1</v>
      </c>
    </row>
    <row r="216" customHeight="1" spans="1:23">
      <c r="A216" s="2">
        <v>203</v>
      </c>
      <c r="B216" s="3">
        <f t="shared" ref="B216:W216" si="206">MIN(1,IF($A216&lt;B$4+B$3,0,IF(B$2=0,1,IF(B$5=0,1/(1+(B$6*EXP(-($A216-B$4)/B$7))),IF(MOD($A216-B$4,B$5)=0,1/(1+(B$6*EXP(-($A216-B$4)/B$7))),1/(1+(B$6*EXP(-(QUOTIENT($A216-B$4,B$5)*B$5)/B$7))))))))</f>
        <v>0.999999999809099</v>
      </c>
      <c r="C216" s="3">
        <f t="shared" si="206"/>
        <v>0.999999999809099</v>
      </c>
      <c r="D216" s="3" t="e">
        <f t="shared" si="206"/>
        <v>#DIV/0!</v>
      </c>
      <c r="E216" s="3" t="e">
        <f t="shared" si="206"/>
        <v>#REF!</v>
      </c>
      <c r="F216" s="3">
        <f t="shared" si="206"/>
        <v>1</v>
      </c>
      <c r="G216" s="3">
        <f t="shared" si="206"/>
        <v>1</v>
      </c>
      <c r="H216" s="3">
        <f t="shared" si="206"/>
        <v>0.999999999809099</v>
      </c>
      <c r="I216" s="3">
        <f t="shared" si="206"/>
        <v>0.999999999809099</v>
      </c>
      <c r="J216" s="3">
        <f t="shared" si="206"/>
        <v>1</v>
      </c>
      <c r="K216" s="3">
        <f t="shared" si="206"/>
        <v>0.999999999809099</v>
      </c>
      <c r="L216" s="3">
        <f t="shared" si="206"/>
        <v>0.999999999809099</v>
      </c>
      <c r="M216" s="3" t="e">
        <f t="shared" si="206"/>
        <v>#REF!</v>
      </c>
      <c r="N216" s="3">
        <f t="shared" si="206"/>
        <v>1</v>
      </c>
      <c r="O216" s="3">
        <f t="shared" si="206"/>
        <v>1</v>
      </c>
      <c r="P216" s="3">
        <f t="shared" si="206"/>
        <v>1</v>
      </c>
      <c r="Q216" s="3">
        <f t="shared" si="206"/>
        <v>1</v>
      </c>
      <c r="R216" s="3">
        <f t="shared" si="206"/>
        <v>1</v>
      </c>
      <c r="S216" s="3">
        <f t="shared" si="206"/>
        <v>1</v>
      </c>
      <c r="T216" s="3">
        <f t="shared" si="206"/>
        <v>1</v>
      </c>
      <c r="U216" s="3">
        <f t="shared" si="206"/>
        <v>1</v>
      </c>
      <c r="V216" s="3">
        <f t="shared" si="206"/>
        <v>1</v>
      </c>
      <c r="W216" s="3">
        <f t="shared" si="206"/>
        <v>1</v>
      </c>
    </row>
    <row r="217" customHeight="1" spans="1:23">
      <c r="A217" s="2">
        <v>204</v>
      </c>
      <c r="B217" s="3">
        <f t="shared" ref="B217:W217" si="207">MIN(1,IF($A217&lt;B$4+B$3,0,IF(B$2=0,1,IF(B$5=0,1/(1+(B$6*EXP(-($A217-B$4)/B$7))),IF(MOD($A217-B$4,B$5)=0,1/(1+(B$6*EXP(-($A217-B$4)/B$7))),1/(1+(B$6*EXP(-(QUOTIENT($A217-B$4,B$5)*B$5)/B$7))))))))</f>
        <v>0.999999999831531</v>
      </c>
      <c r="C217" s="3">
        <f t="shared" si="207"/>
        <v>0.999999999831531</v>
      </c>
      <c r="D217" s="3" t="e">
        <f t="shared" si="207"/>
        <v>#DIV/0!</v>
      </c>
      <c r="E217" s="3" t="e">
        <f t="shared" si="207"/>
        <v>#REF!</v>
      </c>
      <c r="F217" s="3">
        <f t="shared" si="207"/>
        <v>1</v>
      </c>
      <c r="G217" s="3">
        <f t="shared" si="207"/>
        <v>1</v>
      </c>
      <c r="H217" s="3">
        <f t="shared" si="207"/>
        <v>0.999999999831531</v>
      </c>
      <c r="I217" s="3">
        <f t="shared" si="207"/>
        <v>0.999999999831531</v>
      </c>
      <c r="J217" s="3">
        <f t="shared" si="207"/>
        <v>1</v>
      </c>
      <c r="K217" s="3">
        <f t="shared" si="207"/>
        <v>0.999999999831531</v>
      </c>
      <c r="L217" s="3">
        <f t="shared" si="207"/>
        <v>0.999999999831531</v>
      </c>
      <c r="M217" s="3" t="e">
        <f t="shared" si="207"/>
        <v>#REF!</v>
      </c>
      <c r="N217" s="3">
        <f t="shared" si="207"/>
        <v>1</v>
      </c>
      <c r="O217" s="3">
        <f t="shared" si="207"/>
        <v>1</v>
      </c>
      <c r="P217" s="3">
        <f t="shared" si="207"/>
        <v>1</v>
      </c>
      <c r="Q217" s="3">
        <f t="shared" si="207"/>
        <v>1</v>
      </c>
      <c r="R217" s="3">
        <f t="shared" si="207"/>
        <v>1</v>
      </c>
      <c r="S217" s="3">
        <f t="shared" si="207"/>
        <v>1</v>
      </c>
      <c r="T217" s="3">
        <f t="shared" si="207"/>
        <v>1</v>
      </c>
      <c r="U217" s="3">
        <f t="shared" si="207"/>
        <v>1</v>
      </c>
      <c r="V217" s="3">
        <f t="shared" si="207"/>
        <v>1</v>
      </c>
      <c r="W217" s="3">
        <f t="shared" si="207"/>
        <v>1</v>
      </c>
    </row>
    <row r="218" customHeight="1" spans="1:23">
      <c r="A218" s="2">
        <v>205</v>
      </c>
      <c r="B218" s="3">
        <f t="shared" ref="B218:W218" si="208">MIN(1,IF($A218&lt;B$4+B$3,0,IF(B$2=0,1,IF(B$5=0,1/(1+(B$6*EXP(-($A218-B$4)/B$7))),IF(MOD($A218-B$4,B$5)=0,1/(1+(B$6*EXP(-($A218-B$4)/B$7))),1/(1+(B$6*EXP(-(QUOTIENT($A218-B$4,B$5)*B$5)/B$7))))))))</f>
        <v>0.999999999851326</v>
      </c>
      <c r="C218" s="3">
        <f t="shared" si="208"/>
        <v>0.999999999851326</v>
      </c>
      <c r="D218" s="3" t="e">
        <f t="shared" si="208"/>
        <v>#DIV/0!</v>
      </c>
      <c r="E218" s="3" t="e">
        <f t="shared" si="208"/>
        <v>#REF!</v>
      </c>
      <c r="F218" s="3">
        <f t="shared" si="208"/>
        <v>1</v>
      </c>
      <c r="G218" s="3">
        <f t="shared" si="208"/>
        <v>1</v>
      </c>
      <c r="H218" s="3">
        <f t="shared" si="208"/>
        <v>0.999999999851326</v>
      </c>
      <c r="I218" s="3">
        <f t="shared" si="208"/>
        <v>0.999999999851326</v>
      </c>
      <c r="J218" s="3">
        <f t="shared" si="208"/>
        <v>1</v>
      </c>
      <c r="K218" s="3">
        <f t="shared" si="208"/>
        <v>0.999999999851326</v>
      </c>
      <c r="L218" s="3">
        <f t="shared" si="208"/>
        <v>0.999999999851326</v>
      </c>
      <c r="M218" s="3" t="e">
        <f t="shared" si="208"/>
        <v>#REF!</v>
      </c>
      <c r="N218" s="3">
        <f t="shared" si="208"/>
        <v>1</v>
      </c>
      <c r="O218" s="3">
        <f t="shared" si="208"/>
        <v>1</v>
      </c>
      <c r="P218" s="3">
        <f t="shared" si="208"/>
        <v>1</v>
      </c>
      <c r="Q218" s="3">
        <f t="shared" si="208"/>
        <v>1</v>
      </c>
      <c r="R218" s="3">
        <f t="shared" si="208"/>
        <v>1</v>
      </c>
      <c r="S218" s="3">
        <f t="shared" si="208"/>
        <v>1</v>
      </c>
      <c r="T218" s="3">
        <f t="shared" si="208"/>
        <v>1</v>
      </c>
      <c r="U218" s="3">
        <f t="shared" si="208"/>
        <v>1</v>
      </c>
      <c r="V218" s="3">
        <f t="shared" si="208"/>
        <v>1</v>
      </c>
      <c r="W218" s="3">
        <f t="shared" si="208"/>
        <v>1</v>
      </c>
    </row>
    <row r="219" customHeight="1" spans="1:23">
      <c r="A219" s="2">
        <v>206</v>
      </c>
      <c r="B219" s="3">
        <f t="shared" ref="B219:W219" si="209">MIN(1,IF($A219&lt;B$4+B$3,0,IF(B$2=0,1,IF(B$5=0,1/(1+(B$6*EXP(-($A219-B$4)/B$7))),IF(MOD($A219-B$4,B$5)=0,1/(1+(B$6*EXP(-($A219-B$4)/B$7))),1/(1+(B$6*EXP(-(QUOTIENT($A219-B$4,B$5)*B$5)/B$7))))))))</f>
        <v>0.999999999868796</v>
      </c>
      <c r="C219" s="3">
        <f t="shared" si="209"/>
        <v>0.999999999868796</v>
      </c>
      <c r="D219" s="3" t="e">
        <f t="shared" si="209"/>
        <v>#DIV/0!</v>
      </c>
      <c r="E219" s="3" t="e">
        <f t="shared" si="209"/>
        <v>#REF!</v>
      </c>
      <c r="F219" s="3">
        <f t="shared" si="209"/>
        <v>1</v>
      </c>
      <c r="G219" s="3">
        <f t="shared" si="209"/>
        <v>1</v>
      </c>
      <c r="H219" s="3">
        <f t="shared" si="209"/>
        <v>0.999999999868796</v>
      </c>
      <c r="I219" s="3">
        <f t="shared" si="209"/>
        <v>0.999999999868796</v>
      </c>
      <c r="J219" s="3">
        <f t="shared" si="209"/>
        <v>1</v>
      </c>
      <c r="K219" s="3">
        <f t="shared" si="209"/>
        <v>0.999999999868796</v>
      </c>
      <c r="L219" s="3">
        <f t="shared" si="209"/>
        <v>0.999999999868796</v>
      </c>
      <c r="M219" s="3" t="e">
        <f t="shared" si="209"/>
        <v>#REF!</v>
      </c>
      <c r="N219" s="3">
        <f t="shared" si="209"/>
        <v>1</v>
      </c>
      <c r="O219" s="3">
        <f t="shared" si="209"/>
        <v>1</v>
      </c>
      <c r="P219" s="3">
        <f t="shared" si="209"/>
        <v>1</v>
      </c>
      <c r="Q219" s="3">
        <f t="shared" si="209"/>
        <v>1</v>
      </c>
      <c r="R219" s="3">
        <f t="shared" si="209"/>
        <v>1</v>
      </c>
      <c r="S219" s="3">
        <f t="shared" si="209"/>
        <v>1</v>
      </c>
      <c r="T219" s="3">
        <f t="shared" si="209"/>
        <v>1</v>
      </c>
      <c r="U219" s="3">
        <f t="shared" si="209"/>
        <v>1</v>
      </c>
      <c r="V219" s="3">
        <f t="shared" si="209"/>
        <v>1</v>
      </c>
      <c r="W219" s="3">
        <f t="shared" si="209"/>
        <v>1</v>
      </c>
    </row>
    <row r="220" customHeight="1" spans="1:23">
      <c r="A220" s="2">
        <v>207</v>
      </c>
      <c r="B220" s="3">
        <f t="shared" ref="B220:W220" si="210">MIN(1,IF($A220&lt;B$4+B$3,0,IF(B$2=0,1,IF(B$5=0,1/(1+(B$6*EXP(-($A220-B$4)/B$7))),IF(MOD($A220-B$4,B$5)=0,1/(1+(B$6*EXP(-($A220-B$4)/B$7))),1/(1+(B$6*EXP(-(QUOTIENT($A220-B$4,B$5)*B$5)/B$7))))))))</f>
        <v>0.999999999884213</v>
      </c>
      <c r="C220" s="3">
        <f t="shared" si="210"/>
        <v>0.999999999884213</v>
      </c>
      <c r="D220" s="3" t="e">
        <f t="shared" si="210"/>
        <v>#DIV/0!</v>
      </c>
      <c r="E220" s="3" t="e">
        <f t="shared" si="210"/>
        <v>#REF!</v>
      </c>
      <c r="F220" s="3">
        <f t="shared" si="210"/>
        <v>1</v>
      </c>
      <c r="G220" s="3">
        <f t="shared" si="210"/>
        <v>1</v>
      </c>
      <c r="H220" s="3">
        <f t="shared" si="210"/>
        <v>0.999999999884213</v>
      </c>
      <c r="I220" s="3">
        <f t="shared" si="210"/>
        <v>0.999999999884213</v>
      </c>
      <c r="J220" s="3">
        <f t="shared" si="210"/>
        <v>1</v>
      </c>
      <c r="K220" s="3">
        <f t="shared" si="210"/>
        <v>0.999999999884213</v>
      </c>
      <c r="L220" s="3">
        <f t="shared" si="210"/>
        <v>0.999999999884213</v>
      </c>
      <c r="M220" s="3" t="e">
        <f t="shared" si="210"/>
        <v>#REF!</v>
      </c>
      <c r="N220" s="3">
        <f t="shared" si="210"/>
        <v>1</v>
      </c>
      <c r="O220" s="3">
        <f t="shared" si="210"/>
        <v>1</v>
      </c>
      <c r="P220" s="3">
        <f t="shared" si="210"/>
        <v>1</v>
      </c>
      <c r="Q220" s="3">
        <f t="shared" si="210"/>
        <v>1</v>
      </c>
      <c r="R220" s="3">
        <f t="shared" si="210"/>
        <v>1</v>
      </c>
      <c r="S220" s="3">
        <f t="shared" si="210"/>
        <v>1</v>
      </c>
      <c r="T220" s="3">
        <f t="shared" si="210"/>
        <v>1</v>
      </c>
      <c r="U220" s="3">
        <f t="shared" si="210"/>
        <v>1</v>
      </c>
      <c r="V220" s="3">
        <f t="shared" si="210"/>
        <v>1</v>
      </c>
      <c r="W220" s="3">
        <f t="shared" si="210"/>
        <v>1</v>
      </c>
    </row>
    <row r="221" customHeight="1" spans="1:23">
      <c r="A221" s="2">
        <v>208</v>
      </c>
      <c r="B221" s="3">
        <f t="shared" ref="B221:W221" si="211">MIN(1,IF($A221&lt;B$4+B$3,0,IF(B$2=0,1,IF(B$5=0,1/(1+(B$6*EXP(-($A221-B$4)/B$7))),IF(MOD($A221-B$4,B$5)=0,1/(1+(B$6*EXP(-($A221-B$4)/B$7))),1/(1+(B$6*EXP(-(QUOTIENT($A221-B$4,B$5)*B$5)/B$7))))))))</f>
        <v>0.999999999897818</v>
      </c>
      <c r="C221" s="3">
        <f t="shared" si="211"/>
        <v>0.999999999897818</v>
      </c>
      <c r="D221" s="3" t="e">
        <f t="shared" si="211"/>
        <v>#DIV/0!</v>
      </c>
      <c r="E221" s="3" t="e">
        <f t="shared" si="211"/>
        <v>#REF!</v>
      </c>
      <c r="F221" s="3">
        <f t="shared" si="211"/>
        <v>1</v>
      </c>
      <c r="G221" s="3">
        <f t="shared" si="211"/>
        <v>1</v>
      </c>
      <c r="H221" s="3">
        <f t="shared" si="211"/>
        <v>0.999999999897818</v>
      </c>
      <c r="I221" s="3">
        <f t="shared" si="211"/>
        <v>0.999999999897818</v>
      </c>
      <c r="J221" s="3">
        <f t="shared" si="211"/>
        <v>1</v>
      </c>
      <c r="K221" s="3">
        <f t="shared" si="211"/>
        <v>0.999999999897818</v>
      </c>
      <c r="L221" s="3">
        <f t="shared" si="211"/>
        <v>0.999999999897818</v>
      </c>
      <c r="M221" s="3" t="e">
        <f t="shared" si="211"/>
        <v>#REF!</v>
      </c>
      <c r="N221" s="3">
        <f t="shared" si="211"/>
        <v>1</v>
      </c>
      <c r="O221" s="3">
        <f t="shared" si="211"/>
        <v>1</v>
      </c>
      <c r="P221" s="3">
        <f t="shared" si="211"/>
        <v>1</v>
      </c>
      <c r="Q221" s="3">
        <f t="shared" si="211"/>
        <v>1</v>
      </c>
      <c r="R221" s="3">
        <f t="shared" si="211"/>
        <v>1</v>
      </c>
      <c r="S221" s="3">
        <f t="shared" si="211"/>
        <v>1</v>
      </c>
      <c r="T221" s="3">
        <f t="shared" si="211"/>
        <v>1</v>
      </c>
      <c r="U221" s="3">
        <f t="shared" si="211"/>
        <v>1</v>
      </c>
      <c r="V221" s="3">
        <f t="shared" si="211"/>
        <v>1</v>
      </c>
      <c r="W221" s="3">
        <f t="shared" si="211"/>
        <v>1</v>
      </c>
    </row>
    <row r="222" customHeight="1" spans="1:23">
      <c r="A222" s="2">
        <v>209</v>
      </c>
      <c r="B222" s="3">
        <f t="shared" ref="B222:W222" si="212">MIN(1,IF($A222&lt;B$4+B$3,0,IF(B$2=0,1,IF(B$5=0,1/(1+(B$6*EXP(-($A222-B$4)/B$7))),IF(MOD($A222-B$4,B$5)=0,1/(1+(B$6*EXP(-($A222-B$4)/B$7))),1/(1+(B$6*EXP(-(QUOTIENT($A222-B$4,B$5)*B$5)/B$7))))))))</f>
        <v>0.999999999909825</v>
      </c>
      <c r="C222" s="3">
        <f t="shared" si="212"/>
        <v>0.999999999909825</v>
      </c>
      <c r="D222" s="3" t="e">
        <f t="shared" si="212"/>
        <v>#DIV/0!</v>
      </c>
      <c r="E222" s="3" t="e">
        <f t="shared" si="212"/>
        <v>#REF!</v>
      </c>
      <c r="F222" s="3">
        <f t="shared" si="212"/>
        <v>1</v>
      </c>
      <c r="G222" s="3">
        <f t="shared" si="212"/>
        <v>1</v>
      </c>
      <c r="H222" s="3">
        <f t="shared" si="212"/>
        <v>0.999999999909825</v>
      </c>
      <c r="I222" s="3">
        <f t="shared" si="212"/>
        <v>0.999999999909825</v>
      </c>
      <c r="J222" s="3">
        <f t="shared" si="212"/>
        <v>1</v>
      </c>
      <c r="K222" s="3">
        <f t="shared" si="212"/>
        <v>0.999999999909825</v>
      </c>
      <c r="L222" s="3">
        <f t="shared" si="212"/>
        <v>0.999999999909825</v>
      </c>
      <c r="M222" s="3" t="e">
        <f t="shared" si="212"/>
        <v>#REF!</v>
      </c>
      <c r="N222" s="3">
        <f t="shared" si="212"/>
        <v>1</v>
      </c>
      <c r="O222" s="3">
        <f t="shared" si="212"/>
        <v>1</v>
      </c>
      <c r="P222" s="3">
        <f t="shared" si="212"/>
        <v>1</v>
      </c>
      <c r="Q222" s="3">
        <f t="shared" si="212"/>
        <v>1</v>
      </c>
      <c r="R222" s="3">
        <f t="shared" si="212"/>
        <v>1</v>
      </c>
      <c r="S222" s="3">
        <f t="shared" si="212"/>
        <v>1</v>
      </c>
      <c r="T222" s="3">
        <f t="shared" si="212"/>
        <v>1</v>
      </c>
      <c r="U222" s="3">
        <f t="shared" si="212"/>
        <v>1</v>
      </c>
      <c r="V222" s="3">
        <f t="shared" si="212"/>
        <v>1</v>
      </c>
      <c r="W222" s="3">
        <f t="shared" si="212"/>
        <v>1</v>
      </c>
    </row>
    <row r="223" customHeight="1" spans="1:23">
      <c r="A223" s="2">
        <v>210</v>
      </c>
      <c r="B223" s="3">
        <f t="shared" ref="B223:W223" si="213">MIN(1,IF($A223&lt;B$4+B$3,0,IF(B$2=0,1,IF(B$5=0,1/(1+(B$6*EXP(-($A223-B$4)/B$7))),IF(MOD($A223-B$4,B$5)=0,1/(1+(B$6*EXP(-($A223-B$4)/B$7))),1/(1+(B$6*EXP(-(QUOTIENT($A223-B$4,B$5)*B$5)/B$7))))))))</f>
        <v>0.999999999920421</v>
      </c>
      <c r="C223" s="3">
        <f t="shared" si="213"/>
        <v>0.999999999920421</v>
      </c>
      <c r="D223" s="3" t="e">
        <f t="shared" si="213"/>
        <v>#DIV/0!</v>
      </c>
      <c r="E223" s="3" t="e">
        <f t="shared" si="213"/>
        <v>#REF!</v>
      </c>
      <c r="F223" s="3">
        <f t="shared" si="213"/>
        <v>1</v>
      </c>
      <c r="G223" s="3">
        <f t="shared" si="213"/>
        <v>1</v>
      </c>
      <c r="H223" s="3">
        <f t="shared" si="213"/>
        <v>0.999999999920421</v>
      </c>
      <c r="I223" s="3">
        <f t="shared" si="213"/>
        <v>0.999999999920421</v>
      </c>
      <c r="J223" s="3">
        <f t="shared" si="213"/>
        <v>1</v>
      </c>
      <c r="K223" s="3">
        <f t="shared" si="213"/>
        <v>0.999999999920421</v>
      </c>
      <c r="L223" s="3">
        <f t="shared" si="213"/>
        <v>0.999999999920421</v>
      </c>
      <c r="M223" s="3" t="e">
        <f t="shared" si="213"/>
        <v>#REF!</v>
      </c>
      <c r="N223" s="3">
        <f t="shared" si="213"/>
        <v>1</v>
      </c>
      <c r="O223" s="3">
        <f t="shared" si="213"/>
        <v>1</v>
      </c>
      <c r="P223" s="3">
        <f t="shared" si="213"/>
        <v>1</v>
      </c>
      <c r="Q223" s="3">
        <f t="shared" si="213"/>
        <v>1</v>
      </c>
      <c r="R223" s="3">
        <f t="shared" si="213"/>
        <v>1</v>
      </c>
      <c r="S223" s="3">
        <f t="shared" si="213"/>
        <v>1</v>
      </c>
      <c r="T223" s="3">
        <f t="shared" si="213"/>
        <v>1</v>
      </c>
      <c r="U223" s="3">
        <f t="shared" si="213"/>
        <v>1</v>
      </c>
      <c r="V223" s="3">
        <f t="shared" si="213"/>
        <v>1</v>
      </c>
      <c r="W223" s="3">
        <f t="shared" si="213"/>
        <v>1</v>
      </c>
    </row>
    <row r="224" customHeight="1" spans="1:23">
      <c r="A224" s="2">
        <v>211</v>
      </c>
      <c r="B224" s="3">
        <f t="shared" ref="B224:W224" si="214">MIN(1,IF($A224&lt;B$4+B$3,0,IF(B$2=0,1,IF(B$5=0,1/(1+(B$6*EXP(-($A224-B$4)/B$7))),IF(MOD($A224-B$4,B$5)=0,1/(1+(B$6*EXP(-($A224-B$4)/B$7))),1/(1+(B$6*EXP(-(QUOTIENT($A224-B$4,B$5)*B$5)/B$7))))))))</f>
        <v>0.999999999929772</v>
      </c>
      <c r="C224" s="3">
        <f t="shared" si="214"/>
        <v>0.999999999929772</v>
      </c>
      <c r="D224" s="3" t="e">
        <f t="shared" si="214"/>
        <v>#DIV/0!</v>
      </c>
      <c r="E224" s="3" t="e">
        <f t="shared" si="214"/>
        <v>#REF!</v>
      </c>
      <c r="F224" s="3">
        <f t="shared" si="214"/>
        <v>1</v>
      </c>
      <c r="G224" s="3">
        <f t="shared" si="214"/>
        <v>1</v>
      </c>
      <c r="H224" s="3">
        <f t="shared" si="214"/>
        <v>0.999999999929772</v>
      </c>
      <c r="I224" s="3">
        <f t="shared" si="214"/>
        <v>0.999999999929772</v>
      </c>
      <c r="J224" s="3">
        <f t="shared" si="214"/>
        <v>1</v>
      </c>
      <c r="K224" s="3">
        <f t="shared" si="214"/>
        <v>0.999999999929772</v>
      </c>
      <c r="L224" s="3">
        <f t="shared" si="214"/>
        <v>0.999999999929772</v>
      </c>
      <c r="M224" s="3" t="e">
        <f t="shared" si="214"/>
        <v>#REF!</v>
      </c>
      <c r="N224" s="3">
        <f t="shared" si="214"/>
        <v>1</v>
      </c>
      <c r="O224" s="3">
        <f t="shared" si="214"/>
        <v>1</v>
      </c>
      <c r="P224" s="3">
        <f t="shared" si="214"/>
        <v>1</v>
      </c>
      <c r="Q224" s="3">
        <f t="shared" si="214"/>
        <v>1</v>
      </c>
      <c r="R224" s="3">
        <f t="shared" si="214"/>
        <v>1</v>
      </c>
      <c r="S224" s="3">
        <f t="shared" si="214"/>
        <v>1</v>
      </c>
      <c r="T224" s="3">
        <f t="shared" si="214"/>
        <v>1</v>
      </c>
      <c r="U224" s="3">
        <f t="shared" si="214"/>
        <v>1</v>
      </c>
      <c r="V224" s="3">
        <f t="shared" si="214"/>
        <v>1</v>
      </c>
      <c r="W224" s="3">
        <f t="shared" si="214"/>
        <v>1</v>
      </c>
    </row>
    <row r="225" customHeight="1" spans="1:23">
      <c r="A225" s="2">
        <v>212</v>
      </c>
      <c r="B225" s="3">
        <f t="shared" ref="B225:W225" si="215">MIN(1,IF($A225&lt;B$4+B$3,0,IF(B$2=0,1,IF(B$5=0,1/(1+(B$6*EXP(-($A225-B$4)/B$7))),IF(MOD($A225-B$4,B$5)=0,1/(1+(B$6*EXP(-($A225-B$4)/B$7))),1/(1+(B$6*EXP(-(QUOTIENT($A225-B$4,B$5)*B$5)/B$7))))))))</f>
        <v>0.999999999938024</v>
      </c>
      <c r="C225" s="3">
        <f t="shared" si="215"/>
        <v>0.999999999938024</v>
      </c>
      <c r="D225" s="3" t="e">
        <f t="shared" si="215"/>
        <v>#DIV/0!</v>
      </c>
      <c r="E225" s="3" t="e">
        <f t="shared" si="215"/>
        <v>#REF!</v>
      </c>
      <c r="F225" s="3">
        <f t="shared" si="215"/>
        <v>1</v>
      </c>
      <c r="G225" s="3">
        <f t="shared" si="215"/>
        <v>1</v>
      </c>
      <c r="H225" s="3">
        <f t="shared" si="215"/>
        <v>0.999999999938024</v>
      </c>
      <c r="I225" s="3">
        <f t="shared" si="215"/>
        <v>0.999999999938024</v>
      </c>
      <c r="J225" s="3">
        <f t="shared" si="215"/>
        <v>1</v>
      </c>
      <c r="K225" s="3">
        <f t="shared" si="215"/>
        <v>0.999999999938024</v>
      </c>
      <c r="L225" s="3">
        <f t="shared" si="215"/>
        <v>0.999999999938024</v>
      </c>
      <c r="M225" s="3" t="e">
        <f t="shared" si="215"/>
        <v>#REF!</v>
      </c>
      <c r="N225" s="3">
        <f t="shared" si="215"/>
        <v>1</v>
      </c>
      <c r="O225" s="3">
        <f t="shared" si="215"/>
        <v>1</v>
      </c>
      <c r="P225" s="3">
        <f t="shared" si="215"/>
        <v>1</v>
      </c>
      <c r="Q225" s="3">
        <f t="shared" si="215"/>
        <v>1</v>
      </c>
      <c r="R225" s="3">
        <f t="shared" si="215"/>
        <v>1</v>
      </c>
      <c r="S225" s="3">
        <f t="shared" si="215"/>
        <v>1</v>
      </c>
      <c r="T225" s="3">
        <f t="shared" si="215"/>
        <v>1</v>
      </c>
      <c r="U225" s="3">
        <f t="shared" si="215"/>
        <v>1</v>
      </c>
      <c r="V225" s="3">
        <f t="shared" si="215"/>
        <v>1</v>
      </c>
      <c r="W225" s="3">
        <f t="shared" si="215"/>
        <v>1</v>
      </c>
    </row>
    <row r="226" customHeight="1" spans="1:23">
      <c r="A226" s="2">
        <v>213</v>
      </c>
      <c r="B226" s="3">
        <f t="shared" ref="B226:W226" si="216">MIN(1,IF($A226&lt;B$4+B$3,0,IF(B$2=0,1,IF(B$5=0,1/(1+(B$6*EXP(-($A226-B$4)/B$7))),IF(MOD($A226-B$4,B$5)=0,1/(1+(B$6*EXP(-($A226-B$4)/B$7))),1/(1+(B$6*EXP(-(QUOTIENT($A226-B$4,B$5)*B$5)/B$7))))))))</f>
        <v>0.999999999945306</v>
      </c>
      <c r="C226" s="3">
        <f t="shared" si="216"/>
        <v>0.999999999945306</v>
      </c>
      <c r="D226" s="3" t="e">
        <f t="shared" si="216"/>
        <v>#DIV/0!</v>
      </c>
      <c r="E226" s="3" t="e">
        <f t="shared" si="216"/>
        <v>#REF!</v>
      </c>
      <c r="F226" s="3">
        <f t="shared" si="216"/>
        <v>1</v>
      </c>
      <c r="G226" s="3">
        <f t="shared" si="216"/>
        <v>1</v>
      </c>
      <c r="H226" s="3">
        <f t="shared" si="216"/>
        <v>0.999999999945306</v>
      </c>
      <c r="I226" s="3">
        <f t="shared" si="216"/>
        <v>0.999999999945306</v>
      </c>
      <c r="J226" s="3">
        <f t="shared" si="216"/>
        <v>1</v>
      </c>
      <c r="K226" s="3">
        <f t="shared" si="216"/>
        <v>0.999999999945306</v>
      </c>
      <c r="L226" s="3">
        <f t="shared" si="216"/>
        <v>0.999999999945306</v>
      </c>
      <c r="M226" s="3" t="e">
        <f t="shared" si="216"/>
        <v>#REF!</v>
      </c>
      <c r="N226" s="3">
        <f t="shared" si="216"/>
        <v>1</v>
      </c>
      <c r="O226" s="3">
        <f t="shared" si="216"/>
        <v>1</v>
      </c>
      <c r="P226" s="3">
        <f t="shared" si="216"/>
        <v>1</v>
      </c>
      <c r="Q226" s="3">
        <f t="shared" si="216"/>
        <v>1</v>
      </c>
      <c r="R226" s="3">
        <f t="shared" si="216"/>
        <v>1</v>
      </c>
      <c r="S226" s="3">
        <f t="shared" si="216"/>
        <v>1</v>
      </c>
      <c r="T226" s="3">
        <f t="shared" si="216"/>
        <v>1</v>
      </c>
      <c r="U226" s="3">
        <f t="shared" si="216"/>
        <v>1</v>
      </c>
      <c r="V226" s="3">
        <f t="shared" si="216"/>
        <v>1</v>
      </c>
      <c r="W226" s="3">
        <f t="shared" si="216"/>
        <v>1</v>
      </c>
    </row>
    <row r="227" customHeight="1" spans="1:23">
      <c r="A227" s="2">
        <v>214</v>
      </c>
      <c r="B227" s="3">
        <f t="shared" ref="B227:W227" si="217">MIN(1,IF($A227&lt;B$4+B$3,0,IF(B$2=0,1,IF(B$5=0,1/(1+(B$6*EXP(-($A227-B$4)/B$7))),IF(MOD($A227-B$4,B$5)=0,1/(1+(B$6*EXP(-($A227-B$4)/B$7))),1/(1+(B$6*EXP(-(QUOTIENT($A227-B$4,B$5)*B$5)/B$7))))))))</f>
        <v>0.999999999951733</v>
      </c>
      <c r="C227" s="3">
        <f t="shared" si="217"/>
        <v>0.999999999951733</v>
      </c>
      <c r="D227" s="3" t="e">
        <f t="shared" si="217"/>
        <v>#DIV/0!</v>
      </c>
      <c r="E227" s="3" t="e">
        <f t="shared" si="217"/>
        <v>#REF!</v>
      </c>
      <c r="F227" s="3">
        <f t="shared" si="217"/>
        <v>1</v>
      </c>
      <c r="G227" s="3">
        <f t="shared" si="217"/>
        <v>1</v>
      </c>
      <c r="H227" s="3">
        <f t="shared" si="217"/>
        <v>0.999999999951733</v>
      </c>
      <c r="I227" s="3">
        <f t="shared" si="217"/>
        <v>0.999999999951733</v>
      </c>
      <c r="J227" s="3">
        <f t="shared" si="217"/>
        <v>1</v>
      </c>
      <c r="K227" s="3">
        <f t="shared" si="217"/>
        <v>0.999999999951733</v>
      </c>
      <c r="L227" s="3">
        <f t="shared" si="217"/>
        <v>0.999999999951733</v>
      </c>
      <c r="M227" s="3" t="e">
        <f t="shared" si="217"/>
        <v>#REF!</v>
      </c>
      <c r="N227" s="3">
        <f t="shared" si="217"/>
        <v>1</v>
      </c>
      <c r="O227" s="3">
        <f t="shared" si="217"/>
        <v>1</v>
      </c>
      <c r="P227" s="3">
        <f t="shared" si="217"/>
        <v>1</v>
      </c>
      <c r="Q227" s="3">
        <f t="shared" si="217"/>
        <v>1</v>
      </c>
      <c r="R227" s="3">
        <f t="shared" si="217"/>
        <v>1</v>
      </c>
      <c r="S227" s="3">
        <f t="shared" si="217"/>
        <v>1</v>
      </c>
      <c r="T227" s="3">
        <f t="shared" si="217"/>
        <v>1</v>
      </c>
      <c r="U227" s="3">
        <f t="shared" si="217"/>
        <v>1</v>
      </c>
      <c r="V227" s="3">
        <f t="shared" si="217"/>
        <v>1</v>
      </c>
      <c r="W227" s="3">
        <f t="shared" si="217"/>
        <v>1</v>
      </c>
    </row>
    <row r="228" customHeight="1" spans="1:23">
      <c r="A228" s="2">
        <v>215</v>
      </c>
      <c r="B228" s="3">
        <f t="shared" ref="B228:W228" si="218">MIN(1,IF($A228&lt;B$4+B$3,0,IF(B$2=0,1,IF(B$5=0,1/(1+(B$6*EXP(-($A228-B$4)/B$7))),IF(MOD($A228-B$4,B$5)=0,1/(1+(B$6*EXP(-($A228-B$4)/B$7))),1/(1+(B$6*EXP(-(QUOTIENT($A228-B$4,B$5)*B$5)/B$7))))))))</f>
        <v>0.999999999957404</v>
      </c>
      <c r="C228" s="3">
        <f t="shared" si="218"/>
        <v>0.999999999957404</v>
      </c>
      <c r="D228" s="3" t="e">
        <f t="shared" si="218"/>
        <v>#DIV/0!</v>
      </c>
      <c r="E228" s="3" t="e">
        <f t="shared" si="218"/>
        <v>#REF!</v>
      </c>
      <c r="F228" s="3">
        <f t="shared" si="218"/>
        <v>1</v>
      </c>
      <c r="G228" s="3">
        <f t="shared" si="218"/>
        <v>1</v>
      </c>
      <c r="H228" s="3">
        <f t="shared" si="218"/>
        <v>0.999999999957404</v>
      </c>
      <c r="I228" s="3">
        <f t="shared" si="218"/>
        <v>0.999999999957404</v>
      </c>
      <c r="J228" s="3">
        <f t="shared" si="218"/>
        <v>1</v>
      </c>
      <c r="K228" s="3">
        <f t="shared" si="218"/>
        <v>0.999999999957404</v>
      </c>
      <c r="L228" s="3">
        <f t="shared" si="218"/>
        <v>0.999999999957404</v>
      </c>
      <c r="M228" s="3" t="e">
        <f t="shared" si="218"/>
        <v>#REF!</v>
      </c>
      <c r="N228" s="3">
        <f t="shared" si="218"/>
        <v>1</v>
      </c>
      <c r="O228" s="3">
        <f t="shared" si="218"/>
        <v>1</v>
      </c>
      <c r="P228" s="3">
        <f t="shared" si="218"/>
        <v>1</v>
      </c>
      <c r="Q228" s="3">
        <f t="shared" si="218"/>
        <v>1</v>
      </c>
      <c r="R228" s="3">
        <f t="shared" si="218"/>
        <v>1</v>
      </c>
      <c r="S228" s="3">
        <f t="shared" si="218"/>
        <v>1</v>
      </c>
      <c r="T228" s="3">
        <f t="shared" si="218"/>
        <v>1</v>
      </c>
      <c r="U228" s="3">
        <f t="shared" si="218"/>
        <v>1</v>
      </c>
      <c r="V228" s="3">
        <f t="shared" si="218"/>
        <v>1</v>
      </c>
      <c r="W228" s="3">
        <f t="shared" si="218"/>
        <v>1</v>
      </c>
    </row>
    <row r="229" customHeight="1" spans="1:23">
      <c r="A229" s="2">
        <v>216</v>
      </c>
      <c r="B229" s="3">
        <f t="shared" ref="B229:W229" si="219">MIN(1,IF($A229&lt;B$4+B$3,0,IF(B$2=0,1,IF(B$5=0,1/(1+(B$6*EXP(-($A229-B$4)/B$7))),IF(MOD($A229-B$4,B$5)=0,1/(1+(B$6*EXP(-($A229-B$4)/B$7))),1/(1+(B$6*EXP(-(QUOTIENT($A229-B$4,B$5)*B$5)/B$7))))))))</f>
        <v>0.999999999962409</v>
      </c>
      <c r="C229" s="3">
        <f t="shared" si="219"/>
        <v>0.999999999962409</v>
      </c>
      <c r="D229" s="3" t="e">
        <f t="shared" si="219"/>
        <v>#DIV/0!</v>
      </c>
      <c r="E229" s="3" t="e">
        <f t="shared" si="219"/>
        <v>#REF!</v>
      </c>
      <c r="F229" s="3">
        <f t="shared" si="219"/>
        <v>1</v>
      </c>
      <c r="G229" s="3">
        <f t="shared" si="219"/>
        <v>1</v>
      </c>
      <c r="H229" s="3">
        <f t="shared" si="219"/>
        <v>0.999999999962409</v>
      </c>
      <c r="I229" s="3">
        <f t="shared" si="219"/>
        <v>0.999999999962409</v>
      </c>
      <c r="J229" s="3">
        <f t="shared" si="219"/>
        <v>1</v>
      </c>
      <c r="K229" s="3">
        <f t="shared" si="219"/>
        <v>0.999999999962409</v>
      </c>
      <c r="L229" s="3">
        <f t="shared" si="219"/>
        <v>0.999999999962409</v>
      </c>
      <c r="M229" s="3" t="e">
        <f t="shared" si="219"/>
        <v>#REF!</v>
      </c>
      <c r="N229" s="3">
        <f t="shared" si="219"/>
        <v>1</v>
      </c>
      <c r="O229" s="3">
        <f t="shared" si="219"/>
        <v>1</v>
      </c>
      <c r="P229" s="3">
        <f t="shared" si="219"/>
        <v>1</v>
      </c>
      <c r="Q229" s="3">
        <f t="shared" si="219"/>
        <v>1</v>
      </c>
      <c r="R229" s="3">
        <f t="shared" si="219"/>
        <v>1</v>
      </c>
      <c r="S229" s="3">
        <f t="shared" si="219"/>
        <v>1</v>
      </c>
      <c r="T229" s="3">
        <f t="shared" si="219"/>
        <v>1</v>
      </c>
      <c r="U229" s="3">
        <f t="shared" si="219"/>
        <v>1</v>
      </c>
      <c r="V229" s="3">
        <f t="shared" si="219"/>
        <v>1</v>
      </c>
      <c r="W229" s="3">
        <f t="shared" si="219"/>
        <v>1</v>
      </c>
    </row>
    <row r="230" customHeight="1" spans="1:23">
      <c r="A230" s="2">
        <v>217</v>
      </c>
      <c r="B230" s="3">
        <f t="shared" ref="B230:W230" si="220">MIN(1,IF($A230&lt;B$4+B$3,0,IF(B$2=0,1,IF(B$5=0,1/(1+(B$6*EXP(-($A230-B$4)/B$7))),IF(MOD($A230-B$4,B$5)=0,1/(1+(B$6*EXP(-($A230-B$4)/B$7))),1/(1+(B$6*EXP(-(QUOTIENT($A230-B$4,B$5)*B$5)/B$7))))))))</f>
        <v>0.999999999966827</v>
      </c>
      <c r="C230" s="3">
        <f t="shared" si="220"/>
        <v>0.999999999966827</v>
      </c>
      <c r="D230" s="3" t="e">
        <f t="shared" si="220"/>
        <v>#DIV/0!</v>
      </c>
      <c r="E230" s="3" t="e">
        <f t="shared" si="220"/>
        <v>#REF!</v>
      </c>
      <c r="F230" s="3">
        <f t="shared" si="220"/>
        <v>1</v>
      </c>
      <c r="G230" s="3">
        <f t="shared" si="220"/>
        <v>1</v>
      </c>
      <c r="H230" s="3">
        <f t="shared" si="220"/>
        <v>0.999999999966827</v>
      </c>
      <c r="I230" s="3">
        <f t="shared" si="220"/>
        <v>0.999999999966827</v>
      </c>
      <c r="J230" s="3">
        <f t="shared" si="220"/>
        <v>1</v>
      </c>
      <c r="K230" s="3">
        <f t="shared" si="220"/>
        <v>0.999999999966827</v>
      </c>
      <c r="L230" s="3">
        <f t="shared" si="220"/>
        <v>0.999999999966827</v>
      </c>
      <c r="M230" s="3" t="e">
        <f t="shared" si="220"/>
        <v>#REF!</v>
      </c>
      <c r="N230" s="3">
        <f t="shared" si="220"/>
        <v>1</v>
      </c>
      <c r="O230" s="3">
        <f t="shared" si="220"/>
        <v>1</v>
      </c>
      <c r="P230" s="3">
        <f t="shared" si="220"/>
        <v>1</v>
      </c>
      <c r="Q230" s="3">
        <f t="shared" si="220"/>
        <v>1</v>
      </c>
      <c r="R230" s="3">
        <f t="shared" si="220"/>
        <v>1</v>
      </c>
      <c r="S230" s="3">
        <f t="shared" si="220"/>
        <v>1</v>
      </c>
      <c r="T230" s="3">
        <f t="shared" si="220"/>
        <v>1</v>
      </c>
      <c r="U230" s="3">
        <f t="shared" si="220"/>
        <v>1</v>
      </c>
      <c r="V230" s="3">
        <f t="shared" si="220"/>
        <v>1</v>
      </c>
      <c r="W230" s="3">
        <f t="shared" si="220"/>
        <v>1</v>
      </c>
    </row>
    <row r="231" customHeight="1" spans="1:23">
      <c r="A231" s="2">
        <v>218</v>
      </c>
      <c r="B231" s="3">
        <f t="shared" ref="B231:W231" si="221">MIN(1,IF($A231&lt;B$4+B$3,0,IF(B$2=0,1,IF(B$5=0,1/(1+(B$6*EXP(-($A231-B$4)/B$7))),IF(MOD($A231-B$4,B$5)=0,1/(1+(B$6*EXP(-($A231-B$4)/B$7))),1/(1+(B$6*EXP(-(QUOTIENT($A231-B$4,B$5)*B$5)/B$7))))))))</f>
        <v>0.999999999970725</v>
      </c>
      <c r="C231" s="3">
        <f t="shared" si="221"/>
        <v>0.999999999970725</v>
      </c>
      <c r="D231" s="3" t="e">
        <f t="shared" si="221"/>
        <v>#DIV/0!</v>
      </c>
      <c r="E231" s="3" t="e">
        <f t="shared" si="221"/>
        <v>#REF!</v>
      </c>
      <c r="F231" s="3">
        <f t="shared" si="221"/>
        <v>1</v>
      </c>
      <c r="G231" s="3">
        <f t="shared" si="221"/>
        <v>1</v>
      </c>
      <c r="H231" s="3">
        <f t="shared" si="221"/>
        <v>0.999999999970725</v>
      </c>
      <c r="I231" s="3">
        <f t="shared" si="221"/>
        <v>0.999999999970725</v>
      </c>
      <c r="J231" s="3">
        <f t="shared" si="221"/>
        <v>1</v>
      </c>
      <c r="K231" s="3">
        <f t="shared" si="221"/>
        <v>0.999999999970725</v>
      </c>
      <c r="L231" s="3">
        <f t="shared" si="221"/>
        <v>0.999999999970725</v>
      </c>
      <c r="M231" s="3" t="e">
        <f t="shared" si="221"/>
        <v>#REF!</v>
      </c>
      <c r="N231" s="3">
        <f t="shared" si="221"/>
        <v>1</v>
      </c>
      <c r="O231" s="3">
        <f t="shared" si="221"/>
        <v>1</v>
      </c>
      <c r="P231" s="3">
        <f t="shared" si="221"/>
        <v>1</v>
      </c>
      <c r="Q231" s="3">
        <f t="shared" si="221"/>
        <v>1</v>
      </c>
      <c r="R231" s="3">
        <f t="shared" si="221"/>
        <v>1</v>
      </c>
      <c r="S231" s="3">
        <f t="shared" si="221"/>
        <v>1</v>
      </c>
      <c r="T231" s="3">
        <f t="shared" si="221"/>
        <v>1</v>
      </c>
      <c r="U231" s="3">
        <f t="shared" si="221"/>
        <v>1</v>
      </c>
      <c r="V231" s="3">
        <f t="shared" si="221"/>
        <v>1</v>
      </c>
      <c r="W231" s="3">
        <f t="shared" si="221"/>
        <v>1</v>
      </c>
    </row>
    <row r="232" customHeight="1" spans="1:23">
      <c r="A232" s="2">
        <v>219</v>
      </c>
      <c r="B232" s="3">
        <f t="shared" ref="B232:W232" si="222">MIN(1,IF($A232&lt;B$4+B$3,0,IF(B$2=0,1,IF(B$5=0,1/(1+(B$6*EXP(-($A232-B$4)/B$7))),IF(MOD($A232-B$4,B$5)=0,1/(1+(B$6*EXP(-($A232-B$4)/B$7))),1/(1+(B$6*EXP(-(QUOTIENT($A232-B$4,B$5)*B$5)/B$7))))))))</f>
        <v>0.999999999974164</v>
      </c>
      <c r="C232" s="3">
        <f t="shared" si="222"/>
        <v>0.999999999974164</v>
      </c>
      <c r="D232" s="3" t="e">
        <f t="shared" si="222"/>
        <v>#DIV/0!</v>
      </c>
      <c r="E232" s="3" t="e">
        <f t="shared" si="222"/>
        <v>#REF!</v>
      </c>
      <c r="F232" s="3">
        <f t="shared" si="222"/>
        <v>1</v>
      </c>
      <c r="G232" s="3">
        <f t="shared" si="222"/>
        <v>1</v>
      </c>
      <c r="H232" s="3">
        <f t="shared" si="222"/>
        <v>0.999999999974164</v>
      </c>
      <c r="I232" s="3">
        <f t="shared" si="222"/>
        <v>0.999999999974164</v>
      </c>
      <c r="J232" s="3">
        <f t="shared" si="222"/>
        <v>1</v>
      </c>
      <c r="K232" s="3">
        <f t="shared" si="222"/>
        <v>0.999999999974164</v>
      </c>
      <c r="L232" s="3">
        <f t="shared" si="222"/>
        <v>0.999999999974164</v>
      </c>
      <c r="M232" s="3" t="e">
        <f t="shared" si="222"/>
        <v>#REF!</v>
      </c>
      <c r="N232" s="3">
        <f t="shared" si="222"/>
        <v>1</v>
      </c>
      <c r="O232" s="3">
        <f t="shared" si="222"/>
        <v>1</v>
      </c>
      <c r="P232" s="3">
        <f t="shared" si="222"/>
        <v>1</v>
      </c>
      <c r="Q232" s="3">
        <f t="shared" si="222"/>
        <v>1</v>
      </c>
      <c r="R232" s="3">
        <f t="shared" si="222"/>
        <v>1</v>
      </c>
      <c r="S232" s="3">
        <f t="shared" si="222"/>
        <v>1</v>
      </c>
      <c r="T232" s="3">
        <f t="shared" si="222"/>
        <v>1</v>
      </c>
      <c r="U232" s="3">
        <f t="shared" si="222"/>
        <v>1</v>
      </c>
      <c r="V232" s="3">
        <f t="shared" si="222"/>
        <v>1</v>
      </c>
      <c r="W232" s="3">
        <f t="shared" si="222"/>
        <v>1</v>
      </c>
    </row>
    <row r="233" customHeight="1" spans="1:23">
      <c r="A233" s="2">
        <v>220</v>
      </c>
      <c r="B233" s="3">
        <f t="shared" ref="B233:W233" si="223">MIN(1,IF($A233&lt;B$4+B$3,0,IF(B$2=0,1,IF(B$5=0,1/(1+(B$6*EXP(-($A233-B$4)/B$7))),IF(MOD($A233-B$4,B$5)=0,1/(1+(B$6*EXP(-($A233-B$4)/B$7))),1/(1+(B$6*EXP(-(QUOTIENT($A233-B$4,B$5)*B$5)/B$7))))))))</f>
        <v>0.9999999999772</v>
      </c>
      <c r="C233" s="3">
        <f t="shared" si="223"/>
        <v>0.9999999999772</v>
      </c>
      <c r="D233" s="3" t="e">
        <f t="shared" si="223"/>
        <v>#DIV/0!</v>
      </c>
      <c r="E233" s="3" t="e">
        <f t="shared" si="223"/>
        <v>#REF!</v>
      </c>
      <c r="F233" s="3">
        <f t="shared" si="223"/>
        <v>1</v>
      </c>
      <c r="G233" s="3">
        <f t="shared" si="223"/>
        <v>1</v>
      </c>
      <c r="H233" s="3">
        <f t="shared" si="223"/>
        <v>0.9999999999772</v>
      </c>
      <c r="I233" s="3">
        <f t="shared" si="223"/>
        <v>0.9999999999772</v>
      </c>
      <c r="J233" s="3">
        <f t="shared" si="223"/>
        <v>1</v>
      </c>
      <c r="K233" s="3">
        <f t="shared" si="223"/>
        <v>0.9999999999772</v>
      </c>
      <c r="L233" s="3">
        <f t="shared" si="223"/>
        <v>0.9999999999772</v>
      </c>
      <c r="M233" s="3" t="e">
        <f t="shared" si="223"/>
        <v>#REF!</v>
      </c>
      <c r="N233" s="3">
        <f t="shared" si="223"/>
        <v>1</v>
      </c>
      <c r="O233" s="3">
        <f t="shared" si="223"/>
        <v>1</v>
      </c>
      <c r="P233" s="3">
        <f t="shared" si="223"/>
        <v>1</v>
      </c>
      <c r="Q233" s="3">
        <f t="shared" si="223"/>
        <v>1</v>
      </c>
      <c r="R233" s="3">
        <f t="shared" si="223"/>
        <v>1</v>
      </c>
      <c r="S233" s="3">
        <f t="shared" si="223"/>
        <v>1</v>
      </c>
      <c r="T233" s="3">
        <f t="shared" si="223"/>
        <v>1</v>
      </c>
      <c r="U233" s="3">
        <f t="shared" si="223"/>
        <v>1</v>
      </c>
      <c r="V233" s="3">
        <f t="shared" si="223"/>
        <v>1</v>
      </c>
      <c r="W233" s="3">
        <f t="shared" si="223"/>
        <v>1</v>
      </c>
    </row>
    <row r="234" customHeight="1" spans="1:23">
      <c r="A234" s="2">
        <v>221</v>
      </c>
      <c r="B234" s="3">
        <f t="shared" ref="B234:W234" si="224">MIN(1,IF($A234&lt;B$4+B$3,0,IF(B$2=0,1,IF(B$5=0,1/(1+(B$6*EXP(-($A234-B$4)/B$7))),IF(MOD($A234-B$4,B$5)=0,1/(1+(B$6*EXP(-($A234-B$4)/B$7))),1/(1+(B$6*EXP(-(QUOTIENT($A234-B$4,B$5)*B$5)/B$7))))))))</f>
        <v>0.999999999979879</v>
      </c>
      <c r="C234" s="3">
        <f t="shared" si="224"/>
        <v>0.999999999979879</v>
      </c>
      <c r="D234" s="3" t="e">
        <f t="shared" si="224"/>
        <v>#DIV/0!</v>
      </c>
      <c r="E234" s="3" t="e">
        <f t="shared" si="224"/>
        <v>#REF!</v>
      </c>
      <c r="F234" s="3">
        <f t="shared" si="224"/>
        <v>1</v>
      </c>
      <c r="G234" s="3">
        <f t="shared" si="224"/>
        <v>1</v>
      </c>
      <c r="H234" s="3">
        <f t="shared" si="224"/>
        <v>0.999999999979879</v>
      </c>
      <c r="I234" s="3">
        <f t="shared" si="224"/>
        <v>0.999999999979879</v>
      </c>
      <c r="J234" s="3">
        <f t="shared" si="224"/>
        <v>1</v>
      </c>
      <c r="K234" s="3">
        <f t="shared" si="224"/>
        <v>0.999999999979879</v>
      </c>
      <c r="L234" s="3">
        <f t="shared" si="224"/>
        <v>0.999999999979879</v>
      </c>
      <c r="M234" s="3" t="e">
        <f t="shared" si="224"/>
        <v>#REF!</v>
      </c>
      <c r="N234" s="3">
        <f t="shared" si="224"/>
        <v>1</v>
      </c>
      <c r="O234" s="3">
        <f t="shared" si="224"/>
        <v>1</v>
      </c>
      <c r="P234" s="3">
        <f t="shared" si="224"/>
        <v>1</v>
      </c>
      <c r="Q234" s="3">
        <f t="shared" si="224"/>
        <v>1</v>
      </c>
      <c r="R234" s="3">
        <f t="shared" si="224"/>
        <v>1</v>
      </c>
      <c r="S234" s="3">
        <f t="shared" si="224"/>
        <v>1</v>
      </c>
      <c r="T234" s="3">
        <f t="shared" si="224"/>
        <v>1</v>
      </c>
      <c r="U234" s="3">
        <f t="shared" si="224"/>
        <v>1</v>
      </c>
      <c r="V234" s="3">
        <f t="shared" si="224"/>
        <v>1</v>
      </c>
      <c r="W234" s="3">
        <f t="shared" si="224"/>
        <v>1</v>
      </c>
    </row>
    <row r="235" customHeight="1" spans="1:23">
      <c r="A235" s="2">
        <v>222</v>
      </c>
      <c r="B235" s="3">
        <f t="shared" ref="B235:W235" si="225">MIN(1,IF($A235&lt;B$4+B$3,0,IF(B$2=0,1,IF(B$5=0,1/(1+(B$6*EXP(-($A235-B$4)/B$7))),IF(MOD($A235-B$4,B$5)=0,1/(1+(B$6*EXP(-($A235-B$4)/B$7))),1/(1+(B$6*EXP(-(QUOTIENT($A235-B$4,B$5)*B$5)/B$7))))))))</f>
        <v>0.999999999982244</v>
      </c>
      <c r="C235" s="3">
        <f t="shared" si="225"/>
        <v>0.999999999982244</v>
      </c>
      <c r="D235" s="3" t="e">
        <f t="shared" si="225"/>
        <v>#DIV/0!</v>
      </c>
      <c r="E235" s="3" t="e">
        <f t="shared" si="225"/>
        <v>#REF!</v>
      </c>
      <c r="F235" s="3">
        <f t="shared" si="225"/>
        <v>1</v>
      </c>
      <c r="G235" s="3">
        <f t="shared" si="225"/>
        <v>1</v>
      </c>
      <c r="H235" s="3">
        <f t="shared" si="225"/>
        <v>0.999999999982244</v>
      </c>
      <c r="I235" s="3">
        <f t="shared" si="225"/>
        <v>0.999999999982244</v>
      </c>
      <c r="J235" s="3">
        <f t="shared" si="225"/>
        <v>1</v>
      </c>
      <c r="K235" s="3">
        <f t="shared" si="225"/>
        <v>0.999999999982244</v>
      </c>
      <c r="L235" s="3">
        <f t="shared" si="225"/>
        <v>0.999999999982244</v>
      </c>
      <c r="M235" s="3" t="e">
        <f t="shared" si="225"/>
        <v>#REF!</v>
      </c>
      <c r="N235" s="3">
        <f t="shared" si="225"/>
        <v>1</v>
      </c>
      <c r="O235" s="3">
        <f t="shared" si="225"/>
        <v>1</v>
      </c>
      <c r="P235" s="3">
        <f t="shared" si="225"/>
        <v>1</v>
      </c>
      <c r="Q235" s="3">
        <f t="shared" si="225"/>
        <v>1</v>
      </c>
      <c r="R235" s="3">
        <f t="shared" si="225"/>
        <v>1</v>
      </c>
      <c r="S235" s="3">
        <f t="shared" si="225"/>
        <v>1</v>
      </c>
      <c r="T235" s="3">
        <f t="shared" si="225"/>
        <v>1</v>
      </c>
      <c r="U235" s="3">
        <f t="shared" si="225"/>
        <v>1</v>
      </c>
      <c r="V235" s="3">
        <f t="shared" si="225"/>
        <v>1</v>
      </c>
      <c r="W235" s="3">
        <f t="shared" si="225"/>
        <v>1</v>
      </c>
    </row>
    <row r="236" customHeight="1" spans="1:23">
      <c r="A236" s="2">
        <v>223</v>
      </c>
      <c r="B236" s="3">
        <f t="shared" ref="B236:W236" si="226">MIN(1,IF($A236&lt;B$4+B$3,0,IF(B$2=0,1,IF(B$5=0,1/(1+(B$6*EXP(-($A236-B$4)/B$7))),IF(MOD($A236-B$4,B$5)=0,1/(1+(B$6*EXP(-($A236-B$4)/B$7))),1/(1+(B$6*EXP(-(QUOTIENT($A236-B$4,B$5)*B$5)/B$7))))))))</f>
        <v>0.99999999998433</v>
      </c>
      <c r="C236" s="3">
        <f t="shared" si="226"/>
        <v>0.99999999998433</v>
      </c>
      <c r="D236" s="3" t="e">
        <f t="shared" si="226"/>
        <v>#DIV/0!</v>
      </c>
      <c r="E236" s="3" t="e">
        <f t="shared" si="226"/>
        <v>#REF!</v>
      </c>
      <c r="F236" s="3">
        <f t="shared" si="226"/>
        <v>1</v>
      </c>
      <c r="G236" s="3">
        <f t="shared" si="226"/>
        <v>1</v>
      </c>
      <c r="H236" s="3">
        <f t="shared" si="226"/>
        <v>0.99999999998433</v>
      </c>
      <c r="I236" s="3">
        <f t="shared" si="226"/>
        <v>0.99999999998433</v>
      </c>
      <c r="J236" s="3">
        <f t="shared" si="226"/>
        <v>1</v>
      </c>
      <c r="K236" s="3">
        <f t="shared" si="226"/>
        <v>0.99999999998433</v>
      </c>
      <c r="L236" s="3">
        <f t="shared" si="226"/>
        <v>0.99999999998433</v>
      </c>
      <c r="M236" s="3" t="e">
        <f t="shared" si="226"/>
        <v>#REF!</v>
      </c>
      <c r="N236" s="3">
        <f t="shared" si="226"/>
        <v>1</v>
      </c>
      <c r="O236" s="3">
        <f t="shared" si="226"/>
        <v>1</v>
      </c>
      <c r="P236" s="3">
        <f t="shared" si="226"/>
        <v>1</v>
      </c>
      <c r="Q236" s="3">
        <f t="shared" si="226"/>
        <v>1</v>
      </c>
      <c r="R236" s="3">
        <f t="shared" si="226"/>
        <v>1</v>
      </c>
      <c r="S236" s="3">
        <f t="shared" si="226"/>
        <v>1</v>
      </c>
      <c r="T236" s="3">
        <f t="shared" si="226"/>
        <v>1</v>
      </c>
      <c r="U236" s="3">
        <f t="shared" si="226"/>
        <v>1</v>
      </c>
      <c r="V236" s="3">
        <f t="shared" si="226"/>
        <v>1</v>
      </c>
      <c r="W236" s="3">
        <f t="shared" si="226"/>
        <v>1</v>
      </c>
    </row>
    <row r="237" customHeight="1" spans="1:23">
      <c r="A237" s="2">
        <v>224</v>
      </c>
      <c r="B237" s="3">
        <f t="shared" ref="B237:W237" si="227">MIN(1,IF($A237&lt;B$4+B$3,0,IF(B$2=0,1,IF(B$5=0,1/(1+(B$6*EXP(-($A237-B$4)/B$7))),IF(MOD($A237-B$4,B$5)=0,1/(1+(B$6*EXP(-($A237-B$4)/B$7))),1/(1+(B$6*EXP(-(QUOTIENT($A237-B$4,B$5)*B$5)/B$7))))))))</f>
        <v>0.999999999986171</v>
      </c>
      <c r="C237" s="3">
        <f t="shared" si="227"/>
        <v>0.999999999986171</v>
      </c>
      <c r="D237" s="3" t="e">
        <f t="shared" si="227"/>
        <v>#DIV/0!</v>
      </c>
      <c r="E237" s="3" t="e">
        <f t="shared" si="227"/>
        <v>#REF!</v>
      </c>
      <c r="F237" s="3">
        <f t="shared" si="227"/>
        <v>1</v>
      </c>
      <c r="G237" s="3">
        <f t="shared" si="227"/>
        <v>1</v>
      </c>
      <c r="H237" s="3">
        <f t="shared" si="227"/>
        <v>0.999999999986171</v>
      </c>
      <c r="I237" s="3">
        <f t="shared" si="227"/>
        <v>0.999999999986171</v>
      </c>
      <c r="J237" s="3">
        <f t="shared" si="227"/>
        <v>1</v>
      </c>
      <c r="K237" s="3">
        <f t="shared" si="227"/>
        <v>0.999999999986171</v>
      </c>
      <c r="L237" s="3">
        <f t="shared" si="227"/>
        <v>0.999999999986171</v>
      </c>
      <c r="M237" s="3" t="e">
        <f t="shared" si="227"/>
        <v>#REF!</v>
      </c>
      <c r="N237" s="3">
        <f t="shared" si="227"/>
        <v>1</v>
      </c>
      <c r="O237" s="3">
        <f t="shared" si="227"/>
        <v>1</v>
      </c>
      <c r="P237" s="3">
        <f t="shared" si="227"/>
        <v>1</v>
      </c>
      <c r="Q237" s="3">
        <f t="shared" si="227"/>
        <v>1</v>
      </c>
      <c r="R237" s="3">
        <f t="shared" si="227"/>
        <v>1</v>
      </c>
      <c r="S237" s="3">
        <f t="shared" si="227"/>
        <v>1</v>
      </c>
      <c r="T237" s="3">
        <f t="shared" si="227"/>
        <v>1</v>
      </c>
      <c r="U237" s="3">
        <f t="shared" si="227"/>
        <v>1</v>
      </c>
      <c r="V237" s="3">
        <f t="shared" si="227"/>
        <v>1</v>
      </c>
      <c r="W237" s="3">
        <f t="shared" si="227"/>
        <v>1</v>
      </c>
    </row>
    <row r="238" customHeight="1" spans="1:23">
      <c r="A238" s="2">
        <v>225</v>
      </c>
      <c r="B238" s="3">
        <f t="shared" ref="B238:W238" si="228">MIN(1,IF($A238&lt;B$4+B$3,0,IF(B$2=0,1,IF(B$5=0,1/(1+(B$6*EXP(-($A238-B$4)/B$7))),IF(MOD($A238-B$4,B$5)=0,1/(1+(B$6*EXP(-($A238-B$4)/B$7))),1/(1+(B$6*EXP(-(QUOTIENT($A238-B$4,B$5)*B$5)/B$7))))))))</f>
        <v>0.999999999987796</v>
      </c>
      <c r="C238" s="3">
        <f t="shared" si="228"/>
        <v>0.999999999987796</v>
      </c>
      <c r="D238" s="3" t="e">
        <f t="shared" si="228"/>
        <v>#DIV/0!</v>
      </c>
      <c r="E238" s="3" t="e">
        <f t="shared" si="228"/>
        <v>#REF!</v>
      </c>
      <c r="F238" s="3">
        <f t="shared" si="228"/>
        <v>1</v>
      </c>
      <c r="G238" s="3">
        <f t="shared" si="228"/>
        <v>1</v>
      </c>
      <c r="H238" s="3">
        <f t="shared" si="228"/>
        <v>0.999999999987796</v>
      </c>
      <c r="I238" s="3">
        <f t="shared" si="228"/>
        <v>0.999999999987796</v>
      </c>
      <c r="J238" s="3">
        <f t="shared" si="228"/>
        <v>1</v>
      </c>
      <c r="K238" s="3">
        <f t="shared" si="228"/>
        <v>0.999999999987796</v>
      </c>
      <c r="L238" s="3">
        <f t="shared" si="228"/>
        <v>0.999999999987796</v>
      </c>
      <c r="M238" s="3" t="e">
        <f t="shared" si="228"/>
        <v>#REF!</v>
      </c>
      <c r="N238" s="3">
        <f t="shared" si="228"/>
        <v>1</v>
      </c>
      <c r="O238" s="3">
        <f t="shared" si="228"/>
        <v>1</v>
      </c>
      <c r="P238" s="3">
        <f t="shared" si="228"/>
        <v>1</v>
      </c>
      <c r="Q238" s="3">
        <f t="shared" si="228"/>
        <v>1</v>
      </c>
      <c r="R238" s="3">
        <f t="shared" si="228"/>
        <v>1</v>
      </c>
      <c r="S238" s="3">
        <f t="shared" si="228"/>
        <v>1</v>
      </c>
      <c r="T238" s="3">
        <f t="shared" si="228"/>
        <v>1</v>
      </c>
      <c r="U238" s="3">
        <f t="shared" si="228"/>
        <v>1</v>
      </c>
      <c r="V238" s="3">
        <f t="shared" si="228"/>
        <v>1</v>
      </c>
      <c r="W238" s="3">
        <f t="shared" si="228"/>
        <v>1</v>
      </c>
    </row>
    <row r="239" customHeight="1" spans="1:23">
      <c r="A239" s="2">
        <v>226</v>
      </c>
      <c r="B239" s="3">
        <f t="shared" ref="B239:W239" si="229">MIN(1,IF($A239&lt;B$4+B$3,0,IF(B$2=0,1,IF(B$5=0,1/(1+(B$6*EXP(-($A239-B$4)/B$7))),IF(MOD($A239-B$4,B$5)=0,1/(1+(B$6*EXP(-($A239-B$4)/B$7))),1/(1+(B$6*EXP(-(QUOTIENT($A239-B$4,B$5)*B$5)/B$7))))))))</f>
        <v>0.99999999998923</v>
      </c>
      <c r="C239" s="3">
        <f t="shared" si="229"/>
        <v>0.99999999998923</v>
      </c>
      <c r="D239" s="3" t="e">
        <f t="shared" si="229"/>
        <v>#DIV/0!</v>
      </c>
      <c r="E239" s="3" t="e">
        <f t="shared" si="229"/>
        <v>#REF!</v>
      </c>
      <c r="F239" s="3">
        <f t="shared" si="229"/>
        <v>1</v>
      </c>
      <c r="G239" s="3">
        <f t="shared" si="229"/>
        <v>1</v>
      </c>
      <c r="H239" s="3">
        <f t="shared" si="229"/>
        <v>0.99999999998923</v>
      </c>
      <c r="I239" s="3">
        <f t="shared" si="229"/>
        <v>0.99999999998923</v>
      </c>
      <c r="J239" s="3">
        <f t="shared" si="229"/>
        <v>1</v>
      </c>
      <c r="K239" s="3">
        <f t="shared" si="229"/>
        <v>0.99999999998923</v>
      </c>
      <c r="L239" s="3">
        <f t="shared" si="229"/>
        <v>0.99999999998923</v>
      </c>
      <c r="M239" s="3" t="e">
        <f t="shared" si="229"/>
        <v>#REF!</v>
      </c>
      <c r="N239" s="3">
        <f t="shared" si="229"/>
        <v>1</v>
      </c>
      <c r="O239" s="3">
        <f t="shared" si="229"/>
        <v>1</v>
      </c>
      <c r="P239" s="3">
        <f t="shared" si="229"/>
        <v>1</v>
      </c>
      <c r="Q239" s="3">
        <f t="shared" si="229"/>
        <v>1</v>
      </c>
      <c r="R239" s="3">
        <f t="shared" si="229"/>
        <v>1</v>
      </c>
      <c r="S239" s="3">
        <f t="shared" si="229"/>
        <v>1</v>
      </c>
      <c r="T239" s="3">
        <f t="shared" si="229"/>
        <v>1</v>
      </c>
      <c r="U239" s="3">
        <f t="shared" si="229"/>
        <v>1</v>
      </c>
      <c r="V239" s="3">
        <f t="shared" si="229"/>
        <v>1</v>
      </c>
      <c r="W239" s="3">
        <f t="shared" si="229"/>
        <v>1</v>
      </c>
    </row>
    <row r="240" customHeight="1" spans="1:23">
      <c r="A240" s="2">
        <v>227</v>
      </c>
      <c r="B240" s="3">
        <f t="shared" ref="B240:W240" si="230">MIN(1,IF($A240&lt;B$4+B$3,0,IF(B$2=0,1,IF(B$5=0,1/(1+(B$6*EXP(-($A240-B$4)/B$7))),IF(MOD($A240-B$4,B$5)=0,1/(1+(B$6*EXP(-($A240-B$4)/B$7))),1/(1+(B$6*EXP(-(QUOTIENT($A240-B$4,B$5)*B$5)/B$7))))))))</f>
        <v>0.999999999990496</v>
      </c>
      <c r="C240" s="3">
        <f t="shared" si="230"/>
        <v>0.999999999990496</v>
      </c>
      <c r="D240" s="3" t="e">
        <f t="shared" si="230"/>
        <v>#DIV/0!</v>
      </c>
      <c r="E240" s="3" t="e">
        <f t="shared" si="230"/>
        <v>#REF!</v>
      </c>
      <c r="F240" s="3">
        <f t="shared" si="230"/>
        <v>1</v>
      </c>
      <c r="G240" s="3">
        <f t="shared" si="230"/>
        <v>1</v>
      </c>
      <c r="H240" s="3">
        <f t="shared" si="230"/>
        <v>0.999999999990496</v>
      </c>
      <c r="I240" s="3">
        <f t="shared" si="230"/>
        <v>0.999999999990496</v>
      </c>
      <c r="J240" s="3">
        <f t="shared" si="230"/>
        <v>1</v>
      </c>
      <c r="K240" s="3">
        <f t="shared" si="230"/>
        <v>0.999999999990496</v>
      </c>
      <c r="L240" s="3">
        <f t="shared" si="230"/>
        <v>0.999999999990496</v>
      </c>
      <c r="M240" s="3" t="e">
        <f t="shared" si="230"/>
        <v>#REF!</v>
      </c>
      <c r="N240" s="3">
        <f t="shared" si="230"/>
        <v>1</v>
      </c>
      <c r="O240" s="3">
        <f t="shared" si="230"/>
        <v>1</v>
      </c>
      <c r="P240" s="3">
        <f t="shared" si="230"/>
        <v>1</v>
      </c>
      <c r="Q240" s="3">
        <f t="shared" si="230"/>
        <v>1</v>
      </c>
      <c r="R240" s="3">
        <f t="shared" si="230"/>
        <v>1</v>
      </c>
      <c r="S240" s="3">
        <f t="shared" si="230"/>
        <v>1</v>
      </c>
      <c r="T240" s="3">
        <f t="shared" si="230"/>
        <v>1</v>
      </c>
      <c r="U240" s="3">
        <f t="shared" si="230"/>
        <v>1</v>
      </c>
      <c r="V240" s="3">
        <f t="shared" si="230"/>
        <v>1</v>
      </c>
      <c r="W240" s="3">
        <f t="shared" si="230"/>
        <v>1</v>
      </c>
    </row>
    <row r="241" customHeight="1" spans="1:23">
      <c r="A241" s="2">
        <v>228</v>
      </c>
      <c r="B241" s="3">
        <f t="shared" ref="B241:W241" si="231">MIN(1,IF($A241&lt;B$4+B$3,0,IF(B$2=0,1,IF(B$5=0,1/(1+(B$6*EXP(-($A241-B$4)/B$7))),IF(MOD($A241-B$4,B$5)=0,1/(1+(B$6*EXP(-($A241-B$4)/B$7))),1/(1+(B$6*EXP(-(QUOTIENT($A241-B$4,B$5)*B$5)/B$7))))))))</f>
        <v>0.999999999991612</v>
      </c>
      <c r="C241" s="3">
        <f t="shared" si="231"/>
        <v>0.999999999991612</v>
      </c>
      <c r="D241" s="3" t="e">
        <f t="shared" si="231"/>
        <v>#DIV/0!</v>
      </c>
      <c r="E241" s="3" t="e">
        <f t="shared" si="231"/>
        <v>#REF!</v>
      </c>
      <c r="F241" s="3">
        <f t="shared" si="231"/>
        <v>1</v>
      </c>
      <c r="G241" s="3">
        <f t="shared" si="231"/>
        <v>1</v>
      </c>
      <c r="H241" s="3">
        <f t="shared" si="231"/>
        <v>0.999999999991612</v>
      </c>
      <c r="I241" s="3">
        <f t="shared" si="231"/>
        <v>0.999999999991612</v>
      </c>
      <c r="J241" s="3">
        <f t="shared" si="231"/>
        <v>1</v>
      </c>
      <c r="K241" s="3">
        <f t="shared" si="231"/>
        <v>0.999999999991612</v>
      </c>
      <c r="L241" s="3">
        <f t="shared" si="231"/>
        <v>0.999999999991612</v>
      </c>
      <c r="M241" s="3" t="e">
        <f t="shared" si="231"/>
        <v>#REF!</v>
      </c>
      <c r="N241" s="3">
        <f t="shared" si="231"/>
        <v>1</v>
      </c>
      <c r="O241" s="3">
        <f t="shared" si="231"/>
        <v>1</v>
      </c>
      <c r="P241" s="3">
        <f t="shared" si="231"/>
        <v>1</v>
      </c>
      <c r="Q241" s="3">
        <f t="shared" si="231"/>
        <v>1</v>
      </c>
      <c r="R241" s="3">
        <f t="shared" si="231"/>
        <v>1</v>
      </c>
      <c r="S241" s="3">
        <f t="shared" si="231"/>
        <v>1</v>
      </c>
      <c r="T241" s="3">
        <f t="shared" si="231"/>
        <v>1</v>
      </c>
      <c r="U241" s="3">
        <f t="shared" si="231"/>
        <v>1</v>
      </c>
      <c r="V241" s="3">
        <f t="shared" si="231"/>
        <v>1</v>
      </c>
      <c r="W241" s="3">
        <f t="shared" si="231"/>
        <v>1</v>
      </c>
    </row>
    <row r="242" customHeight="1" spans="1:23">
      <c r="A242" s="2">
        <v>229</v>
      </c>
      <c r="B242" s="3">
        <f t="shared" ref="B242:W242" si="232">MIN(1,IF($A242&lt;B$4+B$3,0,IF(B$2=0,1,IF(B$5=0,1/(1+(B$6*EXP(-($A242-B$4)/B$7))),IF(MOD($A242-B$4,B$5)=0,1/(1+(B$6*EXP(-($A242-B$4)/B$7))),1/(1+(B$6*EXP(-(QUOTIENT($A242-B$4,B$5)*B$5)/B$7))))))))</f>
        <v>0.999999999992598</v>
      </c>
      <c r="C242" s="3">
        <f t="shared" si="232"/>
        <v>0.999999999992598</v>
      </c>
      <c r="D242" s="3" t="e">
        <f t="shared" si="232"/>
        <v>#DIV/0!</v>
      </c>
      <c r="E242" s="3" t="e">
        <f t="shared" si="232"/>
        <v>#REF!</v>
      </c>
      <c r="F242" s="3">
        <f t="shared" si="232"/>
        <v>1</v>
      </c>
      <c r="G242" s="3">
        <f t="shared" si="232"/>
        <v>1</v>
      </c>
      <c r="H242" s="3">
        <f t="shared" si="232"/>
        <v>0.999999999992598</v>
      </c>
      <c r="I242" s="3">
        <f t="shared" si="232"/>
        <v>0.999999999992598</v>
      </c>
      <c r="J242" s="3">
        <f t="shared" si="232"/>
        <v>1</v>
      </c>
      <c r="K242" s="3">
        <f t="shared" si="232"/>
        <v>0.999999999992598</v>
      </c>
      <c r="L242" s="3">
        <f t="shared" si="232"/>
        <v>0.999999999992598</v>
      </c>
      <c r="M242" s="3" t="e">
        <f t="shared" si="232"/>
        <v>#REF!</v>
      </c>
      <c r="N242" s="3">
        <f t="shared" si="232"/>
        <v>1</v>
      </c>
      <c r="O242" s="3">
        <f t="shared" si="232"/>
        <v>1</v>
      </c>
      <c r="P242" s="3">
        <f t="shared" si="232"/>
        <v>1</v>
      </c>
      <c r="Q242" s="3">
        <f t="shared" si="232"/>
        <v>1</v>
      </c>
      <c r="R242" s="3">
        <f t="shared" si="232"/>
        <v>1</v>
      </c>
      <c r="S242" s="3">
        <f t="shared" si="232"/>
        <v>1</v>
      </c>
      <c r="T242" s="3">
        <f t="shared" si="232"/>
        <v>1</v>
      </c>
      <c r="U242" s="3">
        <f t="shared" si="232"/>
        <v>1</v>
      </c>
      <c r="V242" s="3">
        <f t="shared" si="232"/>
        <v>1</v>
      </c>
      <c r="W242" s="3">
        <f t="shared" si="232"/>
        <v>1</v>
      </c>
    </row>
    <row r="243" customHeight="1" spans="1:23">
      <c r="A243" s="2">
        <v>230</v>
      </c>
      <c r="B243" s="3">
        <f t="shared" ref="B243:W243" si="233">MIN(1,IF($A243&lt;B$4+B$3,0,IF(B$2=0,1,IF(B$5=0,1/(1+(B$6*EXP(-($A243-B$4)/B$7))),IF(MOD($A243-B$4,B$5)=0,1/(1+(B$6*EXP(-($A243-B$4)/B$7))),1/(1+(B$6*EXP(-(QUOTIENT($A243-B$4,B$5)*B$5)/B$7))))))))</f>
        <v>0.999999999993468</v>
      </c>
      <c r="C243" s="3">
        <f t="shared" si="233"/>
        <v>0.999999999993468</v>
      </c>
      <c r="D243" s="3" t="e">
        <f t="shared" si="233"/>
        <v>#DIV/0!</v>
      </c>
      <c r="E243" s="3" t="e">
        <f t="shared" si="233"/>
        <v>#REF!</v>
      </c>
      <c r="F243" s="3">
        <f t="shared" si="233"/>
        <v>1</v>
      </c>
      <c r="G243" s="3">
        <f t="shared" si="233"/>
        <v>1</v>
      </c>
      <c r="H243" s="3">
        <f t="shared" si="233"/>
        <v>0.999999999993468</v>
      </c>
      <c r="I243" s="3">
        <f t="shared" si="233"/>
        <v>0.999999999993468</v>
      </c>
      <c r="J243" s="3">
        <f t="shared" si="233"/>
        <v>1</v>
      </c>
      <c r="K243" s="3">
        <f t="shared" si="233"/>
        <v>0.999999999993468</v>
      </c>
      <c r="L243" s="3">
        <f t="shared" si="233"/>
        <v>0.999999999993468</v>
      </c>
      <c r="M243" s="3" t="e">
        <f t="shared" si="233"/>
        <v>#REF!</v>
      </c>
      <c r="N243" s="3">
        <f t="shared" si="233"/>
        <v>1</v>
      </c>
      <c r="O243" s="3">
        <f t="shared" si="233"/>
        <v>1</v>
      </c>
      <c r="P243" s="3">
        <f t="shared" si="233"/>
        <v>1</v>
      </c>
      <c r="Q243" s="3">
        <f t="shared" si="233"/>
        <v>1</v>
      </c>
      <c r="R243" s="3">
        <f t="shared" si="233"/>
        <v>1</v>
      </c>
      <c r="S243" s="3">
        <f t="shared" si="233"/>
        <v>1</v>
      </c>
      <c r="T243" s="3">
        <f t="shared" si="233"/>
        <v>1</v>
      </c>
      <c r="U243" s="3">
        <f t="shared" si="233"/>
        <v>1</v>
      </c>
      <c r="V243" s="3">
        <f t="shared" si="233"/>
        <v>1</v>
      </c>
      <c r="W243" s="3">
        <f t="shared" si="233"/>
        <v>1</v>
      </c>
    </row>
    <row r="244" customHeight="1" spans="1:23">
      <c r="A244" s="2">
        <v>231</v>
      </c>
      <c r="B244" s="3">
        <f t="shared" ref="B244:W244" si="234">MIN(1,IF($A244&lt;B$4+B$3,0,IF(B$2=0,1,IF(B$5=0,1/(1+(B$6*EXP(-($A244-B$4)/B$7))),IF(MOD($A244-B$4,B$5)=0,1/(1+(B$6*EXP(-($A244-B$4)/B$7))),1/(1+(B$6*EXP(-(QUOTIENT($A244-B$4,B$5)*B$5)/B$7))))))))</f>
        <v>0.999999999994235</v>
      </c>
      <c r="C244" s="3">
        <f t="shared" si="234"/>
        <v>0.999999999994235</v>
      </c>
      <c r="D244" s="3" t="e">
        <f t="shared" si="234"/>
        <v>#DIV/0!</v>
      </c>
      <c r="E244" s="3" t="e">
        <f t="shared" si="234"/>
        <v>#REF!</v>
      </c>
      <c r="F244" s="3">
        <f t="shared" si="234"/>
        <v>1</v>
      </c>
      <c r="G244" s="3">
        <f t="shared" si="234"/>
        <v>1</v>
      </c>
      <c r="H244" s="3">
        <f t="shared" si="234"/>
        <v>0.999999999994235</v>
      </c>
      <c r="I244" s="3">
        <f t="shared" si="234"/>
        <v>0.999999999994235</v>
      </c>
      <c r="J244" s="3">
        <f t="shared" si="234"/>
        <v>1</v>
      </c>
      <c r="K244" s="3">
        <f t="shared" si="234"/>
        <v>0.999999999994235</v>
      </c>
      <c r="L244" s="3">
        <f t="shared" si="234"/>
        <v>0.999999999994235</v>
      </c>
      <c r="M244" s="3" t="e">
        <f t="shared" si="234"/>
        <v>#REF!</v>
      </c>
      <c r="N244" s="3">
        <f t="shared" si="234"/>
        <v>1</v>
      </c>
      <c r="O244" s="3">
        <f t="shared" si="234"/>
        <v>1</v>
      </c>
      <c r="P244" s="3">
        <f t="shared" si="234"/>
        <v>1</v>
      </c>
      <c r="Q244" s="3">
        <f t="shared" si="234"/>
        <v>1</v>
      </c>
      <c r="R244" s="3">
        <f t="shared" si="234"/>
        <v>1</v>
      </c>
      <c r="S244" s="3">
        <f t="shared" si="234"/>
        <v>1</v>
      </c>
      <c r="T244" s="3">
        <f t="shared" si="234"/>
        <v>1</v>
      </c>
      <c r="U244" s="3">
        <f t="shared" si="234"/>
        <v>1</v>
      </c>
      <c r="V244" s="3">
        <f t="shared" si="234"/>
        <v>1</v>
      </c>
      <c r="W244" s="3">
        <f t="shared" si="234"/>
        <v>1</v>
      </c>
    </row>
    <row r="245" customHeight="1" spans="1:23">
      <c r="A245" s="2">
        <v>232</v>
      </c>
      <c r="B245" s="3">
        <f t="shared" ref="B245:W245" si="235">MIN(1,IF($A245&lt;B$4+B$3,0,IF(B$2=0,1,IF(B$5=0,1/(1+(B$6*EXP(-($A245-B$4)/B$7))),IF(MOD($A245-B$4,B$5)=0,1/(1+(B$6*EXP(-($A245-B$4)/B$7))),1/(1+(B$6*EXP(-(QUOTIENT($A245-B$4,B$5)*B$5)/B$7))))))))</f>
        <v>0.999999999994913</v>
      </c>
      <c r="C245" s="3">
        <f t="shared" si="235"/>
        <v>0.999999999994913</v>
      </c>
      <c r="D245" s="3" t="e">
        <f t="shared" si="235"/>
        <v>#DIV/0!</v>
      </c>
      <c r="E245" s="3" t="e">
        <f t="shared" si="235"/>
        <v>#REF!</v>
      </c>
      <c r="F245" s="3">
        <f t="shared" si="235"/>
        <v>1</v>
      </c>
      <c r="G245" s="3">
        <f t="shared" si="235"/>
        <v>1</v>
      </c>
      <c r="H245" s="3">
        <f t="shared" si="235"/>
        <v>0.999999999994913</v>
      </c>
      <c r="I245" s="3">
        <f t="shared" si="235"/>
        <v>0.999999999994913</v>
      </c>
      <c r="J245" s="3">
        <f t="shared" si="235"/>
        <v>1</v>
      </c>
      <c r="K245" s="3">
        <f t="shared" si="235"/>
        <v>0.999999999994913</v>
      </c>
      <c r="L245" s="3">
        <f t="shared" si="235"/>
        <v>0.999999999994913</v>
      </c>
      <c r="M245" s="3" t="e">
        <f t="shared" si="235"/>
        <v>#REF!</v>
      </c>
      <c r="N245" s="3">
        <f t="shared" si="235"/>
        <v>1</v>
      </c>
      <c r="O245" s="3">
        <f t="shared" si="235"/>
        <v>1</v>
      </c>
      <c r="P245" s="3">
        <f t="shared" si="235"/>
        <v>1</v>
      </c>
      <c r="Q245" s="3">
        <f t="shared" si="235"/>
        <v>1</v>
      </c>
      <c r="R245" s="3">
        <f t="shared" si="235"/>
        <v>1</v>
      </c>
      <c r="S245" s="3">
        <f t="shared" si="235"/>
        <v>1</v>
      </c>
      <c r="T245" s="3">
        <f t="shared" si="235"/>
        <v>1</v>
      </c>
      <c r="U245" s="3">
        <f t="shared" si="235"/>
        <v>1</v>
      </c>
      <c r="V245" s="3">
        <f t="shared" si="235"/>
        <v>1</v>
      </c>
      <c r="W245" s="3">
        <f t="shared" si="235"/>
        <v>1</v>
      </c>
    </row>
    <row r="246" customHeight="1" spans="1:23">
      <c r="A246" s="2">
        <v>233</v>
      </c>
      <c r="B246" s="3">
        <f t="shared" ref="B246:W246" si="236">MIN(1,IF($A246&lt;B$4+B$3,0,IF(B$2=0,1,IF(B$5=0,1/(1+(B$6*EXP(-($A246-B$4)/B$7))),IF(MOD($A246-B$4,B$5)=0,1/(1+(B$6*EXP(-($A246-B$4)/B$7))),1/(1+(B$6*EXP(-(QUOTIENT($A246-B$4,B$5)*B$5)/B$7))))))))</f>
        <v>0.99999999999551</v>
      </c>
      <c r="C246" s="3">
        <f t="shared" si="236"/>
        <v>0.99999999999551</v>
      </c>
      <c r="D246" s="3" t="e">
        <f t="shared" si="236"/>
        <v>#DIV/0!</v>
      </c>
      <c r="E246" s="3" t="e">
        <f t="shared" si="236"/>
        <v>#REF!</v>
      </c>
      <c r="F246" s="3">
        <f t="shared" si="236"/>
        <v>1</v>
      </c>
      <c r="G246" s="3">
        <f t="shared" si="236"/>
        <v>1</v>
      </c>
      <c r="H246" s="3">
        <f t="shared" si="236"/>
        <v>0.99999999999551</v>
      </c>
      <c r="I246" s="3">
        <f t="shared" si="236"/>
        <v>0.99999999999551</v>
      </c>
      <c r="J246" s="3">
        <f t="shared" si="236"/>
        <v>1</v>
      </c>
      <c r="K246" s="3">
        <f t="shared" si="236"/>
        <v>0.99999999999551</v>
      </c>
      <c r="L246" s="3">
        <f t="shared" si="236"/>
        <v>0.99999999999551</v>
      </c>
      <c r="M246" s="3" t="e">
        <f t="shared" si="236"/>
        <v>#REF!</v>
      </c>
      <c r="N246" s="3">
        <f t="shared" si="236"/>
        <v>1</v>
      </c>
      <c r="O246" s="3">
        <f t="shared" si="236"/>
        <v>1</v>
      </c>
      <c r="P246" s="3">
        <f t="shared" si="236"/>
        <v>1</v>
      </c>
      <c r="Q246" s="3">
        <f t="shared" si="236"/>
        <v>1</v>
      </c>
      <c r="R246" s="3">
        <f t="shared" si="236"/>
        <v>1</v>
      </c>
      <c r="S246" s="3">
        <f t="shared" si="236"/>
        <v>1</v>
      </c>
      <c r="T246" s="3">
        <f t="shared" si="236"/>
        <v>1</v>
      </c>
      <c r="U246" s="3">
        <f t="shared" si="236"/>
        <v>1</v>
      </c>
      <c r="V246" s="3">
        <f t="shared" si="236"/>
        <v>1</v>
      </c>
      <c r="W246" s="3">
        <f t="shared" si="236"/>
        <v>1</v>
      </c>
    </row>
    <row r="247" customHeight="1" spans="1:23">
      <c r="A247" s="2">
        <v>234</v>
      </c>
      <c r="B247" s="3">
        <f t="shared" ref="B247:W247" si="237">MIN(1,IF($A247&lt;B$4+B$3,0,IF(B$2=0,1,IF(B$5=0,1/(1+(B$6*EXP(-($A247-B$4)/B$7))),IF(MOD($A247-B$4,B$5)=0,1/(1+(B$6*EXP(-($A247-B$4)/B$7))),1/(1+(B$6*EXP(-(QUOTIENT($A247-B$4,B$5)*B$5)/B$7))))))))</f>
        <v>0.999999999996038</v>
      </c>
      <c r="C247" s="3">
        <f t="shared" si="237"/>
        <v>0.999999999996038</v>
      </c>
      <c r="D247" s="3" t="e">
        <f t="shared" si="237"/>
        <v>#DIV/0!</v>
      </c>
      <c r="E247" s="3" t="e">
        <f t="shared" si="237"/>
        <v>#REF!</v>
      </c>
      <c r="F247" s="3">
        <f t="shared" si="237"/>
        <v>1</v>
      </c>
      <c r="G247" s="3">
        <f t="shared" si="237"/>
        <v>1</v>
      </c>
      <c r="H247" s="3">
        <f t="shared" si="237"/>
        <v>0.999999999996038</v>
      </c>
      <c r="I247" s="3">
        <f t="shared" si="237"/>
        <v>0.999999999996038</v>
      </c>
      <c r="J247" s="3">
        <f t="shared" si="237"/>
        <v>1</v>
      </c>
      <c r="K247" s="3">
        <f t="shared" si="237"/>
        <v>0.999999999996038</v>
      </c>
      <c r="L247" s="3">
        <f t="shared" si="237"/>
        <v>0.999999999996038</v>
      </c>
      <c r="M247" s="3" t="e">
        <f t="shared" si="237"/>
        <v>#REF!</v>
      </c>
      <c r="N247" s="3">
        <f t="shared" si="237"/>
        <v>1</v>
      </c>
      <c r="O247" s="3">
        <f t="shared" si="237"/>
        <v>1</v>
      </c>
      <c r="P247" s="3">
        <f t="shared" si="237"/>
        <v>1</v>
      </c>
      <c r="Q247" s="3">
        <f t="shared" si="237"/>
        <v>1</v>
      </c>
      <c r="R247" s="3">
        <f t="shared" si="237"/>
        <v>1</v>
      </c>
      <c r="S247" s="3">
        <f t="shared" si="237"/>
        <v>1</v>
      </c>
      <c r="T247" s="3">
        <f t="shared" si="237"/>
        <v>1</v>
      </c>
      <c r="U247" s="3">
        <f t="shared" si="237"/>
        <v>1</v>
      </c>
      <c r="V247" s="3">
        <f t="shared" si="237"/>
        <v>1</v>
      </c>
      <c r="W247" s="3">
        <f t="shared" si="237"/>
        <v>1</v>
      </c>
    </row>
    <row r="248" customHeight="1" spans="1:23">
      <c r="A248" s="2">
        <v>235</v>
      </c>
      <c r="B248" s="3">
        <f t="shared" ref="B248:W248" si="238">MIN(1,IF($A248&lt;B$4+B$3,0,IF(B$2=0,1,IF(B$5=0,1/(1+(B$6*EXP(-($A248-B$4)/B$7))),IF(MOD($A248-B$4,B$5)=0,1/(1+(B$6*EXP(-($A248-B$4)/B$7))),1/(1+(B$6*EXP(-(QUOTIENT($A248-B$4,B$5)*B$5)/B$7))))))))</f>
        <v>0.999999999996503</v>
      </c>
      <c r="C248" s="3">
        <f t="shared" si="238"/>
        <v>0.999999999996503</v>
      </c>
      <c r="D248" s="3" t="e">
        <f t="shared" si="238"/>
        <v>#DIV/0!</v>
      </c>
      <c r="E248" s="3" t="e">
        <f t="shared" si="238"/>
        <v>#REF!</v>
      </c>
      <c r="F248" s="3">
        <f t="shared" si="238"/>
        <v>1</v>
      </c>
      <c r="G248" s="3">
        <f t="shared" si="238"/>
        <v>1</v>
      </c>
      <c r="H248" s="3">
        <f t="shared" si="238"/>
        <v>0.999999999996503</v>
      </c>
      <c r="I248" s="3">
        <f t="shared" si="238"/>
        <v>0.999999999996503</v>
      </c>
      <c r="J248" s="3">
        <f t="shared" si="238"/>
        <v>1</v>
      </c>
      <c r="K248" s="3">
        <f t="shared" si="238"/>
        <v>0.999999999996503</v>
      </c>
      <c r="L248" s="3">
        <f t="shared" si="238"/>
        <v>0.999999999996503</v>
      </c>
      <c r="M248" s="3" t="e">
        <f t="shared" si="238"/>
        <v>#REF!</v>
      </c>
      <c r="N248" s="3">
        <f t="shared" si="238"/>
        <v>1</v>
      </c>
      <c r="O248" s="3">
        <f t="shared" si="238"/>
        <v>1</v>
      </c>
      <c r="P248" s="3">
        <f t="shared" si="238"/>
        <v>1</v>
      </c>
      <c r="Q248" s="3">
        <f t="shared" si="238"/>
        <v>1</v>
      </c>
      <c r="R248" s="3">
        <f t="shared" si="238"/>
        <v>1</v>
      </c>
      <c r="S248" s="3">
        <f t="shared" si="238"/>
        <v>1</v>
      </c>
      <c r="T248" s="3">
        <f t="shared" si="238"/>
        <v>1</v>
      </c>
      <c r="U248" s="3">
        <f t="shared" si="238"/>
        <v>1</v>
      </c>
      <c r="V248" s="3">
        <f t="shared" si="238"/>
        <v>1</v>
      </c>
      <c r="W248" s="3">
        <f t="shared" si="238"/>
        <v>1</v>
      </c>
    </row>
    <row r="249" customHeight="1" spans="1:23">
      <c r="A249" s="2">
        <v>236</v>
      </c>
      <c r="B249" s="3">
        <f t="shared" ref="B249:W249" si="239">MIN(1,IF($A249&lt;B$4+B$3,0,IF(B$2=0,1,IF(B$5=0,1/(1+(B$6*EXP(-($A249-B$4)/B$7))),IF(MOD($A249-B$4,B$5)=0,1/(1+(B$6*EXP(-($A249-B$4)/B$7))),1/(1+(B$6*EXP(-(QUOTIENT($A249-B$4,B$5)*B$5)/B$7))))))))</f>
        <v>0.999999999996914</v>
      </c>
      <c r="C249" s="3">
        <f t="shared" si="239"/>
        <v>0.999999999996914</v>
      </c>
      <c r="D249" s="3" t="e">
        <f t="shared" si="239"/>
        <v>#DIV/0!</v>
      </c>
      <c r="E249" s="3" t="e">
        <f t="shared" si="239"/>
        <v>#REF!</v>
      </c>
      <c r="F249" s="3">
        <f t="shared" si="239"/>
        <v>1</v>
      </c>
      <c r="G249" s="3">
        <f t="shared" si="239"/>
        <v>1</v>
      </c>
      <c r="H249" s="3">
        <f t="shared" si="239"/>
        <v>0.999999999996914</v>
      </c>
      <c r="I249" s="3">
        <f t="shared" si="239"/>
        <v>0.999999999996914</v>
      </c>
      <c r="J249" s="3">
        <f t="shared" si="239"/>
        <v>1</v>
      </c>
      <c r="K249" s="3">
        <f t="shared" si="239"/>
        <v>0.999999999996914</v>
      </c>
      <c r="L249" s="3">
        <f t="shared" si="239"/>
        <v>0.999999999996914</v>
      </c>
      <c r="M249" s="3" t="e">
        <f t="shared" si="239"/>
        <v>#REF!</v>
      </c>
      <c r="N249" s="3">
        <f t="shared" si="239"/>
        <v>1</v>
      </c>
      <c r="O249" s="3">
        <f t="shared" si="239"/>
        <v>1</v>
      </c>
      <c r="P249" s="3">
        <f t="shared" si="239"/>
        <v>1</v>
      </c>
      <c r="Q249" s="3">
        <f t="shared" si="239"/>
        <v>1</v>
      </c>
      <c r="R249" s="3">
        <f t="shared" si="239"/>
        <v>1</v>
      </c>
      <c r="S249" s="3">
        <f t="shared" si="239"/>
        <v>1</v>
      </c>
      <c r="T249" s="3">
        <f t="shared" si="239"/>
        <v>1</v>
      </c>
      <c r="U249" s="3">
        <f t="shared" si="239"/>
        <v>1</v>
      </c>
      <c r="V249" s="3">
        <f t="shared" si="239"/>
        <v>1</v>
      </c>
      <c r="W249" s="3">
        <f t="shared" si="239"/>
        <v>1</v>
      </c>
    </row>
    <row r="250" customHeight="1" spans="1:23">
      <c r="A250" s="2">
        <v>237</v>
      </c>
      <c r="B250" s="3">
        <f t="shared" ref="B250:W250" si="240">MIN(1,IF($A250&lt;B$4+B$3,0,IF(B$2=0,1,IF(B$5=0,1/(1+(B$6*EXP(-($A250-B$4)/B$7))),IF(MOD($A250-B$4,B$5)=0,1/(1+(B$6*EXP(-($A250-B$4)/B$7))),1/(1+(B$6*EXP(-(QUOTIENT($A250-B$4,B$5)*B$5)/B$7))))))))</f>
        <v>0.999999999997277</v>
      </c>
      <c r="C250" s="3">
        <f t="shared" si="240"/>
        <v>0.999999999997277</v>
      </c>
      <c r="D250" s="3" t="e">
        <f t="shared" si="240"/>
        <v>#DIV/0!</v>
      </c>
      <c r="E250" s="3" t="e">
        <f t="shared" si="240"/>
        <v>#REF!</v>
      </c>
      <c r="F250" s="3">
        <f t="shared" si="240"/>
        <v>1</v>
      </c>
      <c r="G250" s="3">
        <f t="shared" si="240"/>
        <v>1</v>
      </c>
      <c r="H250" s="3">
        <f t="shared" si="240"/>
        <v>0.999999999997277</v>
      </c>
      <c r="I250" s="3">
        <f t="shared" si="240"/>
        <v>0.999999999997277</v>
      </c>
      <c r="J250" s="3">
        <f t="shared" si="240"/>
        <v>1</v>
      </c>
      <c r="K250" s="3">
        <f t="shared" si="240"/>
        <v>0.999999999997277</v>
      </c>
      <c r="L250" s="3">
        <f t="shared" si="240"/>
        <v>0.999999999997277</v>
      </c>
      <c r="M250" s="3" t="e">
        <f t="shared" si="240"/>
        <v>#REF!</v>
      </c>
      <c r="N250" s="3">
        <f t="shared" si="240"/>
        <v>1</v>
      </c>
      <c r="O250" s="3">
        <f t="shared" si="240"/>
        <v>1</v>
      </c>
      <c r="P250" s="3">
        <f t="shared" si="240"/>
        <v>1</v>
      </c>
      <c r="Q250" s="3">
        <f t="shared" si="240"/>
        <v>1</v>
      </c>
      <c r="R250" s="3">
        <f t="shared" si="240"/>
        <v>1</v>
      </c>
      <c r="S250" s="3">
        <f t="shared" si="240"/>
        <v>1</v>
      </c>
      <c r="T250" s="3">
        <f t="shared" si="240"/>
        <v>1</v>
      </c>
      <c r="U250" s="3">
        <f t="shared" si="240"/>
        <v>1</v>
      </c>
      <c r="V250" s="3">
        <f t="shared" si="240"/>
        <v>1</v>
      </c>
      <c r="W250" s="3">
        <f t="shared" si="240"/>
        <v>1</v>
      </c>
    </row>
    <row r="251" customHeight="1" spans="1:23">
      <c r="A251" s="2">
        <v>238</v>
      </c>
      <c r="B251" s="3">
        <f t="shared" ref="B251:W251" si="241">MIN(1,IF($A251&lt;B$4+B$3,0,IF(B$2=0,1,IF(B$5=0,1/(1+(B$6*EXP(-($A251-B$4)/B$7))),IF(MOD($A251-B$4,B$5)=0,1/(1+(B$6*EXP(-($A251-B$4)/B$7))),1/(1+(B$6*EXP(-(QUOTIENT($A251-B$4,B$5)*B$5)/B$7))))))))</f>
        <v>0.999999999997597</v>
      </c>
      <c r="C251" s="3">
        <f t="shared" si="241"/>
        <v>0.999999999997597</v>
      </c>
      <c r="D251" s="3" t="e">
        <f t="shared" si="241"/>
        <v>#DIV/0!</v>
      </c>
      <c r="E251" s="3" t="e">
        <f t="shared" si="241"/>
        <v>#REF!</v>
      </c>
      <c r="F251" s="3">
        <f t="shared" si="241"/>
        <v>1</v>
      </c>
      <c r="G251" s="3">
        <f t="shared" si="241"/>
        <v>1</v>
      </c>
      <c r="H251" s="3">
        <f t="shared" si="241"/>
        <v>0.999999999997597</v>
      </c>
      <c r="I251" s="3">
        <f t="shared" si="241"/>
        <v>0.999999999997597</v>
      </c>
      <c r="J251" s="3">
        <f t="shared" si="241"/>
        <v>1</v>
      </c>
      <c r="K251" s="3">
        <f t="shared" si="241"/>
        <v>0.999999999997597</v>
      </c>
      <c r="L251" s="3">
        <f t="shared" si="241"/>
        <v>0.999999999997597</v>
      </c>
      <c r="M251" s="3" t="e">
        <f t="shared" si="241"/>
        <v>#REF!</v>
      </c>
      <c r="N251" s="3">
        <f t="shared" si="241"/>
        <v>1</v>
      </c>
      <c r="O251" s="3">
        <f t="shared" si="241"/>
        <v>1</v>
      </c>
      <c r="P251" s="3">
        <f t="shared" si="241"/>
        <v>1</v>
      </c>
      <c r="Q251" s="3">
        <f t="shared" si="241"/>
        <v>1</v>
      </c>
      <c r="R251" s="3">
        <f t="shared" si="241"/>
        <v>1</v>
      </c>
      <c r="S251" s="3">
        <f t="shared" si="241"/>
        <v>1</v>
      </c>
      <c r="T251" s="3">
        <f t="shared" si="241"/>
        <v>1</v>
      </c>
      <c r="U251" s="3">
        <f t="shared" si="241"/>
        <v>1</v>
      </c>
      <c r="V251" s="3">
        <f t="shared" si="241"/>
        <v>1</v>
      </c>
      <c r="W251" s="3">
        <f t="shared" si="241"/>
        <v>1</v>
      </c>
    </row>
    <row r="252" customHeight="1" spans="1:23">
      <c r="A252" s="2">
        <v>239</v>
      </c>
      <c r="B252" s="3">
        <f t="shared" ref="B252:W252" si="242">MIN(1,IF($A252&lt;B$4+B$3,0,IF(B$2=0,1,IF(B$5=0,1/(1+(B$6*EXP(-($A252-B$4)/B$7))),IF(MOD($A252-B$4,B$5)=0,1/(1+(B$6*EXP(-($A252-B$4)/B$7))),1/(1+(B$6*EXP(-(QUOTIENT($A252-B$4,B$5)*B$5)/B$7))))))))</f>
        <v>0.999999999997879</v>
      </c>
      <c r="C252" s="3">
        <f t="shared" si="242"/>
        <v>0.999999999997879</v>
      </c>
      <c r="D252" s="3" t="e">
        <f t="shared" si="242"/>
        <v>#DIV/0!</v>
      </c>
      <c r="E252" s="3" t="e">
        <f t="shared" si="242"/>
        <v>#REF!</v>
      </c>
      <c r="F252" s="3">
        <f t="shared" si="242"/>
        <v>1</v>
      </c>
      <c r="G252" s="3">
        <f t="shared" si="242"/>
        <v>1</v>
      </c>
      <c r="H252" s="3">
        <f t="shared" si="242"/>
        <v>0.999999999997879</v>
      </c>
      <c r="I252" s="3">
        <f t="shared" si="242"/>
        <v>0.999999999997879</v>
      </c>
      <c r="J252" s="3">
        <f t="shared" si="242"/>
        <v>1</v>
      </c>
      <c r="K252" s="3">
        <f t="shared" si="242"/>
        <v>0.999999999997879</v>
      </c>
      <c r="L252" s="3">
        <f t="shared" si="242"/>
        <v>0.999999999997879</v>
      </c>
      <c r="M252" s="3" t="e">
        <f t="shared" si="242"/>
        <v>#REF!</v>
      </c>
      <c r="N252" s="3">
        <f t="shared" si="242"/>
        <v>1</v>
      </c>
      <c r="O252" s="3">
        <f t="shared" si="242"/>
        <v>1</v>
      </c>
      <c r="P252" s="3">
        <f t="shared" si="242"/>
        <v>1</v>
      </c>
      <c r="Q252" s="3">
        <f t="shared" si="242"/>
        <v>1</v>
      </c>
      <c r="R252" s="3">
        <f t="shared" si="242"/>
        <v>1</v>
      </c>
      <c r="S252" s="3">
        <f t="shared" si="242"/>
        <v>1</v>
      </c>
      <c r="T252" s="3">
        <f t="shared" si="242"/>
        <v>1</v>
      </c>
      <c r="U252" s="3">
        <f t="shared" si="242"/>
        <v>1</v>
      </c>
      <c r="V252" s="3">
        <f t="shared" si="242"/>
        <v>1</v>
      </c>
      <c r="W252" s="3">
        <f t="shared" si="242"/>
        <v>1</v>
      </c>
    </row>
    <row r="253" customHeight="1" spans="1:23">
      <c r="A253" s="2">
        <v>240</v>
      </c>
      <c r="B253" s="3">
        <f t="shared" ref="B253:W253" si="243">MIN(1,IF($A253&lt;B$4+B$3,0,IF(B$2=0,1,IF(B$5=0,1/(1+(B$6*EXP(-($A253-B$4)/B$7))),IF(MOD($A253-B$4,B$5)=0,1/(1+(B$6*EXP(-($A253-B$4)/B$7))),1/(1+(B$6*EXP(-(QUOTIENT($A253-B$4,B$5)*B$5)/B$7))))))))</f>
        <v>0.999999999998128</v>
      </c>
      <c r="C253" s="3">
        <f t="shared" si="243"/>
        <v>0.999999999998128</v>
      </c>
      <c r="D253" s="3" t="e">
        <f t="shared" si="243"/>
        <v>#DIV/0!</v>
      </c>
      <c r="E253" s="3" t="e">
        <f t="shared" si="243"/>
        <v>#REF!</v>
      </c>
      <c r="F253" s="3">
        <f t="shared" si="243"/>
        <v>1</v>
      </c>
      <c r="G253" s="3">
        <f t="shared" si="243"/>
        <v>1</v>
      </c>
      <c r="H253" s="3">
        <f t="shared" si="243"/>
        <v>0.999999999998128</v>
      </c>
      <c r="I253" s="3">
        <f t="shared" si="243"/>
        <v>0.999999999998128</v>
      </c>
      <c r="J253" s="3">
        <f t="shared" si="243"/>
        <v>1</v>
      </c>
      <c r="K253" s="3">
        <f t="shared" si="243"/>
        <v>0.999999999998128</v>
      </c>
      <c r="L253" s="3">
        <f t="shared" si="243"/>
        <v>0.999999999998128</v>
      </c>
      <c r="M253" s="3" t="e">
        <f t="shared" si="243"/>
        <v>#REF!</v>
      </c>
      <c r="N253" s="3">
        <f t="shared" si="243"/>
        <v>1</v>
      </c>
      <c r="O253" s="3">
        <f t="shared" si="243"/>
        <v>1</v>
      </c>
      <c r="P253" s="3">
        <f t="shared" si="243"/>
        <v>1</v>
      </c>
      <c r="Q253" s="3">
        <f t="shared" si="243"/>
        <v>1</v>
      </c>
      <c r="R253" s="3">
        <f t="shared" si="243"/>
        <v>1</v>
      </c>
      <c r="S253" s="3">
        <f t="shared" si="243"/>
        <v>1</v>
      </c>
      <c r="T253" s="3">
        <f t="shared" si="243"/>
        <v>1</v>
      </c>
      <c r="U253" s="3">
        <f t="shared" si="243"/>
        <v>1</v>
      </c>
      <c r="V253" s="3">
        <f t="shared" si="243"/>
        <v>1</v>
      </c>
      <c r="W253" s="3">
        <f t="shared" si="243"/>
        <v>1</v>
      </c>
    </row>
    <row r="254" customHeight="1" spans="1:23">
      <c r="A254" s="2">
        <v>241</v>
      </c>
      <c r="B254" s="3">
        <f t="shared" ref="B254:W254" si="244">MIN(1,IF($A254&lt;B$4+B$3,0,IF(B$2=0,1,IF(B$5=0,1/(1+(B$6*EXP(-($A254-B$4)/B$7))),IF(MOD($A254-B$4,B$5)=0,1/(1+(B$6*EXP(-($A254-B$4)/B$7))),1/(1+(B$6*EXP(-(QUOTIENT($A254-B$4,B$5)*B$5)/B$7))))))))</f>
        <v>0.999999999998348</v>
      </c>
      <c r="C254" s="3">
        <f t="shared" si="244"/>
        <v>0.999999999998348</v>
      </c>
      <c r="D254" s="3" t="e">
        <f t="shared" si="244"/>
        <v>#DIV/0!</v>
      </c>
      <c r="E254" s="3" t="e">
        <f t="shared" si="244"/>
        <v>#REF!</v>
      </c>
      <c r="F254" s="3">
        <f t="shared" si="244"/>
        <v>1</v>
      </c>
      <c r="G254" s="3">
        <f t="shared" si="244"/>
        <v>1</v>
      </c>
      <c r="H254" s="3">
        <f t="shared" si="244"/>
        <v>0.999999999998348</v>
      </c>
      <c r="I254" s="3">
        <f t="shared" si="244"/>
        <v>0.999999999998348</v>
      </c>
      <c r="J254" s="3">
        <f t="shared" si="244"/>
        <v>1</v>
      </c>
      <c r="K254" s="3">
        <f t="shared" si="244"/>
        <v>0.999999999998348</v>
      </c>
      <c r="L254" s="3">
        <f t="shared" si="244"/>
        <v>0.999999999998348</v>
      </c>
      <c r="M254" s="3" t="e">
        <f t="shared" si="244"/>
        <v>#REF!</v>
      </c>
      <c r="N254" s="3">
        <f t="shared" si="244"/>
        <v>1</v>
      </c>
      <c r="O254" s="3">
        <f t="shared" si="244"/>
        <v>1</v>
      </c>
      <c r="P254" s="3">
        <f t="shared" si="244"/>
        <v>1</v>
      </c>
      <c r="Q254" s="3">
        <f t="shared" si="244"/>
        <v>1</v>
      </c>
      <c r="R254" s="3">
        <f t="shared" si="244"/>
        <v>1</v>
      </c>
      <c r="S254" s="3">
        <f t="shared" si="244"/>
        <v>1</v>
      </c>
      <c r="T254" s="3">
        <f t="shared" si="244"/>
        <v>1</v>
      </c>
      <c r="U254" s="3">
        <f t="shared" si="244"/>
        <v>1</v>
      </c>
      <c r="V254" s="3">
        <f t="shared" si="244"/>
        <v>1</v>
      </c>
      <c r="W254" s="3">
        <f t="shared" si="244"/>
        <v>1</v>
      </c>
    </row>
    <row r="255" customHeight="1" spans="1:23">
      <c r="A255" s="2">
        <v>242</v>
      </c>
      <c r="B255" s="3">
        <f t="shared" ref="B255:W255" si="245">MIN(1,IF($A255&lt;B$4+B$3,0,IF(B$2=0,1,IF(B$5=0,1/(1+(B$6*EXP(-($A255-B$4)/B$7))),IF(MOD($A255-B$4,B$5)=0,1/(1+(B$6*EXP(-($A255-B$4)/B$7))),1/(1+(B$6*EXP(-(QUOTIENT($A255-B$4,B$5)*B$5)/B$7))))))))</f>
        <v>0.999999999998542</v>
      </c>
      <c r="C255" s="3">
        <f t="shared" si="245"/>
        <v>0.999999999998542</v>
      </c>
      <c r="D255" s="3" t="e">
        <f t="shared" si="245"/>
        <v>#DIV/0!</v>
      </c>
      <c r="E255" s="3" t="e">
        <f t="shared" si="245"/>
        <v>#REF!</v>
      </c>
      <c r="F255" s="3">
        <f t="shared" si="245"/>
        <v>1</v>
      </c>
      <c r="G255" s="3">
        <f t="shared" si="245"/>
        <v>1</v>
      </c>
      <c r="H255" s="3">
        <f t="shared" si="245"/>
        <v>0.999999999998542</v>
      </c>
      <c r="I255" s="3">
        <f t="shared" si="245"/>
        <v>0.999999999998542</v>
      </c>
      <c r="J255" s="3">
        <f t="shared" si="245"/>
        <v>1</v>
      </c>
      <c r="K255" s="3">
        <f t="shared" si="245"/>
        <v>0.999999999998542</v>
      </c>
      <c r="L255" s="3">
        <f t="shared" si="245"/>
        <v>0.999999999998542</v>
      </c>
      <c r="M255" s="3" t="e">
        <f t="shared" si="245"/>
        <v>#REF!</v>
      </c>
      <c r="N255" s="3">
        <f t="shared" si="245"/>
        <v>1</v>
      </c>
      <c r="O255" s="3">
        <f t="shared" si="245"/>
        <v>1</v>
      </c>
      <c r="P255" s="3">
        <f t="shared" si="245"/>
        <v>1</v>
      </c>
      <c r="Q255" s="3">
        <f t="shared" si="245"/>
        <v>1</v>
      </c>
      <c r="R255" s="3">
        <f t="shared" si="245"/>
        <v>1</v>
      </c>
      <c r="S255" s="3">
        <f t="shared" si="245"/>
        <v>1</v>
      </c>
      <c r="T255" s="3">
        <f t="shared" si="245"/>
        <v>1</v>
      </c>
      <c r="U255" s="3">
        <f t="shared" si="245"/>
        <v>1</v>
      </c>
      <c r="V255" s="3">
        <f t="shared" si="245"/>
        <v>1</v>
      </c>
      <c r="W255" s="3">
        <f t="shared" si="245"/>
        <v>1</v>
      </c>
    </row>
    <row r="256" customHeight="1" spans="1:23">
      <c r="A256" s="2">
        <v>243</v>
      </c>
      <c r="B256" s="3">
        <f t="shared" ref="B256:W256" si="246">MIN(1,IF($A256&lt;B$4+B$3,0,IF(B$2=0,1,IF(B$5=0,1/(1+(B$6*EXP(-($A256-B$4)/B$7))),IF(MOD($A256-B$4,B$5)=0,1/(1+(B$6*EXP(-($A256-B$4)/B$7))),1/(1+(B$6*EXP(-(QUOTIENT($A256-B$4,B$5)*B$5)/B$7))))))))</f>
        <v>0.999999999998714</v>
      </c>
      <c r="C256" s="3">
        <f t="shared" si="246"/>
        <v>0.999999999998714</v>
      </c>
      <c r="D256" s="3" t="e">
        <f t="shared" si="246"/>
        <v>#DIV/0!</v>
      </c>
      <c r="E256" s="3" t="e">
        <f t="shared" si="246"/>
        <v>#REF!</v>
      </c>
      <c r="F256" s="3">
        <f t="shared" si="246"/>
        <v>1</v>
      </c>
      <c r="G256" s="3">
        <f t="shared" si="246"/>
        <v>1</v>
      </c>
      <c r="H256" s="3">
        <f t="shared" si="246"/>
        <v>0.999999999998714</v>
      </c>
      <c r="I256" s="3">
        <f t="shared" si="246"/>
        <v>0.999999999998714</v>
      </c>
      <c r="J256" s="3">
        <f t="shared" si="246"/>
        <v>1</v>
      </c>
      <c r="K256" s="3">
        <f t="shared" si="246"/>
        <v>0.999999999998714</v>
      </c>
      <c r="L256" s="3">
        <f t="shared" si="246"/>
        <v>0.999999999998714</v>
      </c>
      <c r="M256" s="3" t="e">
        <f t="shared" si="246"/>
        <v>#REF!</v>
      </c>
      <c r="N256" s="3">
        <f t="shared" si="246"/>
        <v>1</v>
      </c>
      <c r="O256" s="3">
        <f t="shared" si="246"/>
        <v>1</v>
      </c>
      <c r="P256" s="3">
        <f t="shared" si="246"/>
        <v>1</v>
      </c>
      <c r="Q256" s="3">
        <f t="shared" si="246"/>
        <v>1</v>
      </c>
      <c r="R256" s="3">
        <f t="shared" si="246"/>
        <v>1</v>
      </c>
      <c r="S256" s="3">
        <f t="shared" si="246"/>
        <v>1</v>
      </c>
      <c r="T256" s="3">
        <f t="shared" si="246"/>
        <v>1</v>
      </c>
      <c r="U256" s="3">
        <f t="shared" si="246"/>
        <v>1</v>
      </c>
      <c r="V256" s="3">
        <f t="shared" si="246"/>
        <v>1</v>
      </c>
      <c r="W256" s="3">
        <f t="shared" si="246"/>
        <v>1</v>
      </c>
    </row>
    <row r="257" customHeight="1" spans="1:23">
      <c r="A257" s="2">
        <v>244</v>
      </c>
      <c r="B257" s="3">
        <f t="shared" ref="B257:W257" si="247">MIN(1,IF($A257&lt;B$4+B$3,0,IF(B$2=0,1,IF(B$5=0,1/(1+(B$6*EXP(-($A257-B$4)/B$7))),IF(MOD($A257-B$4,B$5)=0,1/(1+(B$6*EXP(-($A257-B$4)/B$7))),1/(1+(B$6*EXP(-(QUOTIENT($A257-B$4,B$5)*B$5)/B$7))))))))</f>
        <v>0.999999999998865</v>
      </c>
      <c r="C257" s="3">
        <f t="shared" si="247"/>
        <v>0.999999999998865</v>
      </c>
      <c r="D257" s="3" t="e">
        <f t="shared" si="247"/>
        <v>#DIV/0!</v>
      </c>
      <c r="E257" s="3" t="e">
        <f t="shared" si="247"/>
        <v>#REF!</v>
      </c>
      <c r="F257" s="3">
        <f t="shared" si="247"/>
        <v>1</v>
      </c>
      <c r="G257" s="3">
        <f t="shared" si="247"/>
        <v>1</v>
      </c>
      <c r="H257" s="3">
        <f t="shared" si="247"/>
        <v>0.999999999998865</v>
      </c>
      <c r="I257" s="3">
        <f t="shared" si="247"/>
        <v>0.999999999998865</v>
      </c>
      <c r="J257" s="3">
        <f t="shared" si="247"/>
        <v>1</v>
      </c>
      <c r="K257" s="3">
        <f t="shared" si="247"/>
        <v>0.999999999998865</v>
      </c>
      <c r="L257" s="3">
        <f t="shared" si="247"/>
        <v>0.999999999998865</v>
      </c>
      <c r="M257" s="3" t="e">
        <f t="shared" si="247"/>
        <v>#REF!</v>
      </c>
      <c r="N257" s="3">
        <f t="shared" si="247"/>
        <v>1</v>
      </c>
      <c r="O257" s="3">
        <f t="shared" si="247"/>
        <v>1</v>
      </c>
      <c r="P257" s="3">
        <f t="shared" si="247"/>
        <v>1</v>
      </c>
      <c r="Q257" s="3">
        <f t="shared" si="247"/>
        <v>1</v>
      </c>
      <c r="R257" s="3">
        <f t="shared" si="247"/>
        <v>1</v>
      </c>
      <c r="S257" s="3">
        <f t="shared" si="247"/>
        <v>1</v>
      </c>
      <c r="T257" s="3">
        <f t="shared" si="247"/>
        <v>1</v>
      </c>
      <c r="U257" s="3">
        <f t="shared" si="247"/>
        <v>1</v>
      </c>
      <c r="V257" s="3">
        <f t="shared" si="247"/>
        <v>1</v>
      </c>
      <c r="W257" s="3">
        <f t="shared" si="247"/>
        <v>1</v>
      </c>
    </row>
    <row r="258" customHeight="1" spans="1:23">
      <c r="A258" s="2">
        <v>245</v>
      </c>
      <c r="B258" s="3">
        <f t="shared" ref="B258:W258" si="248">MIN(1,IF($A258&lt;B$4+B$3,0,IF(B$2=0,1,IF(B$5=0,1/(1+(B$6*EXP(-($A258-B$4)/B$7))),IF(MOD($A258-B$4,B$5)=0,1/(1+(B$6*EXP(-($A258-B$4)/B$7))),1/(1+(B$6*EXP(-(QUOTIENT($A258-B$4,B$5)*B$5)/B$7))))))))</f>
        <v>0.999999999998998</v>
      </c>
      <c r="C258" s="3">
        <f t="shared" si="248"/>
        <v>0.999999999998998</v>
      </c>
      <c r="D258" s="3" t="e">
        <f t="shared" si="248"/>
        <v>#DIV/0!</v>
      </c>
      <c r="E258" s="3" t="e">
        <f t="shared" si="248"/>
        <v>#REF!</v>
      </c>
      <c r="F258" s="3">
        <f t="shared" si="248"/>
        <v>1</v>
      </c>
      <c r="G258" s="3">
        <f t="shared" si="248"/>
        <v>1</v>
      </c>
      <c r="H258" s="3">
        <f t="shared" si="248"/>
        <v>0.999999999998998</v>
      </c>
      <c r="I258" s="3">
        <f t="shared" si="248"/>
        <v>0.999999999998998</v>
      </c>
      <c r="J258" s="3">
        <f t="shared" si="248"/>
        <v>1</v>
      </c>
      <c r="K258" s="3">
        <f t="shared" si="248"/>
        <v>0.999999999998998</v>
      </c>
      <c r="L258" s="3">
        <f t="shared" si="248"/>
        <v>0.999999999998998</v>
      </c>
      <c r="M258" s="3" t="e">
        <f t="shared" si="248"/>
        <v>#REF!</v>
      </c>
      <c r="N258" s="3">
        <f t="shared" si="248"/>
        <v>1</v>
      </c>
      <c r="O258" s="3">
        <f t="shared" si="248"/>
        <v>1</v>
      </c>
      <c r="P258" s="3">
        <f t="shared" si="248"/>
        <v>1</v>
      </c>
      <c r="Q258" s="3">
        <f t="shared" si="248"/>
        <v>1</v>
      </c>
      <c r="R258" s="3">
        <f t="shared" si="248"/>
        <v>1</v>
      </c>
      <c r="S258" s="3">
        <f t="shared" si="248"/>
        <v>1</v>
      </c>
      <c r="T258" s="3">
        <f t="shared" si="248"/>
        <v>1</v>
      </c>
      <c r="U258" s="3">
        <f t="shared" si="248"/>
        <v>1</v>
      </c>
      <c r="V258" s="3">
        <f t="shared" si="248"/>
        <v>1</v>
      </c>
      <c r="W258" s="3">
        <f t="shared" si="248"/>
        <v>1</v>
      </c>
    </row>
    <row r="259" customHeight="1" spans="1:23">
      <c r="A259" s="2">
        <v>246</v>
      </c>
      <c r="B259" s="3">
        <f t="shared" ref="B259:W259" si="249">MIN(1,IF($A259&lt;B$4+B$3,0,IF(B$2=0,1,IF(B$5=0,1/(1+(B$6*EXP(-($A259-B$4)/B$7))),IF(MOD($A259-B$4,B$5)=0,1/(1+(B$6*EXP(-($A259-B$4)/B$7))),1/(1+(B$6*EXP(-(QUOTIENT($A259-B$4,B$5)*B$5)/B$7))))))))</f>
        <v>0.999999999999116</v>
      </c>
      <c r="C259" s="3">
        <f t="shared" si="249"/>
        <v>0.999999999999116</v>
      </c>
      <c r="D259" s="3" t="e">
        <f t="shared" si="249"/>
        <v>#DIV/0!</v>
      </c>
      <c r="E259" s="3" t="e">
        <f t="shared" si="249"/>
        <v>#REF!</v>
      </c>
      <c r="F259" s="3">
        <f t="shared" si="249"/>
        <v>1</v>
      </c>
      <c r="G259" s="3">
        <f t="shared" si="249"/>
        <v>1</v>
      </c>
      <c r="H259" s="3">
        <f t="shared" si="249"/>
        <v>0.999999999999116</v>
      </c>
      <c r="I259" s="3">
        <f t="shared" si="249"/>
        <v>0.999999999999116</v>
      </c>
      <c r="J259" s="3">
        <f t="shared" si="249"/>
        <v>1</v>
      </c>
      <c r="K259" s="3">
        <f t="shared" si="249"/>
        <v>0.999999999999116</v>
      </c>
      <c r="L259" s="3">
        <f t="shared" si="249"/>
        <v>0.999999999999116</v>
      </c>
      <c r="M259" s="3" t="e">
        <f t="shared" si="249"/>
        <v>#REF!</v>
      </c>
      <c r="N259" s="3">
        <f t="shared" si="249"/>
        <v>1</v>
      </c>
      <c r="O259" s="3">
        <f t="shared" si="249"/>
        <v>1</v>
      </c>
      <c r="P259" s="3">
        <f t="shared" si="249"/>
        <v>1</v>
      </c>
      <c r="Q259" s="3">
        <f t="shared" si="249"/>
        <v>1</v>
      </c>
      <c r="R259" s="3">
        <f t="shared" si="249"/>
        <v>1</v>
      </c>
      <c r="S259" s="3">
        <f t="shared" si="249"/>
        <v>1</v>
      </c>
      <c r="T259" s="3">
        <f t="shared" si="249"/>
        <v>1</v>
      </c>
      <c r="U259" s="3">
        <f t="shared" si="249"/>
        <v>1</v>
      </c>
      <c r="V259" s="3">
        <f t="shared" si="249"/>
        <v>1</v>
      </c>
      <c r="W259" s="3">
        <f t="shared" si="249"/>
        <v>1</v>
      </c>
    </row>
    <row r="260" customHeight="1" spans="1:23">
      <c r="A260" s="2">
        <v>247</v>
      </c>
      <c r="B260" s="3">
        <f t="shared" ref="B260:W260" si="250">MIN(1,IF($A260&lt;B$4+B$3,0,IF(B$2=0,1,IF(B$5=0,1/(1+(B$6*EXP(-($A260-B$4)/B$7))),IF(MOD($A260-B$4,B$5)=0,1/(1+(B$6*EXP(-($A260-B$4)/B$7))),1/(1+(B$6*EXP(-(QUOTIENT($A260-B$4,B$5)*B$5)/B$7))))))))</f>
        <v>0.99999999999922</v>
      </c>
      <c r="C260" s="3">
        <f t="shared" si="250"/>
        <v>0.99999999999922</v>
      </c>
      <c r="D260" s="3" t="e">
        <f t="shared" si="250"/>
        <v>#DIV/0!</v>
      </c>
      <c r="E260" s="3" t="e">
        <f t="shared" si="250"/>
        <v>#REF!</v>
      </c>
      <c r="F260" s="3">
        <f t="shared" si="250"/>
        <v>1</v>
      </c>
      <c r="G260" s="3">
        <f t="shared" si="250"/>
        <v>1</v>
      </c>
      <c r="H260" s="3">
        <f t="shared" si="250"/>
        <v>0.99999999999922</v>
      </c>
      <c r="I260" s="3">
        <f t="shared" si="250"/>
        <v>0.99999999999922</v>
      </c>
      <c r="J260" s="3">
        <f t="shared" si="250"/>
        <v>1</v>
      </c>
      <c r="K260" s="3">
        <f t="shared" si="250"/>
        <v>0.99999999999922</v>
      </c>
      <c r="L260" s="3">
        <f t="shared" si="250"/>
        <v>0.99999999999922</v>
      </c>
      <c r="M260" s="3" t="e">
        <f t="shared" si="250"/>
        <v>#REF!</v>
      </c>
      <c r="N260" s="3">
        <f t="shared" si="250"/>
        <v>1</v>
      </c>
      <c r="O260" s="3">
        <f t="shared" si="250"/>
        <v>1</v>
      </c>
      <c r="P260" s="3">
        <f t="shared" si="250"/>
        <v>1</v>
      </c>
      <c r="Q260" s="3">
        <f t="shared" si="250"/>
        <v>1</v>
      </c>
      <c r="R260" s="3">
        <f t="shared" si="250"/>
        <v>1</v>
      </c>
      <c r="S260" s="3">
        <f t="shared" si="250"/>
        <v>1</v>
      </c>
      <c r="T260" s="3">
        <f t="shared" si="250"/>
        <v>1</v>
      </c>
      <c r="U260" s="3">
        <f t="shared" si="250"/>
        <v>1</v>
      </c>
      <c r="V260" s="3">
        <f t="shared" si="250"/>
        <v>1</v>
      </c>
      <c r="W260" s="3">
        <f t="shared" si="250"/>
        <v>1</v>
      </c>
    </row>
    <row r="261" customHeight="1" spans="1:23">
      <c r="A261" s="2">
        <v>248</v>
      </c>
      <c r="B261" s="3">
        <f t="shared" ref="B261:W261" si="251">MIN(1,IF($A261&lt;B$4+B$3,0,IF(B$2=0,1,IF(B$5=0,1/(1+(B$6*EXP(-($A261-B$4)/B$7))),IF(MOD($A261-B$4,B$5)=0,1/(1+(B$6*EXP(-($A261-B$4)/B$7))),1/(1+(B$6*EXP(-(QUOTIENT($A261-B$4,B$5)*B$5)/B$7))))))))</f>
        <v>0.999999999999311</v>
      </c>
      <c r="C261" s="3">
        <f t="shared" si="251"/>
        <v>0.999999999999311</v>
      </c>
      <c r="D261" s="3" t="e">
        <f t="shared" si="251"/>
        <v>#DIV/0!</v>
      </c>
      <c r="E261" s="3" t="e">
        <f t="shared" si="251"/>
        <v>#REF!</v>
      </c>
      <c r="F261" s="3">
        <f t="shared" si="251"/>
        <v>1</v>
      </c>
      <c r="G261" s="3">
        <f t="shared" si="251"/>
        <v>1</v>
      </c>
      <c r="H261" s="3">
        <f t="shared" si="251"/>
        <v>0.999999999999311</v>
      </c>
      <c r="I261" s="3">
        <f t="shared" si="251"/>
        <v>0.999999999999311</v>
      </c>
      <c r="J261" s="3">
        <f t="shared" si="251"/>
        <v>1</v>
      </c>
      <c r="K261" s="3">
        <f t="shared" si="251"/>
        <v>0.999999999999311</v>
      </c>
      <c r="L261" s="3">
        <f t="shared" si="251"/>
        <v>0.999999999999311</v>
      </c>
      <c r="M261" s="3" t="e">
        <f t="shared" si="251"/>
        <v>#REF!</v>
      </c>
      <c r="N261" s="3">
        <f t="shared" si="251"/>
        <v>1</v>
      </c>
      <c r="O261" s="3">
        <f t="shared" si="251"/>
        <v>1</v>
      </c>
      <c r="P261" s="3">
        <f t="shared" si="251"/>
        <v>1</v>
      </c>
      <c r="Q261" s="3">
        <f t="shared" si="251"/>
        <v>1</v>
      </c>
      <c r="R261" s="3">
        <f t="shared" si="251"/>
        <v>1</v>
      </c>
      <c r="S261" s="3">
        <f t="shared" si="251"/>
        <v>1</v>
      </c>
      <c r="T261" s="3">
        <f t="shared" si="251"/>
        <v>1</v>
      </c>
      <c r="U261" s="3">
        <f t="shared" si="251"/>
        <v>1</v>
      </c>
      <c r="V261" s="3">
        <f t="shared" si="251"/>
        <v>1</v>
      </c>
      <c r="W261" s="3">
        <f t="shared" si="251"/>
        <v>1</v>
      </c>
    </row>
    <row r="262" customHeight="1" spans="1:23">
      <c r="A262" s="2">
        <v>249</v>
      </c>
      <c r="B262" s="3">
        <f t="shared" ref="B262:W262" si="252">MIN(1,IF($A262&lt;B$4+B$3,0,IF(B$2=0,1,IF(B$5=0,1/(1+(B$6*EXP(-($A262-B$4)/B$7))),IF(MOD($A262-B$4,B$5)=0,1/(1+(B$6*EXP(-($A262-B$4)/B$7))),1/(1+(B$6*EXP(-(QUOTIENT($A262-B$4,B$5)*B$5)/B$7))))))))</f>
        <v>0.999999999999392</v>
      </c>
      <c r="C262" s="3">
        <f t="shared" si="252"/>
        <v>0.999999999999392</v>
      </c>
      <c r="D262" s="3" t="e">
        <f t="shared" si="252"/>
        <v>#DIV/0!</v>
      </c>
      <c r="E262" s="3" t="e">
        <f t="shared" si="252"/>
        <v>#REF!</v>
      </c>
      <c r="F262" s="3">
        <f t="shared" si="252"/>
        <v>1</v>
      </c>
      <c r="G262" s="3">
        <f t="shared" si="252"/>
        <v>1</v>
      </c>
      <c r="H262" s="3">
        <f t="shared" si="252"/>
        <v>0.999999999999392</v>
      </c>
      <c r="I262" s="3">
        <f t="shared" si="252"/>
        <v>0.999999999999392</v>
      </c>
      <c r="J262" s="3">
        <f t="shared" si="252"/>
        <v>1</v>
      </c>
      <c r="K262" s="3">
        <f t="shared" si="252"/>
        <v>0.999999999999392</v>
      </c>
      <c r="L262" s="3">
        <f t="shared" si="252"/>
        <v>0.999999999999392</v>
      </c>
      <c r="M262" s="3" t="e">
        <f t="shared" si="252"/>
        <v>#REF!</v>
      </c>
      <c r="N262" s="3">
        <f t="shared" si="252"/>
        <v>1</v>
      </c>
      <c r="O262" s="3">
        <f t="shared" si="252"/>
        <v>1</v>
      </c>
      <c r="P262" s="3">
        <f t="shared" si="252"/>
        <v>1</v>
      </c>
      <c r="Q262" s="3">
        <f t="shared" si="252"/>
        <v>1</v>
      </c>
      <c r="R262" s="3">
        <f t="shared" si="252"/>
        <v>1</v>
      </c>
      <c r="S262" s="3">
        <f t="shared" si="252"/>
        <v>1</v>
      </c>
      <c r="T262" s="3">
        <f t="shared" si="252"/>
        <v>1</v>
      </c>
      <c r="U262" s="3">
        <f t="shared" si="252"/>
        <v>1</v>
      </c>
      <c r="V262" s="3">
        <f t="shared" si="252"/>
        <v>1</v>
      </c>
      <c r="W262" s="3">
        <f t="shared" si="252"/>
        <v>1</v>
      </c>
    </row>
    <row r="263" customHeight="1" spans="1:23">
      <c r="A263" s="2">
        <v>250</v>
      </c>
      <c r="B263" s="3">
        <f t="shared" ref="B263:W263" si="253">MIN(1,IF($A263&lt;B$4+B$3,0,IF(B$2=0,1,IF(B$5=0,1/(1+(B$6*EXP(-($A263-B$4)/B$7))),IF(MOD($A263-B$4,B$5)=0,1/(1+(B$6*EXP(-($A263-B$4)/B$7))),1/(1+(B$6*EXP(-(QUOTIENT($A263-B$4,B$5)*B$5)/B$7))))))))</f>
        <v>0.999999999999464</v>
      </c>
      <c r="C263" s="3">
        <f t="shared" si="253"/>
        <v>0.999999999999464</v>
      </c>
      <c r="D263" s="3" t="e">
        <f t="shared" si="253"/>
        <v>#DIV/0!</v>
      </c>
      <c r="E263" s="3" t="e">
        <f t="shared" si="253"/>
        <v>#REF!</v>
      </c>
      <c r="F263" s="3">
        <f t="shared" si="253"/>
        <v>1</v>
      </c>
      <c r="G263" s="3">
        <f t="shared" si="253"/>
        <v>1</v>
      </c>
      <c r="H263" s="3">
        <f t="shared" si="253"/>
        <v>0.999999999999464</v>
      </c>
      <c r="I263" s="3">
        <f t="shared" si="253"/>
        <v>0.999999999999464</v>
      </c>
      <c r="J263" s="3">
        <f t="shared" si="253"/>
        <v>1</v>
      </c>
      <c r="K263" s="3">
        <f t="shared" si="253"/>
        <v>0.999999999999464</v>
      </c>
      <c r="L263" s="3">
        <f t="shared" si="253"/>
        <v>0.999999999999464</v>
      </c>
      <c r="M263" s="3" t="e">
        <f t="shared" si="253"/>
        <v>#REF!</v>
      </c>
      <c r="N263" s="3">
        <f t="shared" si="253"/>
        <v>1</v>
      </c>
      <c r="O263" s="3">
        <f t="shared" si="253"/>
        <v>1</v>
      </c>
      <c r="P263" s="3">
        <f t="shared" si="253"/>
        <v>1</v>
      </c>
      <c r="Q263" s="3">
        <f t="shared" si="253"/>
        <v>1</v>
      </c>
      <c r="R263" s="3">
        <f t="shared" si="253"/>
        <v>1</v>
      </c>
      <c r="S263" s="3">
        <f t="shared" si="253"/>
        <v>1</v>
      </c>
      <c r="T263" s="3">
        <f t="shared" si="253"/>
        <v>1</v>
      </c>
      <c r="U263" s="3">
        <f t="shared" si="253"/>
        <v>1</v>
      </c>
      <c r="V263" s="3">
        <f t="shared" si="253"/>
        <v>1</v>
      </c>
      <c r="W263" s="3">
        <f t="shared" si="253"/>
        <v>1</v>
      </c>
    </row>
    <row r="264" customHeight="1" spans="1:23">
      <c r="A264" s="2">
        <v>251</v>
      </c>
      <c r="B264" s="3">
        <f t="shared" ref="B264:W264" si="254">MIN(1,IF($A264&lt;B$4+B$3,0,IF(B$2=0,1,IF(B$5=0,1/(1+(B$6*EXP(-($A264-B$4)/B$7))),IF(MOD($A264-B$4,B$5)=0,1/(1+(B$6*EXP(-($A264-B$4)/B$7))),1/(1+(B$6*EXP(-(QUOTIENT($A264-B$4,B$5)*B$5)/B$7))))))))</f>
        <v>0.999999999999527</v>
      </c>
      <c r="C264" s="3">
        <f t="shared" si="254"/>
        <v>0.999999999999527</v>
      </c>
      <c r="D264" s="3" t="e">
        <f t="shared" si="254"/>
        <v>#DIV/0!</v>
      </c>
      <c r="E264" s="3" t="e">
        <f t="shared" si="254"/>
        <v>#REF!</v>
      </c>
      <c r="F264" s="3">
        <f t="shared" si="254"/>
        <v>1</v>
      </c>
      <c r="G264" s="3">
        <f t="shared" si="254"/>
        <v>1</v>
      </c>
      <c r="H264" s="3">
        <f t="shared" si="254"/>
        <v>0.999999999999527</v>
      </c>
      <c r="I264" s="3">
        <f t="shared" si="254"/>
        <v>0.999999999999527</v>
      </c>
      <c r="J264" s="3">
        <f t="shared" si="254"/>
        <v>1</v>
      </c>
      <c r="K264" s="3">
        <f t="shared" si="254"/>
        <v>0.999999999999527</v>
      </c>
      <c r="L264" s="3">
        <f t="shared" si="254"/>
        <v>0.999999999999527</v>
      </c>
      <c r="M264" s="3" t="e">
        <f t="shared" si="254"/>
        <v>#REF!</v>
      </c>
      <c r="N264" s="3">
        <f t="shared" si="254"/>
        <v>1</v>
      </c>
      <c r="O264" s="3">
        <f t="shared" si="254"/>
        <v>1</v>
      </c>
      <c r="P264" s="3">
        <f t="shared" si="254"/>
        <v>1</v>
      </c>
      <c r="Q264" s="3">
        <f t="shared" si="254"/>
        <v>1</v>
      </c>
      <c r="R264" s="3">
        <f t="shared" si="254"/>
        <v>1</v>
      </c>
      <c r="S264" s="3">
        <f t="shared" si="254"/>
        <v>1</v>
      </c>
      <c r="T264" s="3">
        <f t="shared" si="254"/>
        <v>1</v>
      </c>
      <c r="U264" s="3">
        <f t="shared" si="254"/>
        <v>1</v>
      </c>
      <c r="V264" s="3">
        <f t="shared" si="254"/>
        <v>1</v>
      </c>
      <c r="W264" s="3">
        <f t="shared" si="254"/>
        <v>1</v>
      </c>
    </row>
    <row r="265" customHeight="1" spans="1:23">
      <c r="A265" s="2">
        <v>252</v>
      </c>
      <c r="B265" s="3">
        <f t="shared" ref="B265:W265" si="255">MIN(1,IF($A265&lt;B$4+B$3,0,IF(B$2=0,1,IF(B$5=0,1/(1+(B$6*EXP(-($A265-B$4)/B$7))),IF(MOD($A265-B$4,B$5)=0,1/(1+(B$6*EXP(-($A265-B$4)/B$7))),1/(1+(B$6*EXP(-(QUOTIENT($A265-B$4,B$5)*B$5)/B$7))))))))</f>
        <v>0.999999999999582</v>
      </c>
      <c r="C265" s="3">
        <f t="shared" si="255"/>
        <v>0.999999999999582</v>
      </c>
      <c r="D265" s="3" t="e">
        <f t="shared" si="255"/>
        <v>#DIV/0!</v>
      </c>
      <c r="E265" s="3" t="e">
        <f t="shared" si="255"/>
        <v>#REF!</v>
      </c>
      <c r="F265" s="3">
        <f t="shared" si="255"/>
        <v>1</v>
      </c>
      <c r="G265" s="3">
        <f t="shared" si="255"/>
        <v>1</v>
      </c>
      <c r="H265" s="3">
        <f t="shared" si="255"/>
        <v>0.999999999999582</v>
      </c>
      <c r="I265" s="3">
        <f t="shared" si="255"/>
        <v>0.999999999999582</v>
      </c>
      <c r="J265" s="3">
        <f t="shared" si="255"/>
        <v>1</v>
      </c>
      <c r="K265" s="3">
        <f t="shared" si="255"/>
        <v>0.999999999999582</v>
      </c>
      <c r="L265" s="3">
        <f t="shared" si="255"/>
        <v>0.999999999999582</v>
      </c>
      <c r="M265" s="3" t="e">
        <f t="shared" si="255"/>
        <v>#REF!</v>
      </c>
      <c r="N265" s="3">
        <f t="shared" si="255"/>
        <v>1</v>
      </c>
      <c r="O265" s="3">
        <f t="shared" si="255"/>
        <v>1</v>
      </c>
      <c r="P265" s="3">
        <f t="shared" si="255"/>
        <v>1</v>
      </c>
      <c r="Q265" s="3">
        <f t="shared" si="255"/>
        <v>1</v>
      </c>
      <c r="R265" s="3">
        <f t="shared" si="255"/>
        <v>1</v>
      </c>
      <c r="S265" s="3">
        <f t="shared" si="255"/>
        <v>1</v>
      </c>
      <c r="T265" s="3">
        <f t="shared" si="255"/>
        <v>1</v>
      </c>
      <c r="U265" s="3">
        <f t="shared" si="255"/>
        <v>1</v>
      </c>
      <c r="V265" s="3">
        <f t="shared" si="255"/>
        <v>1</v>
      </c>
      <c r="W265" s="3">
        <f t="shared" si="255"/>
        <v>1</v>
      </c>
    </row>
    <row r="266" customHeight="1" spans="1:23">
      <c r="A266" s="2">
        <v>253</v>
      </c>
      <c r="B266" s="3">
        <f t="shared" ref="B266:W266" si="256">MIN(1,IF($A266&lt;B$4+B$3,0,IF(B$2=0,1,IF(B$5=0,1/(1+(B$6*EXP(-($A266-B$4)/B$7))),IF(MOD($A266-B$4,B$5)=0,1/(1+(B$6*EXP(-($A266-B$4)/B$7))),1/(1+(B$6*EXP(-(QUOTIENT($A266-B$4,B$5)*B$5)/B$7))))))))</f>
        <v>0.999999999999631</v>
      </c>
      <c r="C266" s="3">
        <f t="shared" si="256"/>
        <v>0.999999999999631</v>
      </c>
      <c r="D266" s="3" t="e">
        <f t="shared" si="256"/>
        <v>#DIV/0!</v>
      </c>
      <c r="E266" s="3" t="e">
        <f t="shared" si="256"/>
        <v>#REF!</v>
      </c>
      <c r="F266" s="3">
        <f t="shared" si="256"/>
        <v>1</v>
      </c>
      <c r="G266" s="3">
        <f t="shared" si="256"/>
        <v>1</v>
      </c>
      <c r="H266" s="3">
        <f t="shared" si="256"/>
        <v>0.999999999999631</v>
      </c>
      <c r="I266" s="3">
        <f t="shared" si="256"/>
        <v>0.999999999999631</v>
      </c>
      <c r="J266" s="3">
        <f t="shared" si="256"/>
        <v>1</v>
      </c>
      <c r="K266" s="3">
        <f t="shared" si="256"/>
        <v>0.999999999999631</v>
      </c>
      <c r="L266" s="3">
        <f t="shared" si="256"/>
        <v>0.999999999999631</v>
      </c>
      <c r="M266" s="3" t="e">
        <f t="shared" si="256"/>
        <v>#REF!</v>
      </c>
      <c r="N266" s="3">
        <f t="shared" si="256"/>
        <v>1</v>
      </c>
      <c r="O266" s="3">
        <f t="shared" si="256"/>
        <v>1</v>
      </c>
      <c r="P266" s="3">
        <f t="shared" si="256"/>
        <v>1</v>
      </c>
      <c r="Q266" s="3">
        <f t="shared" si="256"/>
        <v>1</v>
      </c>
      <c r="R266" s="3">
        <f t="shared" si="256"/>
        <v>1</v>
      </c>
      <c r="S266" s="3">
        <f t="shared" si="256"/>
        <v>1</v>
      </c>
      <c r="T266" s="3">
        <f t="shared" si="256"/>
        <v>1</v>
      </c>
      <c r="U266" s="3">
        <f t="shared" si="256"/>
        <v>1</v>
      </c>
      <c r="V266" s="3">
        <f t="shared" si="256"/>
        <v>1</v>
      </c>
      <c r="W266" s="3">
        <f t="shared" si="256"/>
        <v>1</v>
      </c>
    </row>
    <row r="267" customHeight="1" spans="1:23">
      <c r="A267" s="2">
        <v>254</v>
      </c>
      <c r="B267" s="3">
        <f t="shared" ref="B267:W267" si="257">MIN(1,IF($A267&lt;B$4+B$3,0,IF(B$2=0,1,IF(B$5=0,1/(1+(B$6*EXP(-($A267-B$4)/B$7))),IF(MOD($A267-B$4,B$5)=0,1/(1+(B$6*EXP(-($A267-B$4)/B$7))),1/(1+(B$6*EXP(-(QUOTIENT($A267-B$4,B$5)*B$5)/B$7))))))))</f>
        <v>0.999999999999675</v>
      </c>
      <c r="C267" s="3">
        <f t="shared" si="257"/>
        <v>0.999999999999675</v>
      </c>
      <c r="D267" s="3" t="e">
        <f t="shared" si="257"/>
        <v>#DIV/0!</v>
      </c>
      <c r="E267" s="3" t="e">
        <f t="shared" si="257"/>
        <v>#REF!</v>
      </c>
      <c r="F267" s="3">
        <f t="shared" si="257"/>
        <v>1</v>
      </c>
      <c r="G267" s="3">
        <f t="shared" si="257"/>
        <v>1</v>
      </c>
      <c r="H267" s="3">
        <f t="shared" si="257"/>
        <v>0.999999999999675</v>
      </c>
      <c r="I267" s="3">
        <f t="shared" si="257"/>
        <v>0.999999999999675</v>
      </c>
      <c r="J267" s="3">
        <f t="shared" si="257"/>
        <v>1</v>
      </c>
      <c r="K267" s="3">
        <f t="shared" si="257"/>
        <v>0.999999999999675</v>
      </c>
      <c r="L267" s="3">
        <f t="shared" si="257"/>
        <v>0.999999999999675</v>
      </c>
      <c r="M267" s="3" t="e">
        <f t="shared" si="257"/>
        <v>#REF!</v>
      </c>
      <c r="N267" s="3">
        <f t="shared" si="257"/>
        <v>1</v>
      </c>
      <c r="O267" s="3">
        <f t="shared" si="257"/>
        <v>1</v>
      </c>
      <c r="P267" s="3">
        <f t="shared" si="257"/>
        <v>1</v>
      </c>
      <c r="Q267" s="3">
        <f t="shared" si="257"/>
        <v>1</v>
      </c>
      <c r="R267" s="3">
        <f t="shared" si="257"/>
        <v>1</v>
      </c>
      <c r="S267" s="3">
        <f t="shared" si="257"/>
        <v>1</v>
      </c>
      <c r="T267" s="3">
        <f t="shared" si="257"/>
        <v>1</v>
      </c>
      <c r="U267" s="3">
        <f t="shared" si="257"/>
        <v>1</v>
      </c>
      <c r="V267" s="3">
        <f t="shared" si="257"/>
        <v>1</v>
      </c>
      <c r="W267" s="3">
        <f t="shared" si="257"/>
        <v>1</v>
      </c>
    </row>
    <row r="268" customHeight="1" spans="1:23">
      <c r="A268" s="2">
        <v>255</v>
      </c>
      <c r="B268" s="3">
        <f t="shared" ref="B268:W268" si="258">MIN(1,IF($A268&lt;B$4+B$3,0,IF(B$2=0,1,IF(B$5=0,1/(1+(B$6*EXP(-($A268-B$4)/B$7))),IF(MOD($A268-B$4,B$5)=0,1/(1+(B$6*EXP(-($A268-B$4)/B$7))),1/(1+(B$6*EXP(-(QUOTIENT($A268-B$4,B$5)*B$5)/B$7))))))))</f>
        <v>0.999999999999713</v>
      </c>
      <c r="C268" s="3">
        <f t="shared" si="258"/>
        <v>0.999999999999713</v>
      </c>
      <c r="D268" s="3" t="e">
        <f t="shared" si="258"/>
        <v>#DIV/0!</v>
      </c>
      <c r="E268" s="3" t="e">
        <f t="shared" si="258"/>
        <v>#REF!</v>
      </c>
      <c r="F268" s="3">
        <f t="shared" si="258"/>
        <v>1</v>
      </c>
      <c r="G268" s="3">
        <f t="shared" si="258"/>
        <v>1</v>
      </c>
      <c r="H268" s="3">
        <f t="shared" si="258"/>
        <v>0.999999999999713</v>
      </c>
      <c r="I268" s="3">
        <f t="shared" si="258"/>
        <v>0.999999999999713</v>
      </c>
      <c r="J268" s="3">
        <f t="shared" si="258"/>
        <v>1</v>
      </c>
      <c r="K268" s="3">
        <f t="shared" si="258"/>
        <v>0.999999999999713</v>
      </c>
      <c r="L268" s="3">
        <f t="shared" si="258"/>
        <v>0.999999999999713</v>
      </c>
      <c r="M268" s="3" t="e">
        <f t="shared" si="258"/>
        <v>#REF!</v>
      </c>
      <c r="N268" s="3">
        <f t="shared" si="258"/>
        <v>1</v>
      </c>
      <c r="O268" s="3">
        <f t="shared" si="258"/>
        <v>1</v>
      </c>
      <c r="P268" s="3">
        <f t="shared" si="258"/>
        <v>1</v>
      </c>
      <c r="Q268" s="3">
        <f t="shared" si="258"/>
        <v>1</v>
      </c>
      <c r="R268" s="3">
        <f t="shared" si="258"/>
        <v>1</v>
      </c>
      <c r="S268" s="3">
        <f t="shared" si="258"/>
        <v>1</v>
      </c>
      <c r="T268" s="3">
        <f t="shared" si="258"/>
        <v>1</v>
      </c>
      <c r="U268" s="3">
        <f t="shared" si="258"/>
        <v>1</v>
      </c>
      <c r="V268" s="3">
        <f t="shared" si="258"/>
        <v>1</v>
      </c>
      <c r="W268" s="3">
        <f t="shared" si="258"/>
        <v>1</v>
      </c>
    </row>
    <row r="269" customHeight="1" spans="1:23">
      <c r="A269" s="2">
        <v>256</v>
      </c>
      <c r="B269" s="3">
        <f t="shared" ref="B269:W269" si="259">MIN(1,IF($A269&lt;B$4+B$3,0,IF(B$2=0,1,IF(B$5=0,1/(1+(B$6*EXP(-($A269-B$4)/B$7))),IF(MOD($A269-B$4,B$5)=0,1/(1+(B$6*EXP(-($A269-B$4)/B$7))),1/(1+(B$6*EXP(-(QUOTIENT($A269-B$4,B$5)*B$5)/B$7))))))))</f>
        <v>0.999999999999747</v>
      </c>
      <c r="C269" s="3">
        <f t="shared" si="259"/>
        <v>0.999999999999747</v>
      </c>
      <c r="D269" s="3" t="e">
        <f t="shared" si="259"/>
        <v>#DIV/0!</v>
      </c>
      <c r="E269" s="3" t="e">
        <f t="shared" si="259"/>
        <v>#REF!</v>
      </c>
      <c r="F269" s="3">
        <f t="shared" si="259"/>
        <v>1</v>
      </c>
      <c r="G269" s="3">
        <f t="shared" si="259"/>
        <v>1</v>
      </c>
      <c r="H269" s="3">
        <f t="shared" si="259"/>
        <v>0.999999999999747</v>
      </c>
      <c r="I269" s="3">
        <f t="shared" si="259"/>
        <v>0.999999999999747</v>
      </c>
      <c r="J269" s="3">
        <f t="shared" si="259"/>
        <v>1</v>
      </c>
      <c r="K269" s="3">
        <f t="shared" si="259"/>
        <v>0.999999999999747</v>
      </c>
      <c r="L269" s="3">
        <f t="shared" si="259"/>
        <v>0.999999999999747</v>
      </c>
      <c r="M269" s="3" t="e">
        <f t="shared" si="259"/>
        <v>#REF!</v>
      </c>
      <c r="N269" s="3">
        <f t="shared" si="259"/>
        <v>1</v>
      </c>
      <c r="O269" s="3">
        <f t="shared" si="259"/>
        <v>1</v>
      </c>
      <c r="P269" s="3">
        <f t="shared" si="259"/>
        <v>1</v>
      </c>
      <c r="Q269" s="3">
        <f t="shared" si="259"/>
        <v>1</v>
      </c>
      <c r="R269" s="3">
        <f t="shared" si="259"/>
        <v>1</v>
      </c>
      <c r="S269" s="3">
        <f t="shared" si="259"/>
        <v>1</v>
      </c>
      <c r="T269" s="3">
        <f t="shared" si="259"/>
        <v>1</v>
      </c>
      <c r="U269" s="3">
        <f t="shared" si="259"/>
        <v>1</v>
      </c>
      <c r="V269" s="3">
        <f t="shared" si="259"/>
        <v>1</v>
      </c>
      <c r="W269" s="3">
        <f t="shared" si="259"/>
        <v>1</v>
      </c>
    </row>
    <row r="270" customHeight="1" spans="1:23">
      <c r="A270" s="2">
        <v>257</v>
      </c>
      <c r="B270" s="3">
        <f t="shared" ref="B270:W270" si="260">MIN(1,IF($A270&lt;B$4+B$3,0,IF(B$2=0,1,IF(B$5=0,1/(1+(B$6*EXP(-($A270-B$4)/B$7))),IF(MOD($A270-B$4,B$5)=0,1/(1+(B$6*EXP(-($A270-B$4)/B$7))),1/(1+(B$6*EXP(-(QUOTIENT($A270-B$4,B$5)*B$5)/B$7))))))))</f>
        <v>0.999999999999776</v>
      </c>
      <c r="C270" s="3">
        <f t="shared" si="260"/>
        <v>0.999999999999776</v>
      </c>
      <c r="D270" s="3" t="e">
        <f t="shared" si="260"/>
        <v>#DIV/0!</v>
      </c>
      <c r="E270" s="3" t="e">
        <f t="shared" si="260"/>
        <v>#REF!</v>
      </c>
      <c r="F270" s="3">
        <f t="shared" si="260"/>
        <v>1</v>
      </c>
      <c r="G270" s="3">
        <f t="shared" si="260"/>
        <v>1</v>
      </c>
      <c r="H270" s="3">
        <f t="shared" si="260"/>
        <v>0.999999999999776</v>
      </c>
      <c r="I270" s="3">
        <f t="shared" si="260"/>
        <v>0.999999999999776</v>
      </c>
      <c r="J270" s="3">
        <f t="shared" si="260"/>
        <v>1</v>
      </c>
      <c r="K270" s="3">
        <f t="shared" si="260"/>
        <v>0.999999999999776</v>
      </c>
      <c r="L270" s="3">
        <f t="shared" si="260"/>
        <v>0.999999999999776</v>
      </c>
      <c r="M270" s="3" t="e">
        <f t="shared" si="260"/>
        <v>#REF!</v>
      </c>
      <c r="N270" s="3">
        <f t="shared" si="260"/>
        <v>1</v>
      </c>
      <c r="O270" s="3">
        <f t="shared" si="260"/>
        <v>1</v>
      </c>
      <c r="P270" s="3">
        <f t="shared" si="260"/>
        <v>1</v>
      </c>
      <c r="Q270" s="3">
        <f t="shared" si="260"/>
        <v>1</v>
      </c>
      <c r="R270" s="3">
        <f t="shared" si="260"/>
        <v>1</v>
      </c>
      <c r="S270" s="3">
        <f t="shared" si="260"/>
        <v>1</v>
      </c>
      <c r="T270" s="3">
        <f t="shared" si="260"/>
        <v>1</v>
      </c>
      <c r="U270" s="3">
        <f t="shared" si="260"/>
        <v>1</v>
      </c>
      <c r="V270" s="3">
        <f t="shared" si="260"/>
        <v>1</v>
      </c>
      <c r="W270" s="3">
        <f t="shared" si="260"/>
        <v>1</v>
      </c>
    </row>
    <row r="271" customHeight="1" spans="1:23">
      <c r="A271" s="2">
        <v>258</v>
      </c>
      <c r="B271" s="3">
        <f t="shared" ref="B271:W271" si="261">MIN(1,IF($A271&lt;B$4+B$3,0,IF(B$2=0,1,IF(B$5=0,1/(1+(B$6*EXP(-($A271-B$4)/B$7))),IF(MOD($A271-B$4,B$5)=0,1/(1+(B$6*EXP(-($A271-B$4)/B$7))),1/(1+(B$6*EXP(-(QUOTIENT($A271-B$4,B$5)*B$5)/B$7))))))))</f>
        <v>0.999999999999803</v>
      </c>
      <c r="C271" s="3">
        <f t="shared" si="261"/>
        <v>0.999999999999803</v>
      </c>
      <c r="D271" s="3" t="e">
        <f t="shared" si="261"/>
        <v>#DIV/0!</v>
      </c>
      <c r="E271" s="3" t="e">
        <f t="shared" si="261"/>
        <v>#REF!</v>
      </c>
      <c r="F271" s="3">
        <f t="shared" si="261"/>
        <v>1</v>
      </c>
      <c r="G271" s="3">
        <f t="shared" si="261"/>
        <v>1</v>
      </c>
      <c r="H271" s="3">
        <f t="shared" si="261"/>
        <v>0.999999999999803</v>
      </c>
      <c r="I271" s="3">
        <f t="shared" si="261"/>
        <v>0.999999999999803</v>
      </c>
      <c r="J271" s="3">
        <f t="shared" si="261"/>
        <v>1</v>
      </c>
      <c r="K271" s="3">
        <f t="shared" si="261"/>
        <v>0.999999999999803</v>
      </c>
      <c r="L271" s="3">
        <f t="shared" si="261"/>
        <v>0.999999999999803</v>
      </c>
      <c r="M271" s="3" t="e">
        <f t="shared" si="261"/>
        <v>#REF!</v>
      </c>
      <c r="N271" s="3">
        <f t="shared" si="261"/>
        <v>1</v>
      </c>
      <c r="O271" s="3">
        <f t="shared" si="261"/>
        <v>1</v>
      </c>
      <c r="P271" s="3">
        <f t="shared" si="261"/>
        <v>1</v>
      </c>
      <c r="Q271" s="3">
        <f t="shared" si="261"/>
        <v>1</v>
      </c>
      <c r="R271" s="3">
        <f t="shared" si="261"/>
        <v>1</v>
      </c>
      <c r="S271" s="3">
        <f t="shared" si="261"/>
        <v>1</v>
      </c>
      <c r="T271" s="3">
        <f t="shared" si="261"/>
        <v>1</v>
      </c>
      <c r="U271" s="3">
        <f t="shared" si="261"/>
        <v>1</v>
      </c>
      <c r="V271" s="3">
        <f t="shared" si="261"/>
        <v>1</v>
      </c>
      <c r="W271" s="3">
        <f t="shared" si="261"/>
        <v>1</v>
      </c>
    </row>
    <row r="272" customHeight="1" spans="1:23">
      <c r="A272" s="2">
        <v>259</v>
      </c>
      <c r="B272" s="3">
        <f t="shared" ref="B272:W272" si="262">MIN(1,IF($A272&lt;B$4+B$3,0,IF(B$2=0,1,IF(B$5=0,1/(1+(B$6*EXP(-($A272-B$4)/B$7))),IF(MOD($A272-B$4,B$5)=0,1/(1+(B$6*EXP(-($A272-B$4)/B$7))),1/(1+(B$6*EXP(-(QUOTIENT($A272-B$4,B$5)*B$5)/B$7))))))))</f>
        <v>0.999999999999826</v>
      </c>
      <c r="C272" s="3">
        <f t="shared" si="262"/>
        <v>0.999999999999826</v>
      </c>
      <c r="D272" s="3" t="e">
        <f t="shared" si="262"/>
        <v>#DIV/0!</v>
      </c>
      <c r="E272" s="3" t="e">
        <f t="shared" si="262"/>
        <v>#REF!</v>
      </c>
      <c r="F272" s="3">
        <f t="shared" si="262"/>
        <v>1</v>
      </c>
      <c r="G272" s="3">
        <f t="shared" si="262"/>
        <v>1</v>
      </c>
      <c r="H272" s="3">
        <f t="shared" si="262"/>
        <v>0.999999999999826</v>
      </c>
      <c r="I272" s="3">
        <f t="shared" si="262"/>
        <v>0.999999999999826</v>
      </c>
      <c r="J272" s="3">
        <f t="shared" si="262"/>
        <v>1</v>
      </c>
      <c r="K272" s="3">
        <f t="shared" si="262"/>
        <v>0.999999999999826</v>
      </c>
      <c r="L272" s="3">
        <f t="shared" si="262"/>
        <v>0.999999999999826</v>
      </c>
      <c r="M272" s="3" t="e">
        <f t="shared" si="262"/>
        <v>#REF!</v>
      </c>
      <c r="N272" s="3">
        <f t="shared" si="262"/>
        <v>1</v>
      </c>
      <c r="O272" s="3">
        <f t="shared" si="262"/>
        <v>1</v>
      </c>
      <c r="P272" s="3">
        <f t="shared" si="262"/>
        <v>1</v>
      </c>
      <c r="Q272" s="3">
        <f t="shared" si="262"/>
        <v>1</v>
      </c>
      <c r="R272" s="3">
        <f t="shared" si="262"/>
        <v>1</v>
      </c>
      <c r="S272" s="3">
        <f t="shared" si="262"/>
        <v>1</v>
      </c>
      <c r="T272" s="3">
        <f t="shared" si="262"/>
        <v>1</v>
      </c>
      <c r="U272" s="3">
        <f t="shared" si="262"/>
        <v>1</v>
      </c>
      <c r="V272" s="3">
        <f t="shared" si="262"/>
        <v>1</v>
      </c>
      <c r="W272" s="3">
        <f t="shared" si="262"/>
        <v>1</v>
      </c>
    </row>
    <row r="273" customHeight="1" spans="1:23">
      <c r="A273" s="2">
        <v>260</v>
      </c>
      <c r="B273" s="3">
        <f t="shared" ref="B273:W273" si="263">MIN(1,IF($A273&lt;B$4+B$3,0,IF(B$2=0,1,IF(B$5=0,1/(1+(B$6*EXP(-($A273-B$4)/B$7))),IF(MOD($A273-B$4,B$5)=0,1/(1+(B$6*EXP(-($A273-B$4)/B$7))),1/(1+(B$6*EXP(-(QUOTIENT($A273-B$4,B$5)*B$5)/B$7))))))))</f>
        <v>0.999999999999846</v>
      </c>
      <c r="C273" s="3">
        <f t="shared" si="263"/>
        <v>0.999999999999846</v>
      </c>
      <c r="D273" s="3" t="e">
        <f t="shared" si="263"/>
        <v>#DIV/0!</v>
      </c>
      <c r="E273" s="3" t="e">
        <f t="shared" si="263"/>
        <v>#REF!</v>
      </c>
      <c r="F273" s="3">
        <f t="shared" si="263"/>
        <v>1</v>
      </c>
      <c r="G273" s="3">
        <f t="shared" si="263"/>
        <v>1</v>
      </c>
      <c r="H273" s="3">
        <f t="shared" si="263"/>
        <v>0.999999999999846</v>
      </c>
      <c r="I273" s="3">
        <f t="shared" si="263"/>
        <v>0.999999999999846</v>
      </c>
      <c r="J273" s="3">
        <f t="shared" si="263"/>
        <v>1</v>
      </c>
      <c r="K273" s="3">
        <f t="shared" si="263"/>
        <v>0.999999999999846</v>
      </c>
      <c r="L273" s="3">
        <f t="shared" si="263"/>
        <v>0.999999999999846</v>
      </c>
      <c r="M273" s="3" t="e">
        <f t="shared" si="263"/>
        <v>#REF!</v>
      </c>
      <c r="N273" s="3">
        <f t="shared" si="263"/>
        <v>1</v>
      </c>
      <c r="O273" s="3">
        <f t="shared" si="263"/>
        <v>1</v>
      </c>
      <c r="P273" s="3">
        <f t="shared" si="263"/>
        <v>1</v>
      </c>
      <c r="Q273" s="3">
        <f t="shared" si="263"/>
        <v>1</v>
      </c>
      <c r="R273" s="3">
        <f t="shared" si="263"/>
        <v>1</v>
      </c>
      <c r="S273" s="3">
        <f t="shared" si="263"/>
        <v>1</v>
      </c>
      <c r="T273" s="3">
        <f t="shared" si="263"/>
        <v>1</v>
      </c>
      <c r="U273" s="3">
        <f t="shared" si="263"/>
        <v>1</v>
      </c>
      <c r="V273" s="3">
        <f t="shared" si="263"/>
        <v>1</v>
      </c>
      <c r="W273" s="3">
        <f t="shared" si="263"/>
        <v>1</v>
      </c>
    </row>
    <row r="274" customHeight="1" spans="1:23">
      <c r="A274" s="2">
        <v>261</v>
      </c>
      <c r="B274" s="3">
        <f t="shared" ref="B274:W274" si="264">MIN(1,IF($A274&lt;B$4+B$3,0,IF(B$2=0,1,IF(B$5=0,1/(1+(B$6*EXP(-($A274-B$4)/B$7))),IF(MOD($A274-B$4,B$5)=0,1/(1+(B$6*EXP(-($A274-B$4)/B$7))),1/(1+(B$6*EXP(-(QUOTIENT($A274-B$4,B$5)*B$5)/B$7))))))))</f>
        <v>0.999999999999864</v>
      </c>
      <c r="C274" s="3">
        <f t="shared" si="264"/>
        <v>0.999999999999864</v>
      </c>
      <c r="D274" s="3" t="e">
        <f t="shared" si="264"/>
        <v>#DIV/0!</v>
      </c>
      <c r="E274" s="3" t="e">
        <f t="shared" si="264"/>
        <v>#REF!</v>
      </c>
      <c r="F274" s="3">
        <f t="shared" si="264"/>
        <v>1</v>
      </c>
      <c r="G274" s="3">
        <f t="shared" si="264"/>
        <v>1</v>
      </c>
      <c r="H274" s="3">
        <f t="shared" si="264"/>
        <v>0.999999999999864</v>
      </c>
      <c r="I274" s="3">
        <f t="shared" si="264"/>
        <v>0.999999999999864</v>
      </c>
      <c r="J274" s="3">
        <f t="shared" si="264"/>
        <v>1</v>
      </c>
      <c r="K274" s="3">
        <f t="shared" si="264"/>
        <v>0.999999999999864</v>
      </c>
      <c r="L274" s="3">
        <f t="shared" si="264"/>
        <v>0.999999999999864</v>
      </c>
      <c r="M274" s="3" t="e">
        <f t="shared" si="264"/>
        <v>#REF!</v>
      </c>
      <c r="N274" s="3">
        <f t="shared" si="264"/>
        <v>1</v>
      </c>
      <c r="O274" s="3">
        <f t="shared" si="264"/>
        <v>1</v>
      </c>
      <c r="P274" s="3">
        <f t="shared" si="264"/>
        <v>1</v>
      </c>
      <c r="Q274" s="3">
        <f t="shared" si="264"/>
        <v>1</v>
      </c>
      <c r="R274" s="3">
        <f t="shared" si="264"/>
        <v>1</v>
      </c>
      <c r="S274" s="3">
        <f t="shared" si="264"/>
        <v>1</v>
      </c>
      <c r="T274" s="3">
        <f t="shared" si="264"/>
        <v>1</v>
      </c>
      <c r="U274" s="3">
        <f t="shared" si="264"/>
        <v>1</v>
      </c>
      <c r="V274" s="3">
        <f t="shared" si="264"/>
        <v>1</v>
      </c>
      <c r="W274" s="3">
        <f t="shared" si="264"/>
        <v>1</v>
      </c>
    </row>
    <row r="275" customHeight="1" spans="1:23">
      <c r="A275" s="2">
        <v>262</v>
      </c>
      <c r="B275" s="3">
        <f t="shared" ref="B275:W275" si="265">MIN(1,IF($A275&lt;B$4+B$3,0,IF(B$2=0,1,IF(B$5=0,1/(1+(B$6*EXP(-($A275-B$4)/B$7))),IF(MOD($A275-B$4,B$5)=0,1/(1+(B$6*EXP(-($A275-B$4)/B$7))),1/(1+(B$6*EXP(-(QUOTIENT($A275-B$4,B$5)*B$5)/B$7))))))))</f>
        <v>0.99999999999988</v>
      </c>
      <c r="C275" s="3">
        <f t="shared" si="265"/>
        <v>0.99999999999988</v>
      </c>
      <c r="D275" s="3" t="e">
        <f t="shared" si="265"/>
        <v>#DIV/0!</v>
      </c>
      <c r="E275" s="3" t="e">
        <f t="shared" si="265"/>
        <v>#REF!</v>
      </c>
      <c r="F275" s="3">
        <f t="shared" si="265"/>
        <v>1</v>
      </c>
      <c r="G275" s="3">
        <f t="shared" si="265"/>
        <v>1</v>
      </c>
      <c r="H275" s="3">
        <f t="shared" si="265"/>
        <v>0.99999999999988</v>
      </c>
      <c r="I275" s="3">
        <f t="shared" si="265"/>
        <v>0.99999999999988</v>
      </c>
      <c r="J275" s="3">
        <f t="shared" si="265"/>
        <v>1</v>
      </c>
      <c r="K275" s="3">
        <f t="shared" si="265"/>
        <v>0.99999999999988</v>
      </c>
      <c r="L275" s="3">
        <f t="shared" si="265"/>
        <v>0.99999999999988</v>
      </c>
      <c r="M275" s="3" t="e">
        <f t="shared" si="265"/>
        <v>#REF!</v>
      </c>
      <c r="N275" s="3">
        <f t="shared" si="265"/>
        <v>1</v>
      </c>
      <c r="O275" s="3">
        <f t="shared" si="265"/>
        <v>1</v>
      </c>
      <c r="P275" s="3">
        <f t="shared" si="265"/>
        <v>1</v>
      </c>
      <c r="Q275" s="3">
        <f t="shared" si="265"/>
        <v>1</v>
      </c>
      <c r="R275" s="3">
        <f t="shared" si="265"/>
        <v>1</v>
      </c>
      <c r="S275" s="3">
        <f t="shared" si="265"/>
        <v>1</v>
      </c>
      <c r="T275" s="3">
        <f t="shared" si="265"/>
        <v>1</v>
      </c>
      <c r="U275" s="3">
        <f t="shared" si="265"/>
        <v>1</v>
      </c>
      <c r="V275" s="3">
        <f t="shared" si="265"/>
        <v>1</v>
      </c>
      <c r="W275" s="3">
        <f t="shared" si="265"/>
        <v>1</v>
      </c>
    </row>
    <row r="276" customHeight="1" spans="1:23">
      <c r="A276" s="2">
        <v>263</v>
      </c>
      <c r="B276" s="3">
        <f t="shared" ref="B276:W276" si="266">MIN(1,IF($A276&lt;B$4+B$3,0,IF(B$2=0,1,IF(B$5=0,1/(1+(B$6*EXP(-($A276-B$4)/B$7))),IF(MOD($A276-B$4,B$5)=0,1/(1+(B$6*EXP(-($A276-B$4)/B$7))),1/(1+(B$6*EXP(-(QUOTIENT($A276-B$4,B$5)*B$5)/B$7))))))))</f>
        <v>0.999999999999894</v>
      </c>
      <c r="C276" s="3">
        <f t="shared" si="266"/>
        <v>0.999999999999894</v>
      </c>
      <c r="D276" s="3" t="e">
        <f t="shared" si="266"/>
        <v>#DIV/0!</v>
      </c>
      <c r="E276" s="3" t="e">
        <f t="shared" si="266"/>
        <v>#REF!</v>
      </c>
      <c r="F276" s="3">
        <f t="shared" si="266"/>
        <v>1</v>
      </c>
      <c r="G276" s="3">
        <f t="shared" si="266"/>
        <v>1</v>
      </c>
      <c r="H276" s="3">
        <f t="shared" si="266"/>
        <v>0.999999999999894</v>
      </c>
      <c r="I276" s="3">
        <f t="shared" si="266"/>
        <v>0.999999999999894</v>
      </c>
      <c r="J276" s="3">
        <f t="shared" si="266"/>
        <v>1</v>
      </c>
      <c r="K276" s="3">
        <f t="shared" si="266"/>
        <v>0.999999999999894</v>
      </c>
      <c r="L276" s="3">
        <f t="shared" si="266"/>
        <v>0.999999999999894</v>
      </c>
      <c r="M276" s="3" t="e">
        <f t="shared" si="266"/>
        <v>#REF!</v>
      </c>
      <c r="N276" s="3">
        <f t="shared" si="266"/>
        <v>1</v>
      </c>
      <c r="O276" s="3">
        <f t="shared" si="266"/>
        <v>1</v>
      </c>
      <c r="P276" s="3">
        <f t="shared" si="266"/>
        <v>1</v>
      </c>
      <c r="Q276" s="3">
        <f t="shared" si="266"/>
        <v>1</v>
      </c>
      <c r="R276" s="3">
        <f t="shared" si="266"/>
        <v>1</v>
      </c>
      <c r="S276" s="3">
        <f t="shared" si="266"/>
        <v>1</v>
      </c>
      <c r="T276" s="3">
        <f t="shared" si="266"/>
        <v>1</v>
      </c>
      <c r="U276" s="3">
        <f t="shared" si="266"/>
        <v>1</v>
      </c>
      <c r="V276" s="3">
        <f t="shared" si="266"/>
        <v>1</v>
      </c>
      <c r="W276" s="3">
        <f t="shared" si="266"/>
        <v>1</v>
      </c>
    </row>
    <row r="277" customHeight="1" spans="1:23">
      <c r="A277" s="2">
        <v>264</v>
      </c>
      <c r="B277" s="3">
        <f t="shared" ref="B277:W277" si="267">MIN(1,IF($A277&lt;B$4+B$3,0,IF(B$2=0,1,IF(B$5=0,1/(1+(B$6*EXP(-($A277-B$4)/B$7))),IF(MOD($A277-B$4,B$5)=0,1/(1+(B$6*EXP(-($A277-B$4)/B$7))),1/(1+(B$6*EXP(-(QUOTIENT($A277-B$4,B$5)*B$5)/B$7))))))))</f>
        <v>0.999999999999907</v>
      </c>
      <c r="C277" s="3">
        <f t="shared" si="267"/>
        <v>0.999999999999907</v>
      </c>
      <c r="D277" s="3" t="e">
        <f t="shared" si="267"/>
        <v>#DIV/0!</v>
      </c>
      <c r="E277" s="3" t="e">
        <f t="shared" si="267"/>
        <v>#REF!</v>
      </c>
      <c r="F277" s="3">
        <f t="shared" si="267"/>
        <v>1</v>
      </c>
      <c r="G277" s="3">
        <f t="shared" si="267"/>
        <v>1</v>
      </c>
      <c r="H277" s="3">
        <f t="shared" si="267"/>
        <v>0.999999999999907</v>
      </c>
      <c r="I277" s="3">
        <f t="shared" si="267"/>
        <v>0.999999999999907</v>
      </c>
      <c r="J277" s="3">
        <f t="shared" si="267"/>
        <v>1</v>
      </c>
      <c r="K277" s="3">
        <f t="shared" si="267"/>
        <v>0.999999999999907</v>
      </c>
      <c r="L277" s="3">
        <f t="shared" si="267"/>
        <v>0.999999999999907</v>
      </c>
      <c r="M277" s="3" t="e">
        <f t="shared" si="267"/>
        <v>#REF!</v>
      </c>
      <c r="N277" s="3">
        <f t="shared" si="267"/>
        <v>1</v>
      </c>
      <c r="O277" s="3">
        <f t="shared" si="267"/>
        <v>1</v>
      </c>
      <c r="P277" s="3">
        <f t="shared" si="267"/>
        <v>1</v>
      </c>
      <c r="Q277" s="3">
        <f t="shared" si="267"/>
        <v>1</v>
      </c>
      <c r="R277" s="3">
        <f t="shared" si="267"/>
        <v>1</v>
      </c>
      <c r="S277" s="3">
        <f t="shared" si="267"/>
        <v>1</v>
      </c>
      <c r="T277" s="3">
        <f t="shared" si="267"/>
        <v>1</v>
      </c>
      <c r="U277" s="3">
        <f t="shared" si="267"/>
        <v>1</v>
      </c>
      <c r="V277" s="3">
        <f t="shared" si="267"/>
        <v>1</v>
      </c>
      <c r="W277" s="3">
        <f t="shared" si="267"/>
        <v>1</v>
      </c>
    </row>
    <row r="278" customHeight="1" spans="1:23">
      <c r="A278" s="2">
        <v>265</v>
      </c>
      <c r="B278" s="3">
        <f t="shared" ref="B278:W278" si="268">MIN(1,IF($A278&lt;B$4+B$3,0,IF(B$2=0,1,IF(B$5=0,1/(1+(B$6*EXP(-($A278-B$4)/B$7))),IF(MOD($A278-B$4,B$5)=0,1/(1+(B$6*EXP(-($A278-B$4)/B$7))),1/(1+(B$6*EXP(-(QUOTIENT($A278-B$4,B$5)*B$5)/B$7))))))))</f>
        <v>0.999999999999918</v>
      </c>
      <c r="C278" s="3">
        <f t="shared" si="268"/>
        <v>0.999999999999918</v>
      </c>
      <c r="D278" s="3" t="e">
        <f t="shared" si="268"/>
        <v>#DIV/0!</v>
      </c>
      <c r="E278" s="3" t="e">
        <f t="shared" si="268"/>
        <v>#REF!</v>
      </c>
      <c r="F278" s="3">
        <f t="shared" si="268"/>
        <v>1</v>
      </c>
      <c r="G278" s="3">
        <f t="shared" si="268"/>
        <v>1</v>
      </c>
      <c r="H278" s="3">
        <f t="shared" si="268"/>
        <v>0.999999999999918</v>
      </c>
      <c r="I278" s="3">
        <f t="shared" si="268"/>
        <v>0.999999999999918</v>
      </c>
      <c r="J278" s="3">
        <f t="shared" si="268"/>
        <v>1</v>
      </c>
      <c r="K278" s="3">
        <f t="shared" si="268"/>
        <v>0.999999999999918</v>
      </c>
      <c r="L278" s="3">
        <f t="shared" si="268"/>
        <v>0.999999999999918</v>
      </c>
      <c r="M278" s="3" t="e">
        <f t="shared" si="268"/>
        <v>#REF!</v>
      </c>
      <c r="N278" s="3">
        <f t="shared" si="268"/>
        <v>1</v>
      </c>
      <c r="O278" s="3">
        <f t="shared" si="268"/>
        <v>1</v>
      </c>
      <c r="P278" s="3">
        <f t="shared" si="268"/>
        <v>1</v>
      </c>
      <c r="Q278" s="3">
        <f t="shared" si="268"/>
        <v>1</v>
      </c>
      <c r="R278" s="3">
        <f t="shared" si="268"/>
        <v>1</v>
      </c>
      <c r="S278" s="3">
        <f t="shared" si="268"/>
        <v>1</v>
      </c>
      <c r="T278" s="3">
        <f t="shared" si="268"/>
        <v>1</v>
      </c>
      <c r="U278" s="3">
        <f t="shared" si="268"/>
        <v>1</v>
      </c>
      <c r="V278" s="3">
        <f t="shared" si="268"/>
        <v>1</v>
      </c>
      <c r="W278" s="3">
        <f t="shared" si="268"/>
        <v>1</v>
      </c>
    </row>
    <row r="279" customHeight="1" spans="1:23">
      <c r="A279" s="2">
        <v>266</v>
      </c>
      <c r="B279" s="3">
        <f t="shared" ref="B279:W279" si="269">MIN(1,IF($A279&lt;B$4+B$3,0,IF(B$2=0,1,IF(B$5=0,1/(1+(B$6*EXP(-($A279-B$4)/B$7))),IF(MOD($A279-B$4,B$5)=0,1/(1+(B$6*EXP(-($A279-B$4)/B$7))),1/(1+(B$6*EXP(-(QUOTIENT($A279-B$4,B$5)*B$5)/B$7))))))))</f>
        <v>0.999999999999927</v>
      </c>
      <c r="C279" s="3">
        <f t="shared" si="269"/>
        <v>0.999999999999927</v>
      </c>
      <c r="D279" s="3" t="e">
        <f t="shared" si="269"/>
        <v>#DIV/0!</v>
      </c>
      <c r="E279" s="3" t="e">
        <f t="shared" si="269"/>
        <v>#REF!</v>
      </c>
      <c r="F279" s="3">
        <f t="shared" si="269"/>
        <v>1</v>
      </c>
      <c r="G279" s="3">
        <f t="shared" si="269"/>
        <v>1</v>
      </c>
      <c r="H279" s="3">
        <f t="shared" si="269"/>
        <v>0.999999999999927</v>
      </c>
      <c r="I279" s="3">
        <f t="shared" si="269"/>
        <v>0.999999999999927</v>
      </c>
      <c r="J279" s="3">
        <f t="shared" si="269"/>
        <v>1</v>
      </c>
      <c r="K279" s="3">
        <f t="shared" si="269"/>
        <v>0.999999999999927</v>
      </c>
      <c r="L279" s="3">
        <f t="shared" si="269"/>
        <v>0.999999999999927</v>
      </c>
      <c r="M279" s="3" t="e">
        <f t="shared" si="269"/>
        <v>#REF!</v>
      </c>
      <c r="N279" s="3">
        <f t="shared" si="269"/>
        <v>1</v>
      </c>
      <c r="O279" s="3">
        <f t="shared" si="269"/>
        <v>1</v>
      </c>
      <c r="P279" s="3">
        <f t="shared" si="269"/>
        <v>1</v>
      </c>
      <c r="Q279" s="3">
        <f t="shared" si="269"/>
        <v>1</v>
      </c>
      <c r="R279" s="3">
        <f t="shared" si="269"/>
        <v>1</v>
      </c>
      <c r="S279" s="3">
        <f t="shared" si="269"/>
        <v>1</v>
      </c>
      <c r="T279" s="3">
        <f t="shared" si="269"/>
        <v>1</v>
      </c>
      <c r="U279" s="3">
        <f t="shared" si="269"/>
        <v>1</v>
      </c>
      <c r="V279" s="3">
        <f t="shared" si="269"/>
        <v>1</v>
      </c>
      <c r="W279" s="3">
        <f t="shared" si="269"/>
        <v>1</v>
      </c>
    </row>
    <row r="280" customHeight="1" spans="1:23">
      <c r="A280" s="2">
        <v>267</v>
      </c>
      <c r="B280" s="3">
        <f t="shared" ref="B280:W280" si="270">MIN(1,IF($A280&lt;B$4+B$3,0,IF(B$2=0,1,IF(B$5=0,1/(1+(B$6*EXP(-($A280-B$4)/B$7))),IF(MOD($A280-B$4,B$5)=0,1/(1+(B$6*EXP(-($A280-B$4)/B$7))),1/(1+(B$6*EXP(-(QUOTIENT($A280-B$4,B$5)*B$5)/B$7))))))))</f>
        <v>0.999999999999936</v>
      </c>
      <c r="C280" s="3">
        <f t="shared" si="270"/>
        <v>0.999999999999936</v>
      </c>
      <c r="D280" s="3" t="e">
        <f t="shared" si="270"/>
        <v>#DIV/0!</v>
      </c>
      <c r="E280" s="3" t="e">
        <f t="shared" si="270"/>
        <v>#REF!</v>
      </c>
      <c r="F280" s="3">
        <f t="shared" si="270"/>
        <v>1</v>
      </c>
      <c r="G280" s="3">
        <f t="shared" si="270"/>
        <v>1</v>
      </c>
      <c r="H280" s="3">
        <f t="shared" si="270"/>
        <v>0.999999999999936</v>
      </c>
      <c r="I280" s="3">
        <f t="shared" si="270"/>
        <v>0.999999999999936</v>
      </c>
      <c r="J280" s="3">
        <f t="shared" si="270"/>
        <v>1</v>
      </c>
      <c r="K280" s="3">
        <f t="shared" si="270"/>
        <v>0.999999999999936</v>
      </c>
      <c r="L280" s="3">
        <f t="shared" si="270"/>
        <v>0.999999999999936</v>
      </c>
      <c r="M280" s="3" t="e">
        <f t="shared" si="270"/>
        <v>#REF!</v>
      </c>
      <c r="N280" s="3">
        <f t="shared" si="270"/>
        <v>1</v>
      </c>
      <c r="O280" s="3">
        <f t="shared" si="270"/>
        <v>1</v>
      </c>
      <c r="P280" s="3">
        <f t="shared" si="270"/>
        <v>1</v>
      </c>
      <c r="Q280" s="3">
        <f t="shared" si="270"/>
        <v>1</v>
      </c>
      <c r="R280" s="3">
        <f t="shared" si="270"/>
        <v>1</v>
      </c>
      <c r="S280" s="3">
        <f t="shared" si="270"/>
        <v>1</v>
      </c>
      <c r="T280" s="3">
        <f t="shared" si="270"/>
        <v>1</v>
      </c>
      <c r="U280" s="3">
        <f t="shared" si="270"/>
        <v>1</v>
      </c>
      <c r="V280" s="3">
        <f t="shared" si="270"/>
        <v>1</v>
      </c>
      <c r="W280" s="3">
        <f t="shared" si="270"/>
        <v>1</v>
      </c>
    </row>
    <row r="281" customHeight="1" spans="1:23">
      <c r="A281" s="2">
        <v>268</v>
      </c>
      <c r="B281" s="3">
        <f t="shared" ref="B281:W281" si="271">MIN(1,IF($A281&lt;B$4+B$3,0,IF(B$2=0,1,IF(B$5=0,1/(1+(B$6*EXP(-($A281-B$4)/B$7))),IF(MOD($A281-B$4,B$5)=0,1/(1+(B$6*EXP(-($A281-B$4)/B$7))),1/(1+(B$6*EXP(-(QUOTIENT($A281-B$4,B$5)*B$5)/B$7))))))))</f>
        <v>0.999999999999943</v>
      </c>
      <c r="C281" s="3">
        <f t="shared" si="271"/>
        <v>0.999999999999943</v>
      </c>
      <c r="D281" s="3" t="e">
        <f t="shared" si="271"/>
        <v>#DIV/0!</v>
      </c>
      <c r="E281" s="3" t="e">
        <f t="shared" si="271"/>
        <v>#REF!</v>
      </c>
      <c r="F281" s="3">
        <f t="shared" si="271"/>
        <v>1</v>
      </c>
      <c r="G281" s="3">
        <f t="shared" si="271"/>
        <v>1</v>
      </c>
      <c r="H281" s="3">
        <f t="shared" si="271"/>
        <v>0.999999999999943</v>
      </c>
      <c r="I281" s="3">
        <f t="shared" si="271"/>
        <v>0.999999999999943</v>
      </c>
      <c r="J281" s="3">
        <f t="shared" si="271"/>
        <v>1</v>
      </c>
      <c r="K281" s="3">
        <f t="shared" si="271"/>
        <v>0.999999999999943</v>
      </c>
      <c r="L281" s="3">
        <f t="shared" si="271"/>
        <v>0.999999999999943</v>
      </c>
      <c r="M281" s="3" t="e">
        <f t="shared" si="271"/>
        <v>#REF!</v>
      </c>
      <c r="N281" s="3">
        <f t="shared" si="271"/>
        <v>1</v>
      </c>
      <c r="O281" s="3">
        <f t="shared" si="271"/>
        <v>1</v>
      </c>
      <c r="P281" s="3">
        <f t="shared" si="271"/>
        <v>1</v>
      </c>
      <c r="Q281" s="3">
        <f t="shared" si="271"/>
        <v>1</v>
      </c>
      <c r="R281" s="3">
        <f t="shared" si="271"/>
        <v>1</v>
      </c>
      <c r="S281" s="3">
        <f t="shared" si="271"/>
        <v>1</v>
      </c>
      <c r="T281" s="3">
        <f t="shared" si="271"/>
        <v>1</v>
      </c>
      <c r="U281" s="3">
        <f t="shared" si="271"/>
        <v>1</v>
      </c>
      <c r="V281" s="3">
        <f t="shared" si="271"/>
        <v>1</v>
      </c>
      <c r="W281" s="3">
        <f t="shared" si="271"/>
        <v>1</v>
      </c>
    </row>
    <row r="282" customHeight="1" spans="1:23">
      <c r="A282" s="2">
        <v>269</v>
      </c>
      <c r="B282" s="3">
        <f t="shared" ref="B282:W282" si="272">MIN(1,IF($A282&lt;B$4+B$3,0,IF(B$2=0,1,IF(B$5=0,1/(1+(B$6*EXP(-($A282-B$4)/B$7))),IF(MOD($A282-B$4,B$5)=0,1/(1+(B$6*EXP(-($A282-B$4)/B$7))),1/(1+(B$6*EXP(-(QUOTIENT($A282-B$4,B$5)*B$5)/B$7))))))))</f>
        <v>0.99999999999995</v>
      </c>
      <c r="C282" s="3">
        <f t="shared" si="272"/>
        <v>0.99999999999995</v>
      </c>
      <c r="D282" s="3" t="e">
        <f t="shared" si="272"/>
        <v>#DIV/0!</v>
      </c>
      <c r="E282" s="3" t="e">
        <f t="shared" si="272"/>
        <v>#REF!</v>
      </c>
      <c r="F282" s="3">
        <f t="shared" si="272"/>
        <v>1</v>
      </c>
      <c r="G282" s="3">
        <f t="shared" si="272"/>
        <v>1</v>
      </c>
      <c r="H282" s="3">
        <f t="shared" si="272"/>
        <v>0.99999999999995</v>
      </c>
      <c r="I282" s="3">
        <f t="shared" si="272"/>
        <v>0.99999999999995</v>
      </c>
      <c r="J282" s="3">
        <f t="shared" si="272"/>
        <v>1</v>
      </c>
      <c r="K282" s="3">
        <f t="shared" si="272"/>
        <v>0.99999999999995</v>
      </c>
      <c r="L282" s="3">
        <f t="shared" si="272"/>
        <v>0.99999999999995</v>
      </c>
      <c r="M282" s="3" t="e">
        <f t="shared" si="272"/>
        <v>#REF!</v>
      </c>
      <c r="N282" s="3">
        <f t="shared" si="272"/>
        <v>1</v>
      </c>
      <c r="O282" s="3">
        <f t="shared" si="272"/>
        <v>1</v>
      </c>
      <c r="P282" s="3">
        <f t="shared" si="272"/>
        <v>1</v>
      </c>
      <c r="Q282" s="3">
        <f t="shared" si="272"/>
        <v>1</v>
      </c>
      <c r="R282" s="3">
        <f t="shared" si="272"/>
        <v>1</v>
      </c>
      <c r="S282" s="3">
        <f t="shared" si="272"/>
        <v>1</v>
      </c>
      <c r="T282" s="3">
        <f t="shared" si="272"/>
        <v>1</v>
      </c>
      <c r="U282" s="3">
        <f t="shared" si="272"/>
        <v>1</v>
      </c>
      <c r="V282" s="3">
        <f t="shared" si="272"/>
        <v>1</v>
      </c>
      <c r="W282" s="3">
        <f t="shared" si="272"/>
        <v>1</v>
      </c>
    </row>
    <row r="283" customHeight="1" spans="1:23">
      <c r="A283" s="2">
        <v>270</v>
      </c>
      <c r="B283" s="3">
        <f t="shared" ref="B283:W283" si="273">MIN(1,IF($A283&lt;B$4+B$3,0,IF(B$2=0,1,IF(B$5=0,1/(1+(B$6*EXP(-($A283-B$4)/B$7))),IF(MOD($A283-B$4,B$5)=0,1/(1+(B$6*EXP(-($A283-B$4)/B$7))),1/(1+(B$6*EXP(-(QUOTIENT($A283-B$4,B$5)*B$5)/B$7))))))))</f>
        <v>0.999999999999956</v>
      </c>
      <c r="C283" s="3">
        <f t="shared" si="273"/>
        <v>0.999999999999956</v>
      </c>
      <c r="D283" s="3" t="e">
        <f t="shared" si="273"/>
        <v>#DIV/0!</v>
      </c>
      <c r="E283" s="3" t="e">
        <f t="shared" si="273"/>
        <v>#REF!</v>
      </c>
      <c r="F283" s="3">
        <f t="shared" si="273"/>
        <v>1</v>
      </c>
      <c r="G283" s="3">
        <f t="shared" si="273"/>
        <v>1</v>
      </c>
      <c r="H283" s="3">
        <f t="shared" si="273"/>
        <v>0.999999999999956</v>
      </c>
      <c r="I283" s="3">
        <f t="shared" si="273"/>
        <v>0.999999999999956</v>
      </c>
      <c r="J283" s="3">
        <f t="shared" si="273"/>
        <v>1</v>
      </c>
      <c r="K283" s="3">
        <f t="shared" si="273"/>
        <v>0.999999999999956</v>
      </c>
      <c r="L283" s="3">
        <f t="shared" si="273"/>
        <v>0.999999999999956</v>
      </c>
      <c r="M283" s="3" t="e">
        <f t="shared" si="273"/>
        <v>#REF!</v>
      </c>
      <c r="N283" s="3">
        <f t="shared" si="273"/>
        <v>1</v>
      </c>
      <c r="O283" s="3">
        <f t="shared" si="273"/>
        <v>1</v>
      </c>
      <c r="P283" s="3">
        <f t="shared" si="273"/>
        <v>1</v>
      </c>
      <c r="Q283" s="3">
        <f t="shared" si="273"/>
        <v>1</v>
      </c>
      <c r="R283" s="3">
        <f t="shared" si="273"/>
        <v>1</v>
      </c>
      <c r="S283" s="3">
        <f t="shared" si="273"/>
        <v>1</v>
      </c>
      <c r="T283" s="3">
        <f t="shared" si="273"/>
        <v>1</v>
      </c>
      <c r="U283" s="3">
        <f t="shared" si="273"/>
        <v>1</v>
      </c>
      <c r="V283" s="3">
        <f t="shared" si="273"/>
        <v>1</v>
      </c>
      <c r="W283" s="3">
        <f t="shared" si="273"/>
        <v>1</v>
      </c>
    </row>
    <row r="284" customHeight="1" spans="1:23">
      <c r="A284" s="2">
        <v>271</v>
      </c>
      <c r="B284" s="3">
        <f t="shared" ref="B284:W284" si="274">MIN(1,IF($A284&lt;B$4+B$3,0,IF(B$2=0,1,IF(B$5=0,1/(1+(B$6*EXP(-($A284-B$4)/B$7))),IF(MOD($A284-B$4,B$5)=0,1/(1+(B$6*EXP(-($A284-B$4)/B$7))),1/(1+(B$6*EXP(-(QUOTIENT($A284-B$4,B$5)*B$5)/B$7))))))))</f>
        <v>0.999999999999961</v>
      </c>
      <c r="C284" s="3">
        <f t="shared" si="274"/>
        <v>0.999999999999961</v>
      </c>
      <c r="D284" s="3" t="e">
        <f t="shared" si="274"/>
        <v>#DIV/0!</v>
      </c>
      <c r="E284" s="3" t="e">
        <f t="shared" si="274"/>
        <v>#REF!</v>
      </c>
      <c r="F284" s="3">
        <f t="shared" si="274"/>
        <v>1</v>
      </c>
      <c r="G284" s="3">
        <f t="shared" si="274"/>
        <v>1</v>
      </c>
      <c r="H284" s="3">
        <f t="shared" si="274"/>
        <v>0.999999999999961</v>
      </c>
      <c r="I284" s="3">
        <f t="shared" si="274"/>
        <v>0.999999999999961</v>
      </c>
      <c r="J284" s="3">
        <f t="shared" si="274"/>
        <v>1</v>
      </c>
      <c r="K284" s="3">
        <f t="shared" si="274"/>
        <v>0.999999999999961</v>
      </c>
      <c r="L284" s="3">
        <f t="shared" si="274"/>
        <v>0.999999999999961</v>
      </c>
      <c r="M284" s="3" t="e">
        <f t="shared" si="274"/>
        <v>#REF!</v>
      </c>
      <c r="N284" s="3">
        <f t="shared" si="274"/>
        <v>1</v>
      </c>
      <c r="O284" s="3">
        <f t="shared" si="274"/>
        <v>1</v>
      </c>
      <c r="P284" s="3">
        <f t="shared" si="274"/>
        <v>1</v>
      </c>
      <c r="Q284" s="3">
        <f t="shared" si="274"/>
        <v>1</v>
      </c>
      <c r="R284" s="3">
        <f t="shared" si="274"/>
        <v>1</v>
      </c>
      <c r="S284" s="3">
        <f t="shared" si="274"/>
        <v>1</v>
      </c>
      <c r="T284" s="3">
        <f t="shared" si="274"/>
        <v>1</v>
      </c>
      <c r="U284" s="3">
        <f t="shared" si="274"/>
        <v>1</v>
      </c>
      <c r="V284" s="3">
        <f t="shared" si="274"/>
        <v>1</v>
      </c>
      <c r="W284" s="3">
        <f t="shared" si="274"/>
        <v>1</v>
      </c>
    </row>
    <row r="285" customHeight="1" spans="1:23">
      <c r="A285" s="2">
        <v>272</v>
      </c>
      <c r="B285" s="3">
        <f t="shared" ref="B285:W285" si="275">MIN(1,IF($A285&lt;B$4+B$3,0,IF(B$2=0,1,IF(B$5=0,1/(1+(B$6*EXP(-($A285-B$4)/B$7))),IF(MOD($A285-B$4,B$5)=0,1/(1+(B$6*EXP(-($A285-B$4)/B$7))),1/(1+(B$6*EXP(-(QUOTIENT($A285-B$4,B$5)*B$5)/B$7))))))))</f>
        <v>0.999999999999966</v>
      </c>
      <c r="C285" s="3">
        <f t="shared" si="275"/>
        <v>0.999999999999966</v>
      </c>
      <c r="D285" s="3" t="e">
        <f t="shared" si="275"/>
        <v>#DIV/0!</v>
      </c>
      <c r="E285" s="3" t="e">
        <f t="shared" si="275"/>
        <v>#REF!</v>
      </c>
      <c r="F285" s="3">
        <f t="shared" si="275"/>
        <v>1</v>
      </c>
      <c r="G285" s="3">
        <f t="shared" si="275"/>
        <v>1</v>
      </c>
      <c r="H285" s="3">
        <f t="shared" si="275"/>
        <v>0.999999999999966</v>
      </c>
      <c r="I285" s="3">
        <f t="shared" si="275"/>
        <v>0.999999999999966</v>
      </c>
      <c r="J285" s="3">
        <f t="shared" si="275"/>
        <v>1</v>
      </c>
      <c r="K285" s="3">
        <f t="shared" si="275"/>
        <v>0.999999999999966</v>
      </c>
      <c r="L285" s="3">
        <f t="shared" si="275"/>
        <v>0.999999999999966</v>
      </c>
      <c r="M285" s="3" t="e">
        <f t="shared" si="275"/>
        <v>#REF!</v>
      </c>
      <c r="N285" s="3">
        <f t="shared" si="275"/>
        <v>1</v>
      </c>
      <c r="O285" s="3">
        <f t="shared" si="275"/>
        <v>1</v>
      </c>
      <c r="P285" s="3">
        <f t="shared" si="275"/>
        <v>1</v>
      </c>
      <c r="Q285" s="3">
        <f t="shared" si="275"/>
        <v>1</v>
      </c>
      <c r="R285" s="3">
        <f t="shared" si="275"/>
        <v>1</v>
      </c>
      <c r="S285" s="3">
        <f t="shared" si="275"/>
        <v>1</v>
      </c>
      <c r="T285" s="3">
        <f t="shared" si="275"/>
        <v>1</v>
      </c>
      <c r="U285" s="3">
        <f t="shared" si="275"/>
        <v>1</v>
      </c>
      <c r="V285" s="3">
        <f t="shared" si="275"/>
        <v>1</v>
      </c>
      <c r="W285" s="3">
        <f t="shared" si="275"/>
        <v>1</v>
      </c>
    </row>
    <row r="286" customHeight="1" spans="1:23">
      <c r="A286" s="2">
        <v>273</v>
      </c>
      <c r="B286" s="3">
        <f t="shared" ref="B286:W286" si="276">MIN(1,IF($A286&lt;B$4+B$3,0,IF(B$2=0,1,IF(B$5=0,1/(1+(B$6*EXP(-($A286-B$4)/B$7))),IF(MOD($A286-B$4,B$5)=0,1/(1+(B$6*EXP(-($A286-B$4)/B$7))),1/(1+(B$6*EXP(-(QUOTIENT($A286-B$4,B$5)*B$5)/B$7))))))))</f>
        <v>0.99999999999997</v>
      </c>
      <c r="C286" s="3">
        <f t="shared" si="276"/>
        <v>0.99999999999997</v>
      </c>
      <c r="D286" s="3" t="e">
        <f t="shared" si="276"/>
        <v>#DIV/0!</v>
      </c>
      <c r="E286" s="3" t="e">
        <f t="shared" si="276"/>
        <v>#REF!</v>
      </c>
      <c r="F286" s="3">
        <f t="shared" si="276"/>
        <v>1</v>
      </c>
      <c r="G286" s="3">
        <f t="shared" si="276"/>
        <v>1</v>
      </c>
      <c r="H286" s="3">
        <f t="shared" si="276"/>
        <v>0.99999999999997</v>
      </c>
      <c r="I286" s="3">
        <f t="shared" si="276"/>
        <v>0.99999999999997</v>
      </c>
      <c r="J286" s="3">
        <f t="shared" si="276"/>
        <v>1</v>
      </c>
      <c r="K286" s="3">
        <f t="shared" si="276"/>
        <v>0.99999999999997</v>
      </c>
      <c r="L286" s="3">
        <f t="shared" si="276"/>
        <v>0.99999999999997</v>
      </c>
      <c r="M286" s="3" t="e">
        <f t="shared" si="276"/>
        <v>#REF!</v>
      </c>
      <c r="N286" s="3">
        <f t="shared" si="276"/>
        <v>1</v>
      </c>
      <c r="O286" s="3">
        <f t="shared" si="276"/>
        <v>1</v>
      </c>
      <c r="P286" s="3">
        <f t="shared" si="276"/>
        <v>1</v>
      </c>
      <c r="Q286" s="3">
        <f t="shared" si="276"/>
        <v>1</v>
      </c>
      <c r="R286" s="3">
        <f t="shared" si="276"/>
        <v>1</v>
      </c>
      <c r="S286" s="3">
        <f t="shared" si="276"/>
        <v>1</v>
      </c>
      <c r="T286" s="3">
        <f t="shared" si="276"/>
        <v>1</v>
      </c>
      <c r="U286" s="3">
        <f t="shared" si="276"/>
        <v>1</v>
      </c>
      <c r="V286" s="3">
        <f t="shared" si="276"/>
        <v>1</v>
      </c>
      <c r="W286" s="3">
        <f t="shared" si="276"/>
        <v>1</v>
      </c>
    </row>
    <row r="287" customHeight="1" spans="1:23">
      <c r="A287" s="2">
        <v>274</v>
      </c>
      <c r="B287" s="3">
        <f t="shared" ref="B287:W287" si="277">MIN(1,IF($A287&lt;B$4+B$3,0,IF(B$2=0,1,IF(B$5=0,1/(1+(B$6*EXP(-($A287-B$4)/B$7))),IF(MOD($A287-B$4,B$5)=0,1/(1+(B$6*EXP(-($A287-B$4)/B$7))),1/(1+(B$6*EXP(-(QUOTIENT($A287-B$4,B$5)*B$5)/B$7))))))))</f>
        <v>0.999999999999973</v>
      </c>
      <c r="C287" s="3">
        <f t="shared" si="277"/>
        <v>0.999999999999973</v>
      </c>
      <c r="D287" s="3" t="e">
        <f t="shared" si="277"/>
        <v>#DIV/0!</v>
      </c>
      <c r="E287" s="3" t="e">
        <f t="shared" si="277"/>
        <v>#REF!</v>
      </c>
      <c r="F287" s="3">
        <f t="shared" si="277"/>
        <v>1</v>
      </c>
      <c r="G287" s="3">
        <f t="shared" si="277"/>
        <v>1</v>
      </c>
      <c r="H287" s="3">
        <f t="shared" si="277"/>
        <v>0.999999999999973</v>
      </c>
      <c r="I287" s="3">
        <f t="shared" si="277"/>
        <v>0.999999999999973</v>
      </c>
      <c r="J287" s="3">
        <f t="shared" si="277"/>
        <v>1</v>
      </c>
      <c r="K287" s="3">
        <f t="shared" si="277"/>
        <v>0.999999999999973</v>
      </c>
      <c r="L287" s="3">
        <f t="shared" si="277"/>
        <v>0.999999999999973</v>
      </c>
      <c r="M287" s="3" t="e">
        <f t="shared" si="277"/>
        <v>#REF!</v>
      </c>
      <c r="N287" s="3">
        <f t="shared" si="277"/>
        <v>1</v>
      </c>
      <c r="O287" s="3">
        <f t="shared" si="277"/>
        <v>1</v>
      </c>
      <c r="P287" s="3">
        <f t="shared" si="277"/>
        <v>1</v>
      </c>
      <c r="Q287" s="3">
        <f t="shared" si="277"/>
        <v>1</v>
      </c>
      <c r="R287" s="3">
        <f t="shared" si="277"/>
        <v>1</v>
      </c>
      <c r="S287" s="3">
        <f t="shared" si="277"/>
        <v>1</v>
      </c>
      <c r="T287" s="3">
        <f t="shared" si="277"/>
        <v>1</v>
      </c>
      <c r="U287" s="3">
        <f t="shared" si="277"/>
        <v>1</v>
      </c>
      <c r="V287" s="3">
        <f t="shared" si="277"/>
        <v>1</v>
      </c>
      <c r="W287" s="3">
        <f t="shared" si="277"/>
        <v>1</v>
      </c>
    </row>
    <row r="288" customHeight="1" spans="1:23">
      <c r="A288" s="2">
        <v>275</v>
      </c>
      <c r="B288" s="3">
        <f t="shared" ref="B288:W288" si="278">MIN(1,IF($A288&lt;B$4+B$3,0,IF(B$2=0,1,IF(B$5=0,1/(1+(B$6*EXP(-($A288-B$4)/B$7))),IF(MOD($A288-B$4,B$5)=0,1/(1+(B$6*EXP(-($A288-B$4)/B$7))),1/(1+(B$6*EXP(-(QUOTIENT($A288-B$4,B$5)*B$5)/B$7))))))))</f>
        <v>0.999999999999976</v>
      </c>
      <c r="C288" s="3">
        <f t="shared" si="278"/>
        <v>0.999999999999976</v>
      </c>
      <c r="D288" s="3" t="e">
        <f t="shared" si="278"/>
        <v>#DIV/0!</v>
      </c>
      <c r="E288" s="3" t="e">
        <f t="shared" si="278"/>
        <v>#REF!</v>
      </c>
      <c r="F288" s="3">
        <f t="shared" si="278"/>
        <v>1</v>
      </c>
      <c r="G288" s="3">
        <f t="shared" si="278"/>
        <v>1</v>
      </c>
      <c r="H288" s="3">
        <f t="shared" si="278"/>
        <v>0.999999999999976</v>
      </c>
      <c r="I288" s="3">
        <f t="shared" si="278"/>
        <v>0.999999999999976</v>
      </c>
      <c r="J288" s="3">
        <f t="shared" si="278"/>
        <v>1</v>
      </c>
      <c r="K288" s="3">
        <f t="shared" si="278"/>
        <v>0.999999999999976</v>
      </c>
      <c r="L288" s="3">
        <f t="shared" si="278"/>
        <v>0.999999999999976</v>
      </c>
      <c r="M288" s="3" t="e">
        <f t="shared" si="278"/>
        <v>#REF!</v>
      </c>
      <c r="N288" s="3">
        <f t="shared" si="278"/>
        <v>1</v>
      </c>
      <c r="O288" s="3">
        <f t="shared" si="278"/>
        <v>1</v>
      </c>
      <c r="P288" s="3">
        <f t="shared" si="278"/>
        <v>1</v>
      </c>
      <c r="Q288" s="3">
        <f t="shared" si="278"/>
        <v>1</v>
      </c>
      <c r="R288" s="3">
        <f t="shared" si="278"/>
        <v>1</v>
      </c>
      <c r="S288" s="3">
        <f t="shared" si="278"/>
        <v>1</v>
      </c>
      <c r="T288" s="3">
        <f t="shared" si="278"/>
        <v>1</v>
      </c>
      <c r="U288" s="3">
        <f t="shared" si="278"/>
        <v>1</v>
      </c>
      <c r="V288" s="3">
        <f t="shared" si="278"/>
        <v>1</v>
      </c>
      <c r="W288" s="3">
        <f t="shared" si="278"/>
        <v>1</v>
      </c>
    </row>
    <row r="289" customHeight="1" spans="1:23">
      <c r="A289" s="2">
        <v>276</v>
      </c>
      <c r="B289" s="3">
        <f t="shared" ref="B289:W289" si="279">MIN(1,IF($A289&lt;B$4+B$3,0,IF(B$2=0,1,IF(B$5=0,1/(1+(B$6*EXP(-($A289-B$4)/B$7))),IF(MOD($A289-B$4,B$5)=0,1/(1+(B$6*EXP(-($A289-B$4)/B$7))),1/(1+(B$6*EXP(-(QUOTIENT($A289-B$4,B$5)*B$5)/B$7))))))))</f>
        <v>0.999999999999979</v>
      </c>
      <c r="C289" s="3">
        <f t="shared" si="279"/>
        <v>0.999999999999979</v>
      </c>
      <c r="D289" s="3" t="e">
        <f t="shared" si="279"/>
        <v>#DIV/0!</v>
      </c>
      <c r="E289" s="3" t="e">
        <f t="shared" si="279"/>
        <v>#REF!</v>
      </c>
      <c r="F289" s="3">
        <f t="shared" si="279"/>
        <v>1</v>
      </c>
      <c r="G289" s="3">
        <f t="shared" si="279"/>
        <v>1</v>
      </c>
      <c r="H289" s="3">
        <f t="shared" si="279"/>
        <v>0.999999999999979</v>
      </c>
      <c r="I289" s="3">
        <f t="shared" si="279"/>
        <v>0.999999999999979</v>
      </c>
      <c r="J289" s="3">
        <f t="shared" si="279"/>
        <v>1</v>
      </c>
      <c r="K289" s="3">
        <f t="shared" si="279"/>
        <v>0.999999999999979</v>
      </c>
      <c r="L289" s="3">
        <f t="shared" si="279"/>
        <v>0.999999999999979</v>
      </c>
      <c r="M289" s="3" t="e">
        <f t="shared" si="279"/>
        <v>#REF!</v>
      </c>
      <c r="N289" s="3">
        <f t="shared" si="279"/>
        <v>1</v>
      </c>
      <c r="O289" s="3">
        <f t="shared" si="279"/>
        <v>1</v>
      </c>
      <c r="P289" s="3">
        <f t="shared" si="279"/>
        <v>1</v>
      </c>
      <c r="Q289" s="3">
        <f t="shared" si="279"/>
        <v>1</v>
      </c>
      <c r="R289" s="3">
        <f t="shared" si="279"/>
        <v>1</v>
      </c>
      <c r="S289" s="3">
        <f t="shared" si="279"/>
        <v>1</v>
      </c>
      <c r="T289" s="3">
        <f t="shared" si="279"/>
        <v>1</v>
      </c>
      <c r="U289" s="3">
        <f t="shared" si="279"/>
        <v>1</v>
      </c>
      <c r="V289" s="3">
        <f t="shared" si="279"/>
        <v>1</v>
      </c>
      <c r="W289" s="3">
        <f t="shared" si="279"/>
        <v>1</v>
      </c>
    </row>
    <row r="290" customHeight="1" spans="1:23">
      <c r="A290" s="2">
        <v>277</v>
      </c>
      <c r="B290" s="3">
        <f t="shared" ref="B290:W290" si="280">MIN(1,IF($A290&lt;B$4+B$3,0,IF(B$2=0,1,IF(B$5=0,1/(1+(B$6*EXP(-($A290-B$4)/B$7))),IF(MOD($A290-B$4,B$5)=0,1/(1+(B$6*EXP(-($A290-B$4)/B$7))),1/(1+(B$6*EXP(-(QUOTIENT($A290-B$4,B$5)*B$5)/B$7))))))))</f>
        <v>0.999999999999982</v>
      </c>
      <c r="C290" s="3">
        <f t="shared" si="280"/>
        <v>0.999999999999982</v>
      </c>
      <c r="D290" s="3" t="e">
        <f t="shared" si="280"/>
        <v>#DIV/0!</v>
      </c>
      <c r="E290" s="3" t="e">
        <f t="shared" si="280"/>
        <v>#REF!</v>
      </c>
      <c r="F290" s="3">
        <f t="shared" si="280"/>
        <v>1</v>
      </c>
      <c r="G290" s="3">
        <f t="shared" si="280"/>
        <v>1</v>
      </c>
      <c r="H290" s="3">
        <f t="shared" si="280"/>
        <v>0.999999999999982</v>
      </c>
      <c r="I290" s="3">
        <f t="shared" si="280"/>
        <v>0.999999999999982</v>
      </c>
      <c r="J290" s="3">
        <f t="shared" si="280"/>
        <v>1</v>
      </c>
      <c r="K290" s="3">
        <f t="shared" si="280"/>
        <v>0.999999999999982</v>
      </c>
      <c r="L290" s="3">
        <f t="shared" si="280"/>
        <v>0.999999999999982</v>
      </c>
      <c r="M290" s="3" t="e">
        <f t="shared" si="280"/>
        <v>#REF!</v>
      </c>
      <c r="N290" s="3">
        <f t="shared" si="280"/>
        <v>1</v>
      </c>
      <c r="O290" s="3">
        <f t="shared" si="280"/>
        <v>1</v>
      </c>
      <c r="P290" s="3">
        <f t="shared" si="280"/>
        <v>1</v>
      </c>
      <c r="Q290" s="3">
        <f t="shared" si="280"/>
        <v>1</v>
      </c>
      <c r="R290" s="3">
        <f t="shared" si="280"/>
        <v>1</v>
      </c>
      <c r="S290" s="3">
        <f t="shared" si="280"/>
        <v>1</v>
      </c>
      <c r="T290" s="3">
        <f t="shared" si="280"/>
        <v>1</v>
      </c>
      <c r="U290" s="3">
        <f t="shared" si="280"/>
        <v>1</v>
      </c>
      <c r="V290" s="3">
        <f t="shared" si="280"/>
        <v>1</v>
      </c>
      <c r="W290" s="3">
        <f t="shared" si="280"/>
        <v>1</v>
      </c>
    </row>
    <row r="291" customHeight="1" spans="1:23">
      <c r="A291" s="2">
        <v>278</v>
      </c>
      <c r="B291" s="3">
        <f t="shared" ref="B291:W291" si="281">MIN(1,IF($A291&lt;B$4+B$3,0,IF(B$2=0,1,IF(B$5=0,1/(1+(B$6*EXP(-($A291-B$4)/B$7))),IF(MOD($A291-B$4,B$5)=0,1/(1+(B$6*EXP(-($A291-B$4)/B$7))),1/(1+(B$6*EXP(-(QUOTIENT($A291-B$4,B$5)*B$5)/B$7))))))))</f>
        <v>0.999999999999984</v>
      </c>
      <c r="C291" s="3">
        <f t="shared" si="281"/>
        <v>0.999999999999984</v>
      </c>
      <c r="D291" s="3" t="e">
        <f t="shared" si="281"/>
        <v>#DIV/0!</v>
      </c>
      <c r="E291" s="3" t="e">
        <f t="shared" si="281"/>
        <v>#REF!</v>
      </c>
      <c r="F291" s="3">
        <f t="shared" si="281"/>
        <v>1</v>
      </c>
      <c r="G291" s="3">
        <f t="shared" si="281"/>
        <v>1</v>
      </c>
      <c r="H291" s="3">
        <f t="shared" si="281"/>
        <v>0.999999999999984</v>
      </c>
      <c r="I291" s="3">
        <f t="shared" si="281"/>
        <v>0.999999999999984</v>
      </c>
      <c r="J291" s="3">
        <f t="shared" si="281"/>
        <v>1</v>
      </c>
      <c r="K291" s="3">
        <f t="shared" si="281"/>
        <v>0.999999999999984</v>
      </c>
      <c r="L291" s="3">
        <f t="shared" si="281"/>
        <v>0.999999999999984</v>
      </c>
      <c r="M291" s="3" t="e">
        <f t="shared" si="281"/>
        <v>#REF!</v>
      </c>
      <c r="N291" s="3">
        <f t="shared" si="281"/>
        <v>1</v>
      </c>
      <c r="O291" s="3">
        <f t="shared" si="281"/>
        <v>1</v>
      </c>
      <c r="P291" s="3">
        <f t="shared" si="281"/>
        <v>1</v>
      </c>
      <c r="Q291" s="3">
        <f t="shared" si="281"/>
        <v>1</v>
      </c>
      <c r="R291" s="3">
        <f t="shared" si="281"/>
        <v>1</v>
      </c>
      <c r="S291" s="3">
        <f t="shared" si="281"/>
        <v>1</v>
      </c>
      <c r="T291" s="3">
        <f t="shared" si="281"/>
        <v>1</v>
      </c>
      <c r="U291" s="3">
        <f t="shared" si="281"/>
        <v>1</v>
      </c>
      <c r="V291" s="3">
        <f t="shared" si="281"/>
        <v>1</v>
      </c>
      <c r="W291" s="3">
        <f t="shared" si="281"/>
        <v>1</v>
      </c>
    </row>
    <row r="292" customHeight="1" spans="1:23">
      <c r="A292" s="2">
        <v>279</v>
      </c>
      <c r="B292" s="3">
        <f t="shared" ref="B292:W292" si="282">MIN(1,IF($A292&lt;B$4+B$3,0,IF(B$2=0,1,IF(B$5=0,1/(1+(B$6*EXP(-($A292-B$4)/B$7))),IF(MOD($A292-B$4,B$5)=0,1/(1+(B$6*EXP(-($A292-B$4)/B$7))),1/(1+(B$6*EXP(-(QUOTIENT($A292-B$4,B$5)*B$5)/B$7))))))))</f>
        <v>0.999999999999986</v>
      </c>
      <c r="C292" s="3">
        <f t="shared" si="282"/>
        <v>0.999999999999986</v>
      </c>
      <c r="D292" s="3" t="e">
        <f t="shared" si="282"/>
        <v>#DIV/0!</v>
      </c>
      <c r="E292" s="3" t="e">
        <f t="shared" si="282"/>
        <v>#REF!</v>
      </c>
      <c r="F292" s="3">
        <f t="shared" si="282"/>
        <v>1</v>
      </c>
      <c r="G292" s="3">
        <f t="shared" si="282"/>
        <v>1</v>
      </c>
      <c r="H292" s="3">
        <f t="shared" si="282"/>
        <v>0.999999999999986</v>
      </c>
      <c r="I292" s="3">
        <f t="shared" si="282"/>
        <v>0.999999999999986</v>
      </c>
      <c r="J292" s="3">
        <f t="shared" si="282"/>
        <v>1</v>
      </c>
      <c r="K292" s="3">
        <f t="shared" si="282"/>
        <v>0.999999999999986</v>
      </c>
      <c r="L292" s="3">
        <f t="shared" si="282"/>
        <v>0.999999999999986</v>
      </c>
      <c r="M292" s="3" t="e">
        <f t="shared" si="282"/>
        <v>#REF!</v>
      </c>
      <c r="N292" s="3">
        <f t="shared" si="282"/>
        <v>1</v>
      </c>
      <c r="O292" s="3">
        <f t="shared" si="282"/>
        <v>1</v>
      </c>
      <c r="P292" s="3">
        <f t="shared" si="282"/>
        <v>1</v>
      </c>
      <c r="Q292" s="3">
        <f t="shared" si="282"/>
        <v>1</v>
      </c>
      <c r="R292" s="3">
        <f t="shared" si="282"/>
        <v>1</v>
      </c>
      <c r="S292" s="3">
        <f t="shared" si="282"/>
        <v>1</v>
      </c>
      <c r="T292" s="3">
        <f t="shared" si="282"/>
        <v>1</v>
      </c>
      <c r="U292" s="3">
        <f t="shared" si="282"/>
        <v>1</v>
      </c>
      <c r="V292" s="3">
        <f t="shared" si="282"/>
        <v>1</v>
      </c>
      <c r="W292" s="3">
        <f t="shared" si="282"/>
        <v>1</v>
      </c>
    </row>
    <row r="293" customHeight="1" spans="1:23">
      <c r="A293" s="2">
        <v>280</v>
      </c>
      <c r="B293" s="3">
        <f t="shared" ref="B293:W293" si="283">MIN(1,IF($A293&lt;B$4+B$3,0,IF(B$2=0,1,IF(B$5=0,1/(1+(B$6*EXP(-($A293-B$4)/B$7))),IF(MOD($A293-B$4,B$5)=0,1/(1+(B$6*EXP(-($A293-B$4)/B$7))),1/(1+(B$6*EXP(-(QUOTIENT($A293-B$4,B$5)*B$5)/B$7))))))))</f>
        <v>0.999999999999987</v>
      </c>
      <c r="C293" s="3">
        <f t="shared" si="283"/>
        <v>0.999999999999987</v>
      </c>
      <c r="D293" s="3" t="e">
        <f t="shared" si="283"/>
        <v>#DIV/0!</v>
      </c>
      <c r="E293" s="3" t="e">
        <f t="shared" si="283"/>
        <v>#REF!</v>
      </c>
      <c r="F293" s="3">
        <f t="shared" si="283"/>
        <v>1</v>
      </c>
      <c r="G293" s="3">
        <f t="shared" si="283"/>
        <v>1</v>
      </c>
      <c r="H293" s="3">
        <f t="shared" si="283"/>
        <v>0.999999999999987</v>
      </c>
      <c r="I293" s="3">
        <f t="shared" si="283"/>
        <v>0.999999999999987</v>
      </c>
      <c r="J293" s="3">
        <f t="shared" si="283"/>
        <v>1</v>
      </c>
      <c r="K293" s="3">
        <f t="shared" si="283"/>
        <v>0.999999999999987</v>
      </c>
      <c r="L293" s="3">
        <f t="shared" si="283"/>
        <v>0.999999999999987</v>
      </c>
      <c r="M293" s="3" t="e">
        <f t="shared" si="283"/>
        <v>#REF!</v>
      </c>
      <c r="N293" s="3">
        <f t="shared" si="283"/>
        <v>1</v>
      </c>
      <c r="O293" s="3">
        <f t="shared" si="283"/>
        <v>1</v>
      </c>
      <c r="P293" s="3">
        <f t="shared" si="283"/>
        <v>1</v>
      </c>
      <c r="Q293" s="3">
        <f t="shared" si="283"/>
        <v>1</v>
      </c>
      <c r="R293" s="3">
        <f t="shared" si="283"/>
        <v>1</v>
      </c>
      <c r="S293" s="3">
        <f t="shared" si="283"/>
        <v>1</v>
      </c>
      <c r="T293" s="3">
        <f t="shared" si="283"/>
        <v>1</v>
      </c>
      <c r="U293" s="3">
        <f t="shared" si="283"/>
        <v>1</v>
      </c>
      <c r="V293" s="3">
        <f t="shared" si="283"/>
        <v>1</v>
      </c>
      <c r="W293" s="3">
        <f t="shared" si="283"/>
        <v>1</v>
      </c>
    </row>
    <row r="294" customHeight="1" spans="1:23">
      <c r="A294" s="2">
        <v>281</v>
      </c>
      <c r="B294" s="3">
        <f t="shared" ref="B294:W294" si="284">MIN(1,IF($A294&lt;B$4+B$3,0,IF(B$2=0,1,IF(B$5=0,1/(1+(B$6*EXP(-($A294-B$4)/B$7))),IF(MOD($A294-B$4,B$5)=0,1/(1+(B$6*EXP(-($A294-B$4)/B$7))),1/(1+(B$6*EXP(-(QUOTIENT($A294-B$4,B$5)*B$5)/B$7))))))))</f>
        <v>0.999999999999989</v>
      </c>
      <c r="C294" s="3">
        <f t="shared" si="284"/>
        <v>0.999999999999989</v>
      </c>
      <c r="D294" s="3" t="e">
        <f t="shared" si="284"/>
        <v>#DIV/0!</v>
      </c>
      <c r="E294" s="3" t="e">
        <f t="shared" si="284"/>
        <v>#REF!</v>
      </c>
      <c r="F294" s="3">
        <f t="shared" si="284"/>
        <v>1</v>
      </c>
      <c r="G294" s="3">
        <f t="shared" si="284"/>
        <v>1</v>
      </c>
      <c r="H294" s="3">
        <f t="shared" si="284"/>
        <v>0.999999999999989</v>
      </c>
      <c r="I294" s="3">
        <f t="shared" si="284"/>
        <v>0.999999999999989</v>
      </c>
      <c r="J294" s="3">
        <f t="shared" si="284"/>
        <v>1</v>
      </c>
      <c r="K294" s="3">
        <f t="shared" si="284"/>
        <v>0.999999999999989</v>
      </c>
      <c r="L294" s="3">
        <f t="shared" si="284"/>
        <v>0.999999999999989</v>
      </c>
      <c r="M294" s="3" t="e">
        <f t="shared" si="284"/>
        <v>#REF!</v>
      </c>
      <c r="N294" s="3">
        <f t="shared" si="284"/>
        <v>1</v>
      </c>
      <c r="O294" s="3">
        <f t="shared" si="284"/>
        <v>1</v>
      </c>
      <c r="P294" s="3">
        <f t="shared" si="284"/>
        <v>1</v>
      </c>
      <c r="Q294" s="3">
        <f t="shared" si="284"/>
        <v>1</v>
      </c>
      <c r="R294" s="3">
        <f t="shared" si="284"/>
        <v>1</v>
      </c>
      <c r="S294" s="3">
        <f t="shared" si="284"/>
        <v>1</v>
      </c>
      <c r="T294" s="3">
        <f t="shared" si="284"/>
        <v>1</v>
      </c>
      <c r="U294" s="3">
        <f t="shared" si="284"/>
        <v>1</v>
      </c>
      <c r="V294" s="3">
        <f t="shared" si="284"/>
        <v>1</v>
      </c>
      <c r="W294" s="3">
        <f t="shared" si="284"/>
        <v>1</v>
      </c>
    </row>
    <row r="295" customHeight="1" spans="1:23">
      <c r="A295" s="2">
        <v>282</v>
      </c>
      <c r="B295" s="3">
        <f t="shared" ref="B295:W295" si="285">MIN(1,IF($A295&lt;B$4+B$3,0,IF(B$2=0,1,IF(B$5=0,1/(1+(B$6*EXP(-($A295-B$4)/B$7))),IF(MOD($A295-B$4,B$5)=0,1/(1+(B$6*EXP(-($A295-B$4)/B$7))),1/(1+(B$6*EXP(-(QUOTIENT($A295-B$4,B$5)*B$5)/B$7))))))))</f>
        <v>0.99999999999999</v>
      </c>
      <c r="C295" s="3">
        <f t="shared" si="285"/>
        <v>0.99999999999999</v>
      </c>
      <c r="D295" s="3" t="e">
        <f t="shared" si="285"/>
        <v>#DIV/0!</v>
      </c>
      <c r="E295" s="3" t="e">
        <f t="shared" si="285"/>
        <v>#REF!</v>
      </c>
      <c r="F295" s="3">
        <f t="shared" si="285"/>
        <v>1</v>
      </c>
      <c r="G295" s="3">
        <f t="shared" si="285"/>
        <v>1</v>
      </c>
      <c r="H295" s="3">
        <f t="shared" si="285"/>
        <v>0.99999999999999</v>
      </c>
      <c r="I295" s="3">
        <f t="shared" si="285"/>
        <v>0.99999999999999</v>
      </c>
      <c r="J295" s="3">
        <f t="shared" si="285"/>
        <v>1</v>
      </c>
      <c r="K295" s="3">
        <f t="shared" si="285"/>
        <v>0.99999999999999</v>
      </c>
      <c r="L295" s="3">
        <f t="shared" si="285"/>
        <v>0.99999999999999</v>
      </c>
      <c r="M295" s="3" t="e">
        <f t="shared" si="285"/>
        <v>#REF!</v>
      </c>
      <c r="N295" s="3">
        <f t="shared" si="285"/>
        <v>1</v>
      </c>
      <c r="O295" s="3">
        <f t="shared" si="285"/>
        <v>1</v>
      </c>
      <c r="P295" s="3">
        <f t="shared" si="285"/>
        <v>1</v>
      </c>
      <c r="Q295" s="3">
        <f t="shared" si="285"/>
        <v>1</v>
      </c>
      <c r="R295" s="3">
        <f t="shared" si="285"/>
        <v>1</v>
      </c>
      <c r="S295" s="3">
        <f t="shared" si="285"/>
        <v>1</v>
      </c>
      <c r="T295" s="3">
        <f t="shared" si="285"/>
        <v>1</v>
      </c>
      <c r="U295" s="3">
        <f t="shared" si="285"/>
        <v>1</v>
      </c>
      <c r="V295" s="3">
        <f t="shared" si="285"/>
        <v>1</v>
      </c>
      <c r="W295" s="3">
        <f t="shared" si="285"/>
        <v>1</v>
      </c>
    </row>
    <row r="296" customHeight="1" spans="1:23">
      <c r="A296" s="2">
        <v>283</v>
      </c>
      <c r="B296" s="3">
        <f t="shared" ref="B296:W296" si="286">MIN(1,IF($A296&lt;B$4+B$3,0,IF(B$2=0,1,IF(B$5=0,1/(1+(B$6*EXP(-($A296-B$4)/B$7))),IF(MOD($A296-B$4,B$5)=0,1/(1+(B$6*EXP(-($A296-B$4)/B$7))),1/(1+(B$6*EXP(-(QUOTIENT($A296-B$4,B$5)*B$5)/B$7))))))))</f>
        <v>0.999999999999991</v>
      </c>
      <c r="C296" s="3">
        <f t="shared" si="286"/>
        <v>0.999999999999991</v>
      </c>
      <c r="D296" s="3" t="e">
        <f t="shared" si="286"/>
        <v>#DIV/0!</v>
      </c>
      <c r="E296" s="3" t="e">
        <f t="shared" si="286"/>
        <v>#REF!</v>
      </c>
      <c r="F296" s="3">
        <f t="shared" si="286"/>
        <v>1</v>
      </c>
      <c r="G296" s="3">
        <f t="shared" si="286"/>
        <v>1</v>
      </c>
      <c r="H296" s="3">
        <f t="shared" si="286"/>
        <v>0.999999999999991</v>
      </c>
      <c r="I296" s="3">
        <f t="shared" si="286"/>
        <v>0.999999999999991</v>
      </c>
      <c r="J296" s="3">
        <f t="shared" si="286"/>
        <v>1</v>
      </c>
      <c r="K296" s="3">
        <f t="shared" si="286"/>
        <v>0.999999999999991</v>
      </c>
      <c r="L296" s="3">
        <f t="shared" si="286"/>
        <v>0.999999999999991</v>
      </c>
      <c r="M296" s="3" t="e">
        <f t="shared" si="286"/>
        <v>#REF!</v>
      </c>
      <c r="N296" s="3">
        <f t="shared" si="286"/>
        <v>1</v>
      </c>
      <c r="O296" s="3">
        <f t="shared" si="286"/>
        <v>1</v>
      </c>
      <c r="P296" s="3">
        <f t="shared" si="286"/>
        <v>1</v>
      </c>
      <c r="Q296" s="3">
        <f t="shared" si="286"/>
        <v>1</v>
      </c>
      <c r="R296" s="3">
        <f t="shared" si="286"/>
        <v>1</v>
      </c>
      <c r="S296" s="3">
        <f t="shared" si="286"/>
        <v>1</v>
      </c>
      <c r="T296" s="3">
        <f t="shared" si="286"/>
        <v>1</v>
      </c>
      <c r="U296" s="3">
        <f t="shared" si="286"/>
        <v>1</v>
      </c>
      <c r="V296" s="3">
        <f t="shared" si="286"/>
        <v>1</v>
      </c>
      <c r="W296" s="3">
        <f t="shared" si="286"/>
        <v>1</v>
      </c>
    </row>
    <row r="297" customHeight="1" spans="1:23">
      <c r="A297" s="2">
        <v>284</v>
      </c>
      <c r="B297" s="3">
        <f t="shared" ref="B297:W297" si="287">MIN(1,IF($A297&lt;B$4+B$3,0,IF(B$2=0,1,IF(B$5=0,1/(1+(B$6*EXP(-($A297-B$4)/B$7))),IF(MOD($A297-B$4,B$5)=0,1/(1+(B$6*EXP(-($A297-B$4)/B$7))),1/(1+(B$6*EXP(-(QUOTIENT($A297-B$4,B$5)*B$5)/B$7))))))))</f>
        <v>0.999999999999992</v>
      </c>
      <c r="C297" s="3">
        <f t="shared" si="287"/>
        <v>0.999999999999992</v>
      </c>
      <c r="D297" s="3" t="e">
        <f t="shared" si="287"/>
        <v>#DIV/0!</v>
      </c>
      <c r="E297" s="3" t="e">
        <f t="shared" si="287"/>
        <v>#REF!</v>
      </c>
      <c r="F297" s="3">
        <f t="shared" si="287"/>
        <v>1</v>
      </c>
      <c r="G297" s="3">
        <f t="shared" si="287"/>
        <v>1</v>
      </c>
      <c r="H297" s="3">
        <f t="shared" si="287"/>
        <v>0.999999999999992</v>
      </c>
      <c r="I297" s="3">
        <f t="shared" si="287"/>
        <v>0.999999999999992</v>
      </c>
      <c r="J297" s="3">
        <f t="shared" si="287"/>
        <v>1</v>
      </c>
      <c r="K297" s="3">
        <f t="shared" si="287"/>
        <v>0.999999999999992</v>
      </c>
      <c r="L297" s="3">
        <f t="shared" si="287"/>
        <v>0.999999999999992</v>
      </c>
      <c r="M297" s="3" t="e">
        <f t="shared" si="287"/>
        <v>#REF!</v>
      </c>
      <c r="N297" s="3">
        <f t="shared" si="287"/>
        <v>1</v>
      </c>
      <c r="O297" s="3">
        <f t="shared" si="287"/>
        <v>1</v>
      </c>
      <c r="P297" s="3">
        <f t="shared" si="287"/>
        <v>1</v>
      </c>
      <c r="Q297" s="3">
        <f t="shared" si="287"/>
        <v>1</v>
      </c>
      <c r="R297" s="3">
        <f t="shared" si="287"/>
        <v>1</v>
      </c>
      <c r="S297" s="3">
        <f t="shared" si="287"/>
        <v>1</v>
      </c>
      <c r="T297" s="3">
        <f t="shared" si="287"/>
        <v>1</v>
      </c>
      <c r="U297" s="3">
        <f t="shared" si="287"/>
        <v>1</v>
      </c>
      <c r="V297" s="3">
        <f t="shared" si="287"/>
        <v>1</v>
      </c>
      <c r="W297" s="3">
        <f t="shared" si="287"/>
        <v>1</v>
      </c>
    </row>
    <row r="298" customHeight="1" spans="1:23">
      <c r="A298" s="2">
        <v>285</v>
      </c>
      <c r="B298" s="3">
        <f t="shared" ref="B298:W298" si="288">MIN(1,IF($A298&lt;B$4+B$3,0,IF(B$2=0,1,IF(B$5=0,1/(1+(B$6*EXP(-($A298-B$4)/B$7))),IF(MOD($A298-B$4,B$5)=0,1/(1+(B$6*EXP(-($A298-B$4)/B$7))),1/(1+(B$6*EXP(-(QUOTIENT($A298-B$4,B$5)*B$5)/B$7))))))))</f>
        <v>0.999999999999993</v>
      </c>
      <c r="C298" s="3">
        <f t="shared" si="288"/>
        <v>0.999999999999993</v>
      </c>
      <c r="D298" s="3" t="e">
        <f t="shared" si="288"/>
        <v>#DIV/0!</v>
      </c>
      <c r="E298" s="3" t="e">
        <f t="shared" si="288"/>
        <v>#REF!</v>
      </c>
      <c r="F298" s="3">
        <f t="shared" si="288"/>
        <v>1</v>
      </c>
      <c r="G298" s="3">
        <f t="shared" si="288"/>
        <v>1</v>
      </c>
      <c r="H298" s="3">
        <f t="shared" si="288"/>
        <v>0.999999999999993</v>
      </c>
      <c r="I298" s="3">
        <f t="shared" si="288"/>
        <v>0.999999999999993</v>
      </c>
      <c r="J298" s="3">
        <f t="shared" si="288"/>
        <v>1</v>
      </c>
      <c r="K298" s="3">
        <f t="shared" si="288"/>
        <v>0.999999999999993</v>
      </c>
      <c r="L298" s="3">
        <f t="shared" si="288"/>
        <v>0.999999999999993</v>
      </c>
      <c r="M298" s="3" t="e">
        <f t="shared" si="288"/>
        <v>#REF!</v>
      </c>
      <c r="N298" s="3">
        <f t="shared" si="288"/>
        <v>1</v>
      </c>
      <c r="O298" s="3">
        <f t="shared" si="288"/>
        <v>1</v>
      </c>
      <c r="P298" s="3">
        <f t="shared" si="288"/>
        <v>1</v>
      </c>
      <c r="Q298" s="3">
        <f t="shared" si="288"/>
        <v>1</v>
      </c>
      <c r="R298" s="3">
        <f t="shared" si="288"/>
        <v>1</v>
      </c>
      <c r="S298" s="3">
        <f t="shared" si="288"/>
        <v>1</v>
      </c>
      <c r="T298" s="3">
        <f t="shared" si="288"/>
        <v>1</v>
      </c>
      <c r="U298" s="3">
        <f t="shared" si="288"/>
        <v>1</v>
      </c>
      <c r="V298" s="3">
        <f t="shared" si="288"/>
        <v>1</v>
      </c>
      <c r="W298" s="3">
        <f t="shared" si="288"/>
        <v>1</v>
      </c>
    </row>
    <row r="299" customHeight="1" spans="1:23">
      <c r="A299" s="2">
        <v>286</v>
      </c>
      <c r="B299" s="3">
        <f t="shared" ref="B299:W299" si="289">MIN(1,IF($A299&lt;B$4+B$3,0,IF(B$2=0,1,IF(B$5=0,1/(1+(B$6*EXP(-($A299-B$4)/B$7))),IF(MOD($A299-B$4,B$5)=0,1/(1+(B$6*EXP(-($A299-B$4)/B$7))),1/(1+(B$6*EXP(-(QUOTIENT($A299-B$4,B$5)*B$5)/B$7))))))))</f>
        <v>0.999999999999994</v>
      </c>
      <c r="C299" s="3">
        <f t="shared" si="289"/>
        <v>0.999999999999994</v>
      </c>
      <c r="D299" s="3" t="e">
        <f t="shared" si="289"/>
        <v>#DIV/0!</v>
      </c>
      <c r="E299" s="3" t="e">
        <f t="shared" si="289"/>
        <v>#REF!</v>
      </c>
      <c r="F299" s="3">
        <f t="shared" si="289"/>
        <v>1</v>
      </c>
      <c r="G299" s="3">
        <f t="shared" si="289"/>
        <v>1</v>
      </c>
      <c r="H299" s="3">
        <f t="shared" si="289"/>
        <v>0.999999999999994</v>
      </c>
      <c r="I299" s="3">
        <f t="shared" si="289"/>
        <v>0.999999999999994</v>
      </c>
      <c r="J299" s="3">
        <f t="shared" si="289"/>
        <v>1</v>
      </c>
      <c r="K299" s="3">
        <f t="shared" si="289"/>
        <v>0.999999999999994</v>
      </c>
      <c r="L299" s="3">
        <f t="shared" si="289"/>
        <v>0.999999999999994</v>
      </c>
      <c r="M299" s="3" t="e">
        <f t="shared" si="289"/>
        <v>#REF!</v>
      </c>
      <c r="N299" s="3">
        <f t="shared" si="289"/>
        <v>1</v>
      </c>
      <c r="O299" s="3">
        <f t="shared" si="289"/>
        <v>1</v>
      </c>
      <c r="P299" s="3">
        <f t="shared" si="289"/>
        <v>1</v>
      </c>
      <c r="Q299" s="3">
        <f t="shared" si="289"/>
        <v>1</v>
      </c>
      <c r="R299" s="3">
        <f t="shared" si="289"/>
        <v>1</v>
      </c>
      <c r="S299" s="3">
        <f t="shared" si="289"/>
        <v>1</v>
      </c>
      <c r="T299" s="3">
        <f t="shared" si="289"/>
        <v>1</v>
      </c>
      <c r="U299" s="3">
        <f t="shared" si="289"/>
        <v>1</v>
      </c>
      <c r="V299" s="3">
        <f t="shared" si="289"/>
        <v>1</v>
      </c>
      <c r="W299" s="3">
        <f t="shared" si="289"/>
        <v>1</v>
      </c>
    </row>
    <row r="300" customHeight="1" spans="1:23">
      <c r="A300" s="2">
        <v>287</v>
      </c>
      <c r="B300" s="3">
        <f t="shared" ref="B300:W300" si="290">MIN(1,IF($A300&lt;B$4+B$3,0,IF(B$2=0,1,IF(B$5=0,1/(1+(B$6*EXP(-($A300-B$4)/B$7))),IF(MOD($A300-B$4,B$5)=0,1/(1+(B$6*EXP(-($A300-B$4)/B$7))),1/(1+(B$6*EXP(-(QUOTIENT($A300-B$4,B$5)*B$5)/B$7))))))))</f>
        <v>0.999999999999995</v>
      </c>
      <c r="C300" s="3">
        <f t="shared" si="290"/>
        <v>0.999999999999995</v>
      </c>
      <c r="D300" s="3" t="e">
        <f t="shared" si="290"/>
        <v>#DIV/0!</v>
      </c>
      <c r="E300" s="3" t="e">
        <f t="shared" si="290"/>
        <v>#REF!</v>
      </c>
      <c r="F300" s="3">
        <f t="shared" si="290"/>
        <v>1</v>
      </c>
      <c r="G300" s="3">
        <f t="shared" si="290"/>
        <v>1</v>
      </c>
      <c r="H300" s="3">
        <f t="shared" si="290"/>
        <v>0.999999999999995</v>
      </c>
      <c r="I300" s="3">
        <f t="shared" si="290"/>
        <v>0.999999999999995</v>
      </c>
      <c r="J300" s="3">
        <f t="shared" si="290"/>
        <v>1</v>
      </c>
      <c r="K300" s="3">
        <f t="shared" si="290"/>
        <v>0.999999999999995</v>
      </c>
      <c r="L300" s="3">
        <f t="shared" si="290"/>
        <v>0.999999999999995</v>
      </c>
      <c r="M300" s="3" t="e">
        <f t="shared" si="290"/>
        <v>#REF!</v>
      </c>
      <c r="N300" s="3">
        <f t="shared" si="290"/>
        <v>1</v>
      </c>
      <c r="O300" s="3">
        <f t="shared" si="290"/>
        <v>1</v>
      </c>
      <c r="P300" s="3">
        <f t="shared" si="290"/>
        <v>1</v>
      </c>
      <c r="Q300" s="3">
        <f t="shared" si="290"/>
        <v>1</v>
      </c>
      <c r="R300" s="3">
        <f t="shared" si="290"/>
        <v>1</v>
      </c>
      <c r="S300" s="3">
        <f t="shared" si="290"/>
        <v>1</v>
      </c>
      <c r="T300" s="3">
        <f t="shared" si="290"/>
        <v>1</v>
      </c>
      <c r="U300" s="3">
        <f t="shared" si="290"/>
        <v>1</v>
      </c>
      <c r="V300" s="3">
        <f t="shared" si="290"/>
        <v>1</v>
      </c>
      <c r="W300" s="3">
        <f t="shared" si="290"/>
        <v>1</v>
      </c>
    </row>
    <row r="301" customHeight="1" spans="1:23">
      <c r="A301" s="2">
        <v>288</v>
      </c>
      <c r="B301" s="3">
        <f t="shared" ref="B301:W301" si="291">MIN(1,IF($A301&lt;B$4+B$3,0,IF(B$2=0,1,IF(B$5=0,1/(1+(B$6*EXP(-($A301-B$4)/B$7))),IF(MOD($A301-B$4,B$5)=0,1/(1+(B$6*EXP(-($A301-B$4)/B$7))),1/(1+(B$6*EXP(-(QUOTIENT($A301-B$4,B$5)*B$5)/B$7))))))))</f>
        <v>0.999999999999995</v>
      </c>
      <c r="C301" s="3">
        <f t="shared" si="291"/>
        <v>0.999999999999995</v>
      </c>
      <c r="D301" s="3" t="e">
        <f t="shared" si="291"/>
        <v>#DIV/0!</v>
      </c>
      <c r="E301" s="3" t="e">
        <f t="shared" si="291"/>
        <v>#REF!</v>
      </c>
      <c r="F301" s="3">
        <f t="shared" si="291"/>
        <v>1</v>
      </c>
      <c r="G301" s="3">
        <f t="shared" si="291"/>
        <v>1</v>
      </c>
      <c r="H301" s="3">
        <f t="shared" si="291"/>
        <v>0.999999999999995</v>
      </c>
      <c r="I301" s="3">
        <f t="shared" si="291"/>
        <v>0.999999999999995</v>
      </c>
      <c r="J301" s="3">
        <f t="shared" si="291"/>
        <v>1</v>
      </c>
      <c r="K301" s="3">
        <f t="shared" si="291"/>
        <v>0.999999999999995</v>
      </c>
      <c r="L301" s="3">
        <f t="shared" si="291"/>
        <v>0.999999999999995</v>
      </c>
      <c r="M301" s="3" t="e">
        <f t="shared" si="291"/>
        <v>#REF!</v>
      </c>
      <c r="N301" s="3">
        <f t="shared" si="291"/>
        <v>1</v>
      </c>
      <c r="O301" s="3">
        <f t="shared" si="291"/>
        <v>1</v>
      </c>
      <c r="P301" s="3">
        <f t="shared" si="291"/>
        <v>1</v>
      </c>
      <c r="Q301" s="3">
        <f t="shared" si="291"/>
        <v>1</v>
      </c>
      <c r="R301" s="3">
        <f t="shared" si="291"/>
        <v>1</v>
      </c>
      <c r="S301" s="3">
        <f t="shared" si="291"/>
        <v>1</v>
      </c>
      <c r="T301" s="3">
        <f t="shared" si="291"/>
        <v>1</v>
      </c>
      <c r="U301" s="3">
        <f t="shared" si="291"/>
        <v>1</v>
      </c>
      <c r="V301" s="3">
        <f t="shared" si="291"/>
        <v>1</v>
      </c>
      <c r="W301" s="3">
        <f t="shared" si="291"/>
        <v>1</v>
      </c>
    </row>
    <row r="302" customHeight="1" spans="1:23">
      <c r="A302" s="2">
        <v>289</v>
      </c>
      <c r="B302" s="3">
        <f t="shared" ref="B302:W302" si="292">MIN(1,IF($A302&lt;B$4+B$3,0,IF(B$2=0,1,IF(B$5=0,1/(1+(B$6*EXP(-($A302-B$4)/B$7))),IF(MOD($A302-B$4,B$5)=0,1/(1+(B$6*EXP(-($A302-B$4)/B$7))),1/(1+(B$6*EXP(-(QUOTIENT($A302-B$4,B$5)*B$5)/B$7))))))))</f>
        <v>0.999999999999996</v>
      </c>
      <c r="C302" s="3">
        <f t="shared" si="292"/>
        <v>0.999999999999996</v>
      </c>
      <c r="D302" s="3" t="e">
        <f t="shared" si="292"/>
        <v>#DIV/0!</v>
      </c>
      <c r="E302" s="3" t="e">
        <f t="shared" si="292"/>
        <v>#REF!</v>
      </c>
      <c r="F302" s="3">
        <f t="shared" si="292"/>
        <v>1</v>
      </c>
      <c r="G302" s="3">
        <f t="shared" si="292"/>
        <v>1</v>
      </c>
      <c r="H302" s="3">
        <f t="shared" si="292"/>
        <v>0.999999999999996</v>
      </c>
      <c r="I302" s="3">
        <f t="shared" si="292"/>
        <v>0.999999999999996</v>
      </c>
      <c r="J302" s="3">
        <f t="shared" si="292"/>
        <v>1</v>
      </c>
      <c r="K302" s="3">
        <f t="shared" si="292"/>
        <v>0.999999999999996</v>
      </c>
      <c r="L302" s="3">
        <f t="shared" si="292"/>
        <v>0.999999999999996</v>
      </c>
      <c r="M302" s="3" t="e">
        <f t="shared" si="292"/>
        <v>#REF!</v>
      </c>
      <c r="N302" s="3">
        <f t="shared" si="292"/>
        <v>1</v>
      </c>
      <c r="O302" s="3">
        <f t="shared" si="292"/>
        <v>1</v>
      </c>
      <c r="P302" s="3">
        <f t="shared" si="292"/>
        <v>1</v>
      </c>
      <c r="Q302" s="3">
        <f t="shared" si="292"/>
        <v>1</v>
      </c>
      <c r="R302" s="3">
        <f t="shared" si="292"/>
        <v>1</v>
      </c>
      <c r="S302" s="3">
        <f t="shared" si="292"/>
        <v>1</v>
      </c>
      <c r="T302" s="3">
        <f t="shared" si="292"/>
        <v>1</v>
      </c>
      <c r="U302" s="3">
        <f t="shared" si="292"/>
        <v>1</v>
      </c>
      <c r="V302" s="3">
        <f t="shared" si="292"/>
        <v>1</v>
      </c>
      <c r="W302" s="3">
        <f t="shared" si="292"/>
        <v>1</v>
      </c>
    </row>
    <row r="303" customHeight="1" spans="1:23">
      <c r="A303" s="2">
        <v>290</v>
      </c>
      <c r="B303" s="3">
        <f t="shared" ref="B303:W303" si="293">MIN(1,IF($A303&lt;B$4+B$3,0,IF(B$2=0,1,IF(B$5=0,1/(1+(B$6*EXP(-($A303-B$4)/B$7))),IF(MOD($A303-B$4,B$5)=0,1/(1+(B$6*EXP(-($A303-B$4)/B$7))),1/(1+(B$6*EXP(-(QUOTIENT($A303-B$4,B$5)*B$5)/B$7))))))))</f>
        <v>0.999999999999996</v>
      </c>
      <c r="C303" s="3">
        <f t="shared" si="293"/>
        <v>0.999999999999996</v>
      </c>
      <c r="D303" s="3" t="e">
        <f t="shared" si="293"/>
        <v>#DIV/0!</v>
      </c>
      <c r="E303" s="3" t="e">
        <f t="shared" si="293"/>
        <v>#REF!</v>
      </c>
      <c r="F303" s="3">
        <f t="shared" si="293"/>
        <v>1</v>
      </c>
      <c r="G303" s="3">
        <f t="shared" si="293"/>
        <v>1</v>
      </c>
      <c r="H303" s="3">
        <f t="shared" si="293"/>
        <v>0.999999999999996</v>
      </c>
      <c r="I303" s="3">
        <f t="shared" si="293"/>
        <v>0.999999999999996</v>
      </c>
      <c r="J303" s="3">
        <f t="shared" si="293"/>
        <v>1</v>
      </c>
      <c r="K303" s="3">
        <f t="shared" si="293"/>
        <v>0.999999999999996</v>
      </c>
      <c r="L303" s="3">
        <f t="shared" si="293"/>
        <v>0.999999999999996</v>
      </c>
      <c r="M303" s="3" t="e">
        <f t="shared" si="293"/>
        <v>#REF!</v>
      </c>
      <c r="N303" s="3">
        <f t="shared" si="293"/>
        <v>1</v>
      </c>
      <c r="O303" s="3">
        <f t="shared" si="293"/>
        <v>1</v>
      </c>
      <c r="P303" s="3">
        <f t="shared" si="293"/>
        <v>1</v>
      </c>
      <c r="Q303" s="3">
        <f t="shared" si="293"/>
        <v>1</v>
      </c>
      <c r="R303" s="3">
        <f t="shared" si="293"/>
        <v>1</v>
      </c>
      <c r="S303" s="3">
        <f t="shared" si="293"/>
        <v>1</v>
      </c>
      <c r="T303" s="3">
        <f t="shared" si="293"/>
        <v>1</v>
      </c>
      <c r="U303" s="3">
        <f t="shared" si="293"/>
        <v>1</v>
      </c>
      <c r="V303" s="3">
        <f t="shared" si="293"/>
        <v>1</v>
      </c>
      <c r="W303" s="3">
        <f t="shared" si="293"/>
        <v>1</v>
      </c>
    </row>
    <row r="304" customHeight="1" spans="1:23">
      <c r="A304" s="2">
        <v>291</v>
      </c>
      <c r="B304" s="3">
        <f t="shared" ref="B304:W304" si="294">MIN(1,IF($A304&lt;B$4+B$3,0,IF(B$2=0,1,IF(B$5=0,1/(1+(B$6*EXP(-($A304-B$4)/B$7))),IF(MOD($A304-B$4,B$5)=0,1/(1+(B$6*EXP(-($A304-B$4)/B$7))),1/(1+(B$6*EXP(-(QUOTIENT($A304-B$4,B$5)*B$5)/B$7))))))))</f>
        <v>0.999999999999997</v>
      </c>
      <c r="C304" s="3">
        <f t="shared" si="294"/>
        <v>0.999999999999997</v>
      </c>
      <c r="D304" s="3" t="e">
        <f t="shared" si="294"/>
        <v>#DIV/0!</v>
      </c>
      <c r="E304" s="3" t="e">
        <f t="shared" si="294"/>
        <v>#REF!</v>
      </c>
      <c r="F304" s="3">
        <f t="shared" si="294"/>
        <v>1</v>
      </c>
      <c r="G304" s="3">
        <f t="shared" si="294"/>
        <v>1</v>
      </c>
      <c r="H304" s="3">
        <f t="shared" si="294"/>
        <v>0.999999999999997</v>
      </c>
      <c r="I304" s="3">
        <f t="shared" si="294"/>
        <v>0.999999999999997</v>
      </c>
      <c r="J304" s="3">
        <f t="shared" si="294"/>
        <v>1</v>
      </c>
      <c r="K304" s="3">
        <f t="shared" si="294"/>
        <v>0.999999999999997</v>
      </c>
      <c r="L304" s="3">
        <f t="shared" si="294"/>
        <v>0.999999999999997</v>
      </c>
      <c r="M304" s="3" t="e">
        <f t="shared" si="294"/>
        <v>#REF!</v>
      </c>
      <c r="N304" s="3">
        <f t="shared" si="294"/>
        <v>1</v>
      </c>
      <c r="O304" s="3">
        <f t="shared" si="294"/>
        <v>1</v>
      </c>
      <c r="P304" s="3">
        <f t="shared" si="294"/>
        <v>1</v>
      </c>
      <c r="Q304" s="3">
        <f t="shared" si="294"/>
        <v>1</v>
      </c>
      <c r="R304" s="3">
        <f t="shared" si="294"/>
        <v>1</v>
      </c>
      <c r="S304" s="3">
        <f t="shared" si="294"/>
        <v>1</v>
      </c>
      <c r="T304" s="3">
        <f t="shared" si="294"/>
        <v>1</v>
      </c>
      <c r="U304" s="3">
        <f t="shared" si="294"/>
        <v>1</v>
      </c>
      <c r="V304" s="3">
        <f t="shared" si="294"/>
        <v>1</v>
      </c>
      <c r="W304" s="3">
        <f t="shared" si="294"/>
        <v>1</v>
      </c>
    </row>
    <row r="305" customHeight="1" spans="1:23">
      <c r="A305" s="2">
        <v>292</v>
      </c>
      <c r="B305" s="3">
        <f t="shared" ref="B305:W305" si="295">MIN(1,IF($A305&lt;B$4+B$3,0,IF(B$2=0,1,IF(B$5=0,1/(1+(B$6*EXP(-($A305-B$4)/B$7))),IF(MOD($A305-B$4,B$5)=0,1/(1+(B$6*EXP(-($A305-B$4)/B$7))),1/(1+(B$6*EXP(-(QUOTIENT($A305-B$4,B$5)*B$5)/B$7))))))))</f>
        <v>0.999999999999997</v>
      </c>
      <c r="C305" s="3">
        <f t="shared" si="295"/>
        <v>0.999999999999997</v>
      </c>
      <c r="D305" s="3" t="e">
        <f t="shared" si="295"/>
        <v>#DIV/0!</v>
      </c>
      <c r="E305" s="3" t="e">
        <f t="shared" si="295"/>
        <v>#REF!</v>
      </c>
      <c r="F305" s="3">
        <f t="shared" si="295"/>
        <v>1</v>
      </c>
      <c r="G305" s="3">
        <f t="shared" si="295"/>
        <v>1</v>
      </c>
      <c r="H305" s="3">
        <f t="shared" si="295"/>
        <v>0.999999999999997</v>
      </c>
      <c r="I305" s="3">
        <f t="shared" si="295"/>
        <v>0.999999999999997</v>
      </c>
      <c r="J305" s="3">
        <f t="shared" si="295"/>
        <v>1</v>
      </c>
      <c r="K305" s="3">
        <f t="shared" si="295"/>
        <v>0.999999999999997</v>
      </c>
      <c r="L305" s="3">
        <f t="shared" si="295"/>
        <v>0.999999999999997</v>
      </c>
      <c r="M305" s="3" t="e">
        <f t="shared" si="295"/>
        <v>#REF!</v>
      </c>
      <c r="N305" s="3">
        <f t="shared" si="295"/>
        <v>1</v>
      </c>
      <c r="O305" s="3">
        <f t="shared" si="295"/>
        <v>1</v>
      </c>
      <c r="P305" s="3">
        <f t="shared" si="295"/>
        <v>1</v>
      </c>
      <c r="Q305" s="3">
        <f t="shared" si="295"/>
        <v>1</v>
      </c>
      <c r="R305" s="3">
        <f t="shared" si="295"/>
        <v>1</v>
      </c>
      <c r="S305" s="3">
        <f t="shared" si="295"/>
        <v>1</v>
      </c>
      <c r="T305" s="3">
        <f t="shared" si="295"/>
        <v>1</v>
      </c>
      <c r="U305" s="3">
        <f t="shared" si="295"/>
        <v>1</v>
      </c>
      <c r="V305" s="3">
        <f t="shared" si="295"/>
        <v>1</v>
      </c>
      <c r="W305" s="3">
        <f t="shared" si="295"/>
        <v>1</v>
      </c>
    </row>
    <row r="306" customHeight="1" spans="1:23">
      <c r="A306" s="2">
        <v>293</v>
      </c>
      <c r="B306" s="3">
        <f t="shared" ref="B306:W306" si="296">MIN(1,IF($A306&lt;B$4+B$3,0,IF(B$2=0,1,IF(B$5=0,1/(1+(B$6*EXP(-($A306-B$4)/B$7))),IF(MOD($A306-B$4,B$5)=0,1/(1+(B$6*EXP(-($A306-B$4)/B$7))),1/(1+(B$6*EXP(-(QUOTIENT($A306-B$4,B$5)*B$5)/B$7))))))))</f>
        <v>0.999999999999998</v>
      </c>
      <c r="C306" s="3">
        <f t="shared" si="296"/>
        <v>0.999999999999998</v>
      </c>
      <c r="D306" s="3" t="e">
        <f t="shared" si="296"/>
        <v>#DIV/0!</v>
      </c>
      <c r="E306" s="3" t="e">
        <f t="shared" si="296"/>
        <v>#REF!</v>
      </c>
      <c r="F306" s="3">
        <f t="shared" si="296"/>
        <v>1</v>
      </c>
      <c r="G306" s="3">
        <f t="shared" si="296"/>
        <v>1</v>
      </c>
      <c r="H306" s="3">
        <f t="shared" si="296"/>
        <v>0.999999999999998</v>
      </c>
      <c r="I306" s="3">
        <f t="shared" si="296"/>
        <v>0.999999999999998</v>
      </c>
      <c r="J306" s="3">
        <f t="shared" si="296"/>
        <v>1</v>
      </c>
      <c r="K306" s="3">
        <f t="shared" si="296"/>
        <v>0.999999999999998</v>
      </c>
      <c r="L306" s="3">
        <f t="shared" si="296"/>
        <v>0.999999999999998</v>
      </c>
      <c r="M306" s="3" t="e">
        <f t="shared" si="296"/>
        <v>#REF!</v>
      </c>
      <c r="N306" s="3">
        <f t="shared" si="296"/>
        <v>1</v>
      </c>
      <c r="O306" s="3">
        <f t="shared" si="296"/>
        <v>1</v>
      </c>
      <c r="P306" s="3">
        <f t="shared" si="296"/>
        <v>1</v>
      </c>
      <c r="Q306" s="3">
        <f t="shared" si="296"/>
        <v>1</v>
      </c>
      <c r="R306" s="3">
        <f t="shared" si="296"/>
        <v>1</v>
      </c>
      <c r="S306" s="3">
        <f t="shared" si="296"/>
        <v>1</v>
      </c>
      <c r="T306" s="3">
        <f t="shared" si="296"/>
        <v>1</v>
      </c>
      <c r="U306" s="3">
        <f t="shared" si="296"/>
        <v>1</v>
      </c>
      <c r="V306" s="3">
        <f t="shared" si="296"/>
        <v>1</v>
      </c>
      <c r="W306" s="3">
        <f t="shared" si="296"/>
        <v>1</v>
      </c>
    </row>
    <row r="307" customHeight="1" spans="1:23">
      <c r="A307" s="2">
        <v>294</v>
      </c>
      <c r="B307" s="3">
        <f t="shared" ref="B307:W307" si="297">MIN(1,IF($A307&lt;B$4+B$3,0,IF(B$2=0,1,IF(B$5=0,1/(1+(B$6*EXP(-($A307-B$4)/B$7))),IF(MOD($A307-B$4,B$5)=0,1/(1+(B$6*EXP(-($A307-B$4)/B$7))),1/(1+(B$6*EXP(-(QUOTIENT($A307-B$4,B$5)*B$5)/B$7))))))))</f>
        <v>0.999999999999998</v>
      </c>
      <c r="C307" s="3">
        <f t="shared" si="297"/>
        <v>0.999999999999998</v>
      </c>
      <c r="D307" s="3" t="e">
        <f t="shared" si="297"/>
        <v>#DIV/0!</v>
      </c>
      <c r="E307" s="3" t="e">
        <f t="shared" si="297"/>
        <v>#REF!</v>
      </c>
      <c r="F307" s="3">
        <f t="shared" si="297"/>
        <v>1</v>
      </c>
      <c r="G307" s="3">
        <f t="shared" si="297"/>
        <v>1</v>
      </c>
      <c r="H307" s="3">
        <f t="shared" si="297"/>
        <v>0.999999999999998</v>
      </c>
      <c r="I307" s="3">
        <f t="shared" si="297"/>
        <v>0.999999999999998</v>
      </c>
      <c r="J307" s="3">
        <f t="shared" si="297"/>
        <v>1</v>
      </c>
      <c r="K307" s="3">
        <f t="shared" si="297"/>
        <v>0.999999999999998</v>
      </c>
      <c r="L307" s="3">
        <f t="shared" si="297"/>
        <v>0.999999999999998</v>
      </c>
      <c r="M307" s="3" t="e">
        <f t="shared" si="297"/>
        <v>#REF!</v>
      </c>
      <c r="N307" s="3">
        <f t="shared" si="297"/>
        <v>1</v>
      </c>
      <c r="O307" s="3">
        <f t="shared" si="297"/>
        <v>1</v>
      </c>
      <c r="P307" s="3">
        <f t="shared" si="297"/>
        <v>1</v>
      </c>
      <c r="Q307" s="3">
        <f t="shared" si="297"/>
        <v>1</v>
      </c>
      <c r="R307" s="3">
        <f t="shared" si="297"/>
        <v>1</v>
      </c>
      <c r="S307" s="3">
        <f t="shared" si="297"/>
        <v>1</v>
      </c>
      <c r="T307" s="3">
        <f t="shared" si="297"/>
        <v>1</v>
      </c>
      <c r="U307" s="3">
        <f t="shared" si="297"/>
        <v>1</v>
      </c>
      <c r="V307" s="3">
        <f t="shared" si="297"/>
        <v>1</v>
      </c>
      <c r="W307" s="3">
        <f t="shared" si="297"/>
        <v>1</v>
      </c>
    </row>
    <row r="308" customHeight="1" spans="1:23">
      <c r="A308" s="2">
        <v>295</v>
      </c>
      <c r="B308" s="3">
        <f t="shared" ref="B308:W308" si="298">MIN(1,IF($A308&lt;B$4+B$3,0,IF(B$2=0,1,IF(B$5=0,1/(1+(B$6*EXP(-($A308-B$4)/B$7))),IF(MOD($A308-B$4,B$5)=0,1/(1+(B$6*EXP(-($A308-B$4)/B$7))),1/(1+(B$6*EXP(-(QUOTIENT($A308-B$4,B$5)*B$5)/B$7))))))))</f>
        <v>0.999999999999998</v>
      </c>
      <c r="C308" s="3">
        <f t="shared" si="298"/>
        <v>0.999999999999998</v>
      </c>
      <c r="D308" s="3" t="e">
        <f t="shared" si="298"/>
        <v>#DIV/0!</v>
      </c>
      <c r="E308" s="3" t="e">
        <f t="shared" si="298"/>
        <v>#REF!</v>
      </c>
      <c r="F308" s="3">
        <f t="shared" si="298"/>
        <v>1</v>
      </c>
      <c r="G308" s="3">
        <f t="shared" si="298"/>
        <v>1</v>
      </c>
      <c r="H308" s="3">
        <f t="shared" si="298"/>
        <v>0.999999999999998</v>
      </c>
      <c r="I308" s="3">
        <f t="shared" si="298"/>
        <v>0.999999999999998</v>
      </c>
      <c r="J308" s="3">
        <f t="shared" si="298"/>
        <v>1</v>
      </c>
      <c r="K308" s="3">
        <f t="shared" si="298"/>
        <v>0.999999999999998</v>
      </c>
      <c r="L308" s="3">
        <f t="shared" si="298"/>
        <v>0.999999999999998</v>
      </c>
      <c r="M308" s="3" t="e">
        <f t="shared" si="298"/>
        <v>#REF!</v>
      </c>
      <c r="N308" s="3">
        <f t="shared" si="298"/>
        <v>1</v>
      </c>
      <c r="O308" s="3">
        <f t="shared" si="298"/>
        <v>1</v>
      </c>
      <c r="P308" s="3">
        <f t="shared" si="298"/>
        <v>1</v>
      </c>
      <c r="Q308" s="3">
        <f t="shared" si="298"/>
        <v>1</v>
      </c>
      <c r="R308" s="3">
        <f t="shared" si="298"/>
        <v>1</v>
      </c>
      <c r="S308" s="3">
        <f t="shared" si="298"/>
        <v>1</v>
      </c>
      <c r="T308" s="3">
        <f t="shared" si="298"/>
        <v>1</v>
      </c>
      <c r="U308" s="3">
        <f t="shared" si="298"/>
        <v>1</v>
      </c>
      <c r="V308" s="3">
        <f t="shared" si="298"/>
        <v>1</v>
      </c>
      <c r="W308" s="3">
        <f t="shared" si="298"/>
        <v>1</v>
      </c>
    </row>
    <row r="309" customHeight="1" spans="1:23">
      <c r="A309" s="2">
        <v>296</v>
      </c>
      <c r="B309" s="3">
        <f t="shared" ref="B309:W309" si="299">MIN(1,IF($A309&lt;B$4+B$3,0,IF(B$2=0,1,IF(B$5=0,1/(1+(B$6*EXP(-($A309-B$4)/B$7))),IF(MOD($A309-B$4,B$5)=0,1/(1+(B$6*EXP(-($A309-B$4)/B$7))),1/(1+(B$6*EXP(-(QUOTIENT($A309-B$4,B$5)*B$5)/B$7))))))))</f>
        <v>0.999999999999998</v>
      </c>
      <c r="C309" s="3">
        <f t="shared" si="299"/>
        <v>0.999999999999998</v>
      </c>
      <c r="D309" s="3" t="e">
        <f t="shared" si="299"/>
        <v>#DIV/0!</v>
      </c>
      <c r="E309" s="3" t="e">
        <f t="shared" si="299"/>
        <v>#REF!</v>
      </c>
      <c r="F309" s="3">
        <f t="shared" si="299"/>
        <v>1</v>
      </c>
      <c r="G309" s="3">
        <f t="shared" si="299"/>
        <v>1</v>
      </c>
      <c r="H309" s="3">
        <f t="shared" si="299"/>
        <v>0.999999999999998</v>
      </c>
      <c r="I309" s="3">
        <f t="shared" si="299"/>
        <v>0.999999999999998</v>
      </c>
      <c r="J309" s="3">
        <f t="shared" si="299"/>
        <v>1</v>
      </c>
      <c r="K309" s="3">
        <f t="shared" si="299"/>
        <v>0.999999999999998</v>
      </c>
      <c r="L309" s="3">
        <f t="shared" si="299"/>
        <v>0.999999999999998</v>
      </c>
      <c r="M309" s="3" t="e">
        <f t="shared" si="299"/>
        <v>#REF!</v>
      </c>
      <c r="N309" s="3">
        <f t="shared" si="299"/>
        <v>1</v>
      </c>
      <c r="O309" s="3">
        <f t="shared" si="299"/>
        <v>1</v>
      </c>
      <c r="P309" s="3">
        <f t="shared" si="299"/>
        <v>1</v>
      </c>
      <c r="Q309" s="3">
        <f t="shared" si="299"/>
        <v>1</v>
      </c>
      <c r="R309" s="3">
        <f t="shared" si="299"/>
        <v>1</v>
      </c>
      <c r="S309" s="3">
        <f t="shared" si="299"/>
        <v>1</v>
      </c>
      <c r="T309" s="3">
        <f t="shared" si="299"/>
        <v>1</v>
      </c>
      <c r="U309" s="3">
        <f t="shared" si="299"/>
        <v>1</v>
      </c>
      <c r="V309" s="3">
        <f t="shared" si="299"/>
        <v>1</v>
      </c>
      <c r="W309" s="3">
        <f t="shared" si="299"/>
        <v>1</v>
      </c>
    </row>
    <row r="310" customHeight="1" spans="1:23">
      <c r="A310" s="2">
        <v>297</v>
      </c>
      <c r="B310" s="3">
        <f t="shared" ref="B310:W310" si="300">MIN(1,IF($A310&lt;B$4+B$3,0,IF(B$2=0,1,IF(B$5=0,1/(1+(B$6*EXP(-($A310-B$4)/B$7))),IF(MOD($A310-B$4,B$5)=0,1/(1+(B$6*EXP(-($A310-B$4)/B$7))),1/(1+(B$6*EXP(-(QUOTIENT($A310-B$4,B$5)*B$5)/B$7))))))))</f>
        <v>0.999999999999998</v>
      </c>
      <c r="C310" s="3">
        <f t="shared" si="300"/>
        <v>0.999999999999998</v>
      </c>
      <c r="D310" s="3" t="e">
        <f t="shared" si="300"/>
        <v>#DIV/0!</v>
      </c>
      <c r="E310" s="3" t="e">
        <f t="shared" si="300"/>
        <v>#REF!</v>
      </c>
      <c r="F310" s="3">
        <f t="shared" si="300"/>
        <v>1</v>
      </c>
      <c r="G310" s="3">
        <f t="shared" si="300"/>
        <v>1</v>
      </c>
      <c r="H310" s="3">
        <f t="shared" si="300"/>
        <v>0.999999999999998</v>
      </c>
      <c r="I310" s="3">
        <f t="shared" si="300"/>
        <v>0.999999999999998</v>
      </c>
      <c r="J310" s="3">
        <f t="shared" si="300"/>
        <v>1</v>
      </c>
      <c r="K310" s="3">
        <f t="shared" si="300"/>
        <v>0.999999999999998</v>
      </c>
      <c r="L310" s="3">
        <f t="shared" si="300"/>
        <v>0.999999999999998</v>
      </c>
      <c r="M310" s="3" t="e">
        <f t="shared" si="300"/>
        <v>#REF!</v>
      </c>
      <c r="N310" s="3">
        <f t="shared" si="300"/>
        <v>1</v>
      </c>
      <c r="O310" s="3">
        <f t="shared" si="300"/>
        <v>1</v>
      </c>
      <c r="P310" s="3">
        <f t="shared" si="300"/>
        <v>1</v>
      </c>
      <c r="Q310" s="3">
        <f t="shared" si="300"/>
        <v>1</v>
      </c>
      <c r="R310" s="3">
        <f t="shared" si="300"/>
        <v>1</v>
      </c>
      <c r="S310" s="3">
        <f t="shared" si="300"/>
        <v>1</v>
      </c>
      <c r="T310" s="3">
        <f t="shared" si="300"/>
        <v>1</v>
      </c>
      <c r="U310" s="3">
        <f t="shared" si="300"/>
        <v>1</v>
      </c>
      <c r="V310" s="3">
        <f t="shared" si="300"/>
        <v>1</v>
      </c>
      <c r="W310" s="3">
        <f t="shared" si="300"/>
        <v>1</v>
      </c>
    </row>
    <row r="311" customHeight="1" spans="1:23">
      <c r="A311" s="2">
        <v>298</v>
      </c>
      <c r="B311" s="3">
        <f t="shared" ref="B311:W311" si="301">MIN(1,IF($A311&lt;B$4+B$3,0,IF(B$2=0,1,IF(B$5=0,1/(1+(B$6*EXP(-($A311-B$4)/B$7))),IF(MOD($A311-B$4,B$5)=0,1/(1+(B$6*EXP(-($A311-B$4)/B$7))),1/(1+(B$6*EXP(-(QUOTIENT($A311-B$4,B$5)*B$5)/B$7))))))))</f>
        <v>0.999999999999999</v>
      </c>
      <c r="C311" s="3">
        <f t="shared" si="301"/>
        <v>0.999999999999999</v>
      </c>
      <c r="D311" s="3" t="e">
        <f t="shared" si="301"/>
        <v>#DIV/0!</v>
      </c>
      <c r="E311" s="3" t="e">
        <f t="shared" si="301"/>
        <v>#REF!</v>
      </c>
      <c r="F311" s="3">
        <f t="shared" si="301"/>
        <v>1</v>
      </c>
      <c r="G311" s="3">
        <f t="shared" si="301"/>
        <v>1</v>
      </c>
      <c r="H311" s="3">
        <f t="shared" si="301"/>
        <v>0.999999999999999</v>
      </c>
      <c r="I311" s="3">
        <f t="shared" si="301"/>
        <v>0.999999999999999</v>
      </c>
      <c r="J311" s="3">
        <f t="shared" si="301"/>
        <v>1</v>
      </c>
      <c r="K311" s="3">
        <f t="shared" si="301"/>
        <v>0.999999999999999</v>
      </c>
      <c r="L311" s="3">
        <f t="shared" si="301"/>
        <v>0.999999999999999</v>
      </c>
      <c r="M311" s="3" t="e">
        <f t="shared" si="301"/>
        <v>#REF!</v>
      </c>
      <c r="N311" s="3">
        <f t="shared" si="301"/>
        <v>1</v>
      </c>
      <c r="O311" s="3">
        <f t="shared" si="301"/>
        <v>1</v>
      </c>
      <c r="P311" s="3">
        <f t="shared" si="301"/>
        <v>1</v>
      </c>
      <c r="Q311" s="3">
        <f t="shared" si="301"/>
        <v>1</v>
      </c>
      <c r="R311" s="3">
        <f t="shared" si="301"/>
        <v>1</v>
      </c>
      <c r="S311" s="3">
        <f t="shared" si="301"/>
        <v>1</v>
      </c>
      <c r="T311" s="3">
        <f t="shared" si="301"/>
        <v>1</v>
      </c>
      <c r="U311" s="3">
        <f t="shared" si="301"/>
        <v>1</v>
      </c>
      <c r="V311" s="3">
        <f t="shared" si="301"/>
        <v>1</v>
      </c>
      <c r="W311" s="3">
        <f t="shared" si="301"/>
        <v>1</v>
      </c>
    </row>
    <row r="312" customHeight="1" spans="1:23">
      <c r="A312" s="2">
        <v>299</v>
      </c>
      <c r="B312" s="3">
        <f t="shared" ref="B312:W312" si="302">MIN(1,IF($A312&lt;B$4+B$3,0,IF(B$2=0,1,IF(B$5=0,1/(1+(B$6*EXP(-($A312-B$4)/B$7))),IF(MOD($A312-B$4,B$5)=0,1/(1+(B$6*EXP(-($A312-B$4)/B$7))),1/(1+(B$6*EXP(-(QUOTIENT($A312-B$4,B$5)*B$5)/B$7))))))))</f>
        <v>0.999999999999999</v>
      </c>
      <c r="C312" s="3">
        <f t="shared" si="302"/>
        <v>0.999999999999999</v>
      </c>
      <c r="D312" s="3" t="e">
        <f t="shared" si="302"/>
        <v>#DIV/0!</v>
      </c>
      <c r="E312" s="3" t="e">
        <f t="shared" si="302"/>
        <v>#REF!</v>
      </c>
      <c r="F312" s="3">
        <f t="shared" si="302"/>
        <v>1</v>
      </c>
      <c r="G312" s="3">
        <f t="shared" si="302"/>
        <v>1</v>
      </c>
      <c r="H312" s="3">
        <f t="shared" si="302"/>
        <v>0.999999999999999</v>
      </c>
      <c r="I312" s="3">
        <f t="shared" si="302"/>
        <v>0.999999999999999</v>
      </c>
      <c r="J312" s="3">
        <f t="shared" si="302"/>
        <v>1</v>
      </c>
      <c r="K312" s="3">
        <f t="shared" si="302"/>
        <v>0.999999999999999</v>
      </c>
      <c r="L312" s="3">
        <f t="shared" si="302"/>
        <v>0.999999999999999</v>
      </c>
      <c r="M312" s="3" t="e">
        <f t="shared" si="302"/>
        <v>#REF!</v>
      </c>
      <c r="N312" s="3">
        <f t="shared" si="302"/>
        <v>1</v>
      </c>
      <c r="O312" s="3">
        <f t="shared" si="302"/>
        <v>1</v>
      </c>
      <c r="P312" s="3">
        <f t="shared" si="302"/>
        <v>1</v>
      </c>
      <c r="Q312" s="3">
        <f t="shared" si="302"/>
        <v>1</v>
      </c>
      <c r="R312" s="3">
        <f t="shared" si="302"/>
        <v>1</v>
      </c>
      <c r="S312" s="3">
        <f t="shared" si="302"/>
        <v>1</v>
      </c>
      <c r="T312" s="3">
        <f t="shared" si="302"/>
        <v>1</v>
      </c>
      <c r="U312" s="3">
        <f t="shared" si="302"/>
        <v>1</v>
      </c>
      <c r="V312" s="3">
        <f t="shared" si="302"/>
        <v>1</v>
      </c>
      <c r="W312" s="3">
        <f t="shared" si="302"/>
        <v>1</v>
      </c>
    </row>
    <row r="313" customHeight="1" spans="1:23">
      <c r="A313" s="2">
        <v>300</v>
      </c>
      <c r="B313" s="3">
        <f t="shared" ref="B313:W313" si="303">MIN(1,IF($A313&lt;B$4+B$3,0,IF(B$2=0,1,IF(B$5=0,1/(1+(B$6*EXP(-($A313-B$4)/B$7))),IF(MOD($A313-B$4,B$5)=0,1/(1+(B$6*EXP(-($A313-B$4)/B$7))),1/(1+(B$6*EXP(-(QUOTIENT($A313-B$4,B$5)*B$5)/B$7))))))))</f>
        <v>0.999999999999999</v>
      </c>
      <c r="C313" s="3">
        <f t="shared" si="303"/>
        <v>0.999999999999999</v>
      </c>
      <c r="D313" s="3" t="e">
        <f t="shared" si="303"/>
        <v>#DIV/0!</v>
      </c>
      <c r="E313" s="3" t="e">
        <f t="shared" si="303"/>
        <v>#REF!</v>
      </c>
      <c r="F313" s="3">
        <f t="shared" si="303"/>
        <v>1</v>
      </c>
      <c r="G313" s="3">
        <f t="shared" si="303"/>
        <v>1</v>
      </c>
      <c r="H313" s="3">
        <f t="shared" si="303"/>
        <v>0.999999999999999</v>
      </c>
      <c r="I313" s="3">
        <f t="shared" si="303"/>
        <v>0.999999999999999</v>
      </c>
      <c r="J313" s="3">
        <f t="shared" si="303"/>
        <v>1</v>
      </c>
      <c r="K313" s="3">
        <f t="shared" si="303"/>
        <v>0.999999999999999</v>
      </c>
      <c r="L313" s="3">
        <f t="shared" si="303"/>
        <v>0.999999999999999</v>
      </c>
      <c r="M313" s="3" t="e">
        <f t="shared" si="303"/>
        <v>#REF!</v>
      </c>
      <c r="N313" s="3">
        <f t="shared" si="303"/>
        <v>1</v>
      </c>
      <c r="O313" s="3">
        <f t="shared" si="303"/>
        <v>1</v>
      </c>
      <c r="P313" s="3">
        <f t="shared" si="303"/>
        <v>1</v>
      </c>
      <c r="Q313" s="3">
        <f t="shared" si="303"/>
        <v>1</v>
      </c>
      <c r="R313" s="3">
        <f t="shared" si="303"/>
        <v>1</v>
      </c>
      <c r="S313" s="3">
        <f t="shared" si="303"/>
        <v>1</v>
      </c>
      <c r="T313" s="3">
        <f t="shared" si="303"/>
        <v>1</v>
      </c>
      <c r="U313" s="3">
        <f t="shared" si="303"/>
        <v>1</v>
      </c>
      <c r="V313" s="3">
        <f t="shared" si="303"/>
        <v>1</v>
      </c>
      <c r="W313" s="3">
        <f t="shared" si="303"/>
        <v>1</v>
      </c>
    </row>
    <row r="314" customHeight="1" spans="1:23">
      <c r="A314" s="2">
        <v>301</v>
      </c>
      <c r="B314" s="3">
        <f t="shared" ref="B314:W314" si="304">MIN(1,IF($A314&lt;B$4+B$3,0,IF(B$2=0,1,IF(B$5=0,1/(1+(B$6*EXP(-($A314-B$4)/B$7))),IF(MOD($A314-B$4,B$5)=0,1/(1+(B$6*EXP(-($A314-B$4)/B$7))),1/(1+(B$6*EXP(-(QUOTIENT($A314-B$4,B$5)*B$5)/B$7))))))))</f>
        <v>0.999999999999999</v>
      </c>
      <c r="C314" s="3">
        <f t="shared" si="304"/>
        <v>0.999999999999999</v>
      </c>
      <c r="D314" s="3" t="e">
        <f t="shared" si="304"/>
        <v>#DIV/0!</v>
      </c>
      <c r="E314" s="3" t="e">
        <f t="shared" si="304"/>
        <v>#REF!</v>
      </c>
      <c r="F314" s="3">
        <f t="shared" si="304"/>
        <v>1</v>
      </c>
      <c r="G314" s="3">
        <f t="shared" si="304"/>
        <v>1</v>
      </c>
      <c r="H314" s="3">
        <f t="shared" si="304"/>
        <v>0.999999999999999</v>
      </c>
      <c r="I314" s="3">
        <f t="shared" si="304"/>
        <v>0.999999999999999</v>
      </c>
      <c r="J314" s="3">
        <f t="shared" si="304"/>
        <v>1</v>
      </c>
      <c r="K314" s="3">
        <f t="shared" si="304"/>
        <v>0.999999999999999</v>
      </c>
      <c r="L314" s="3">
        <f t="shared" si="304"/>
        <v>0.999999999999999</v>
      </c>
      <c r="M314" s="3" t="e">
        <f t="shared" si="304"/>
        <v>#REF!</v>
      </c>
      <c r="N314" s="3">
        <f t="shared" si="304"/>
        <v>1</v>
      </c>
      <c r="O314" s="3">
        <f t="shared" si="304"/>
        <v>1</v>
      </c>
      <c r="P314" s="3">
        <f t="shared" si="304"/>
        <v>1</v>
      </c>
      <c r="Q314" s="3">
        <f t="shared" si="304"/>
        <v>1</v>
      </c>
      <c r="R314" s="3">
        <f t="shared" si="304"/>
        <v>1</v>
      </c>
      <c r="S314" s="3">
        <f t="shared" si="304"/>
        <v>1</v>
      </c>
      <c r="T314" s="3">
        <f t="shared" si="304"/>
        <v>1</v>
      </c>
      <c r="U314" s="3">
        <f t="shared" si="304"/>
        <v>1</v>
      </c>
      <c r="V314" s="3">
        <f t="shared" si="304"/>
        <v>1</v>
      </c>
      <c r="W314" s="3">
        <f t="shared" si="304"/>
        <v>1</v>
      </c>
    </row>
    <row r="315" customHeight="1" spans="1:23">
      <c r="A315" s="2">
        <v>302</v>
      </c>
      <c r="B315" s="3">
        <f t="shared" ref="B315:W315" si="305">MIN(1,IF($A315&lt;B$4+B$3,0,IF(B$2=0,1,IF(B$5=0,1/(1+(B$6*EXP(-($A315-B$4)/B$7))),IF(MOD($A315-B$4,B$5)=0,1/(1+(B$6*EXP(-($A315-B$4)/B$7))),1/(1+(B$6*EXP(-(QUOTIENT($A315-B$4,B$5)*B$5)/B$7))))))))</f>
        <v>0.999999999999999</v>
      </c>
      <c r="C315" s="3">
        <f t="shared" si="305"/>
        <v>0.999999999999999</v>
      </c>
      <c r="D315" s="3" t="e">
        <f t="shared" si="305"/>
        <v>#DIV/0!</v>
      </c>
      <c r="E315" s="3" t="e">
        <f t="shared" si="305"/>
        <v>#REF!</v>
      </c>
      <c r="F315" s="3">
        <f t="shared" si="305"/>
        <v>1</v>
      </c>
      <c r="G315" s="3">
        <f t="shared" si="305"/>
        <v>1</v>
      </c>
      <c r="H315" s="3">
        <f t="shared" si="305"/>
        <v>0.999999999999999</v>
      </c>
      <c r="I315" s="3">
        <f t="shared" si="305"/>
        <v>0.999999999999999</v>
      </c>
      <c r="J315" s="3">
        <f t="shared" si="305"/>
        <v>1</v>
      </c>
      <c r="K315" s="3">
        <f t="shared" si="305"/>
        <v>0.999999999999999</v>
      </c>
      <c r="L315" s="3">
        <f t="shared" si="305"/>
        <v>0.999999999999999</v>
      </c>
      <c r="M315" s="3" t="e">
        <f t="shared" si="305"/>
        <v>#REF!</v>
      </c>
      <c r="N315" s="3">
        <f t="shared" si="305"/>
        <v>1</v>
      </c>
      <c r="O315" s="3">
        <f t="shared" si="305"/>
        <v>1</v>
      </c>
      <c r="P315" s="3">
        <f t="shared" si="305"/>
        <v>1</v>
      </c>
      <c r="Q315" s="3">
        <f t="shared" si="305"/>
        <v>1</v>
      </c>
      <c r="R315" s="3">
        <f t="shared" si="305"/>
        <v>1</v>
      </c>
      <c r="S315" s="3">
        <f t="shared" si="305"/>
        <v>1</v>
      </c>
      <c r="T315" s="3">
        <f t="shared" si="305"/>
        <v>1</v>
      </c>
      <c r="U315" s="3">
        <f t="shared" si="305"/>
        <v>1</v>
      </c>
      <c r="V315" s="3">
        <f t="shared" si="305"/>
        <v>1</v>
      </c>
      <c r="W315" s="3">
        <f t="shared" si="305"/>
        <v>1</v>
      </c>
    </row>
    <row r="316" customHeight="1" spans="1:23">
      <c r="A316" s="2">
        <v>303</v>
      </c>
      <c r="B316" s="3">
        <f t="shared" ref="B316:W316" si="306">MIN(1,IF($A316&lt;B$4+B$3,0,IF(B$2=0,1,IF(B$5=0,1/(1+(B$6*EXP(-($A316-B$4)/B$7))),IF(MOD($A316-B$4,B$5)=0,1/(1+(B$6*EXP(-($A316-B$4)/B$7))),1/(1+(B$6*EXP(-(QUOTIENT($A316-B$4,B$5)*B$5)/B$7))))))))</f>
        <v>0.999999999999999</v>
      </c>
      <c r="C316" s="3">
        <f t="shared" si="306"/>
        <v>0.999999999999999</v>
      </c>
      <c r="D316" s="3" t="e">
        <f t="shared" si="306"/>
        <v>#DIV/0!</v>
      </c>
      <c r="E316" s="3" t="e">
        <f t="shared" si="306"/>
        <v>#REF!</v>
      </c>
      <c r="F316" s="3">
        <f t="shared" si="306"/>
        <v>1</v>
      </c>
      <c r="G316" s="3">
        <f t="shared" si="306"/>
        <v>1</v>
      </c>
      <c r="H316" s="3">
        <f t="shared" si="306"/>
        <v>0.999999999999999</v>
      </c>
      <c r="I316" s="3">
        <f t="shared" si="306"/>
        <v>0.999999999999999</v>
      </c>
      <c r="J316" s="3">
        <f t="shared" si="306"/>
        <v>1</v>
      </c>
      <c r="K316" s="3">
        <f t="shared" si="306"/>
        <v>0.999999999999999</v>
      </c>
      <c r="L316" s="3">
        <f t="shared" si="306"/>
        <v>0.999999999999999</v>
      </c>
      <c r="M316" s="3" t="e">
        <f t="shared" si="306"/>
        <v>#REF!</v>
      </c>
      <c r="N316" s="3">
        <f t="shared" si="306"/>
        <v>1</v>
      </c>
      <c r="O316" s="3">
        <f t="shared" si="306"/>
        <v>1</v>
      </c>
      <c r="P316" s="3">
        <f t="shared" si="306"/>
        <v>1</v>
      </c>
      <c r="Q316" s="3">
        <f t="shared" si="306"/>
        <v>1</v>
      </c>
      <c r="R316" s="3">
        <f t="shared" si="306"/>
        <v>1</v>
      </c>
      <c r="S316" s="3">
        <f t="shared" si="306"/>
        <v>1</v>
      </c>
      <c r="T316" s="3">
        <f t="shared" si="306"/>
        <v>1</v>
      </c>
      <c r="U316" s="3">
        <f t="shared" si="306"/>
        <v>1</v>
      </c>
      <c r="V316" s="3">
        <f t="shared" si="306"/>
        <v>1</v>
      </c>
      <c r="W316" s="3">
        <f t="shared" si="306"/>
        <v>1</v>
      </c>
    </row>
    <row r="317" customHeight="1" spans="1:23">
      <c r="A317" s="2">
        <v>304</v>
      </c>
      <c r="B317" s="3">
        <f t="shared" ref="B317:W317" si="307">MIN(1,IF($A317&lt;B$4+B$3,0,IF(B$2=0,1,IF(B$5=0,1/(1+(B$6*EXP(-($A317-B$4)/B$7))),IF(MOD($A317-B$4,B$5)=0,1/(1+(B$6*EXP(-($A317-B$4)/B$7))),1/(1+(B$6*EXP(-(QUOTIENT($A317-B$4,B$5)*B$5)/B$7))))))))</f>
        <v>0.999999999999999</v>
      </c>
      <c r="C317" s="3">
        <f t="shared" si="307"/>
        <v>0.999999999999999</v>
      </c>
      <c r="D317" s="3" t="e">
        <f t="shared" si="307"/>
        <v>#DIV/0!</v>
      </c>
      <c r="E317" s="3" t="e">
        <f t="shared" si="307"/>
        <v>#REF!</v>
      </c>
      <c r="F317" s="3">
        <f t="shared" si="307"/>
        <v>1</v>
      </c>
      <c r="G317" s="3">
        <f t="shared" si="307"/>
        <v>1</v>
      </c>
      <c r="H317" s="3">
        <f t="shared" si="307"/>
        <v>0.999999999999999</v>
      </c>
      <c r="I317" s="3">
        <f t="shared" si="307"/>
        <v>0.999999999999999</v>
      </c>
      <c r="J317" s="3">
        <f t="shared" si="307"/>
        <v>1</v>
      </c>
      <c r="K317" s="3">
        <f t="shared" si="307"/>
        <v>0.999999999999999</v>
      </c>
      <c r="L317" s="3">
        <f t="shared" si="307"/>
        <v>0.999999999999999</v>
      </c>
      <c r="M317" s="3" t="e">
        <f t="shared" si="307"/>
        <v>#REF!</v>
      </c>
      <c r="N317" s="3">
        <f t="shared" si="307"/>
        <v>1</v>
      </c>
      <c r="O317" s="3">
        <f t="shared" si="307"/>
        <v>1</v>
      </c>
      <c r="P317" s="3">
        <f t="shared" si="307"/>
        <v>1</v>
      </c>
      <c r="Q317" s="3">
        <f t="shared" si="307"/>
        <v>1</v>
      </c>
      <c r="R317" s="3">
        <f t="shared" si="307"/>
        <v>1</v>
      </c>
      <c r="S317" s="3">
        <f t="shared" si="307"/>
        <v>1</v>
      </c>
      <c r="T317" s="3">
        <f t="shared" si="307"/>
        <v>1</v>
      </c>
      <c r="U317" s="3">
        <f t="shared" si="307"/>
        <v>1</v>
      </c>
      <c r="V317" s="3">
        <f t="shared" si="307"/>
        <v>1</v>
      </c>
      <c r="W317" s="3">
        <f t="shared" si="307"/>
        <v>1</v>
      </c>
    </row>
    <row r="318" customHeight="1" spans="1:23">
      <c r="A318" s="2">
        <v>305</v>
      </c>
      <c r="B318" s="3">
        <f t="shared" ref="B318:W318" si="308">MIN(1,IF($A318&lt;B$4+B$3,0,IF(B$2=0,1,IF(B$5=0,1/(1+(B$6*EXP(-($A318-B$4)/B$7))),IF(MOD($A318-B$4,B$5)=0,1/(1+(B$6*EXP(-($A318-B$4)/B$7))),1/(1+(B$6*EXP(-(QUOTIENT($A318-B$4,B$5)*B$5)/B$7))))))))</f>
        <v>1</v>
      </c>
      <c r="C318" s="3">
        <f t="shared" si="308"/>
        <v>1</v>
      </c>
      <c r="D318" s="3" t="e">
        <f t="shared" si="308"/>
        <v>#DIV/0!</v>
      </c>
      <c r="E318" s="3" t="e">
        <f t="shared" si="308"/>
        <v>#REF!</v>
      </c>
      <c r="F318" s="3">
        <f t="shared" si="308"/>
        <v>1</v>
      </c>
      <c r="G318" s="3">
        <f t="shared" si="308"/>
        <v>1</v>
      </c>
      <c r="H318" s="3">
        <f t="shared" si="308"/>
        <v>1</v>
      </c>
      <c r="I318" s="3">
        <f t="shared" si="308"/>
        <v>1</v>
      </c>
      <c r="J318" s="3">
        <f t="shared" si="308"/>
        <v>1</v>
      </c>
      <c r="K318" s="3">
        <f t="shared" si="308"/>
        <v>1</v>
      </c>
      <c r="L318" s="3">
        <f t="shared" si="308"/>
        <v>1</v>
      </c>
      <c r="M318" s="3" t="e">
        <f t="shared" si="308"/>
        <v>#REF!</v>
      </c>
      <c r="N318" s="3">
        <f t="shared" si="308"/>
        <v>1</v>
      </c>
      <c r="O318" s="3">
        <f t="shared" si="308"/>
        <v>1</v>
      </c>
      <c r="P318" s="3">
        <f t="shared" si="308"/>
        <v>1</v>
      </c>
      <c r="Q318" s="3">
        <f t="shared" si="308"/>
        <v>1</v>
      </c>
      <c r="R318" s="3">
        <f t="shared" si="308"/>
        <v>1</v>
      </c>
      <c r="S318" s="3">
        <f t="shared" si="308"/>
        <v>1</v>
      </c>
      <c r="T318" s="3">
        <f t="shared" si="308"/>
        <v>1</v>
      </c>
      <c r="U318" s="3">
        <f t="shared" si="308"/>
        <v>1</v>
      </c>
      <c r="V318" s="3">
        <f t="shared" si="308"/>
        <v>1</v>
      </c>
      <c r="W318" s="3">
        <f t="shared" si="308"/>
        <v>1</v>
      </c>
    </row>
    <row r="319" customHeight="1" spans="1:23">
      <c r="A319" s="2">
        <v>306</v>
      </c>
      <c r="B319" s="3">
        <f t="shared" ref="B319:W319" si="309">MIN(1,IF($A319&lt;B$4+B$3,0,IF(B$2=0,1,IF(B$5=0,1/(1+(B$6*EXP(-($A319-B$4)/B$7))),IF(MOD($A319-B$4,B$5)=0,1/(1+(B$6*EXP(-($A319-B$4)/B$7))),1/(1+(B$6*EXP(-(QUOTIENT($A319-B$4,B$5)*B$5)/B$7))))))))</f>
        <v>1</v>
      </c>
      <c r="C319" s="3">
        <f t="shared" si="309"/>
        <v>1</v>
      </c>
      <c r="D319" s="3" t="e">
        <f t="shared" si="309"/>
        <v>#DIV/0!</v>
      </c>
      <c r="E319" s="3" t="e">
        <f t="shared" si="309"/>
        <v>#REF!</v>
      </c>
      <c r="F319" s="3">
        <f t="shared" si="309"/>
        <v>1</v>
      </c>
      <c r="G319" s="3">
        <f t="shared" si="309"/>
        <v>1</v>
      </c>
      <c r="H319" s="3">
        <f t="shared" si="309"/>
        <v>1</v>
      </c>
      <c r="I319" s="3">
        <f t="shared" si="309"/>
        <v>1</v>
      </c>
      <c r="J319" s="3">
        <f t="shared" si="309"/>
        <v>1</v>
      </c>
      <c r="K319" s="3">
        <f t="shared" si="309"/>
        <v>1</v>
      </c>
      <c r="L319" s="3">
        <f t="shared" si="309"/>
        <v>1</v>
      </c>
      <c r="M319" s="3" t="e">
        <f t="shared" si="309"/>
        <v>#REF!</v>
      </c>
      <c r="N319" s="3">
        <f t="shared" si="309"/>
        <v>1</v>
      </c>
      <c r="O319" s="3">
        <f t="shared" si="309"/>
        <v>1</v>
      </c>
      <c r="P319" s="3">
        <f t="shared" si="309"/>
        <v>1</v>
      </c>
      <c r="Q319" s="3">
        <f t="shared" si="309"/>
        <v>1</v>
      </c>
      <c r="R319" s="3">
        <f t="shared" si="309"/>
        <v>1</v>
      </c>
      <c r="S319" s="3">
        <f t="shared" si="309"/>
        <v>1</v>
      </c>
      <c r="T319" s="3">
        <f t="shared" si="309"/>
        <v>1</v>
      </c>
      <c r="U319" s="3">
        <f t="shared" si="309"/>
        <v>1</v>
      </c>
      <c r="V319" s="3">
        <f t="shared" si="309"/>
        <v>1</v>
      </c>
      <c r="W319" s="3">
        <f t="shared" si="309"/>
        <v>1</v>
      </c>
    </row>
    <row r="320" customHeight="1" spans="1:23">
      <c r="A320" s="2">
        <v>307</v>
      </c>
      <c r="B320" s="3">
        <f t="shared" ref="B320:W320" si="310">MIN(1,IF($A320&lt;B$4+B$3,0,IF(B$2=0,1,IF(B$5=0,1/(1+(B$6*EXP(-($A320-B$4)/B$7))),IF(MOD($A320-B$4,B$5)=0,1/(1+(B$6*EXP(-($A320-B$4)/B$7))),1/(1+(B$6*EXP(-(QUOTIENT($A320-B$4,B$5)*B$5)/B$7))))))))</f>
        <v>1</v>
      </c>
      <c r="C320" s="3">
        <f t="shared" si="310"/>
        <v>1</v>
      </c>
      <c r="D320" s="3" t="e">
        <f t="shared" si="310"/>
        <v>#DIV/0!</v>
      </c>
      <c r="E320" s="3" t="e">
        <f t="shared" si="310"/>
        <v>#REF!</v>
      </c>
      <c r="F320" s="3">
        <f t="shared" si="310"/>
        <v>1</v>
      </c>
      <c r="G320" s="3">
        <f t="shared" si="310"/>
        <v>1</v>
      </c>
      <c r="H320" s="3">
        <f t="shared" si="310"/>
        <v>1</v>
      </c>
      <c r="I320" s="3">
        <f t="shared" si="310"/>
        <v>1</v>
      </c>
      <c r="J320" s="3">
        <f t="shared" si="310"/>
        <v>1</v>
      </c>
      <c r="K320" s="3">
        <f t="shared" si="310"/>
        <v>1</v>
      </c>
      <c r="L320" s="3">
        <f t="shared" si="310"/>
        <v>1</v>
      </c>
      <c r="M320" s="3" t="e">
        <f t="shared" si="310"/>
        <v>#REF!</v>
      </c>
      <c r="N320" s="3">
        <f t="shared" si="310"/>
        <v>1</v>
      </c>
      <c r="O320" s="3">
        <f t="shared" si="310"/>
        <v>1</v>
      </c>
      <c r="P320" s="3">
        <f t="shared" si="310"/>
        <v>1</v>
      </c>
      <c r="Q320" s="3">
        <f t="shared" si="310"/>
        <v>1</v>
      </c>
      <c r="R320" s="3">
        <f t="shared" si="310"/>
        <v>1</v>
      </c>
      <c r="S320" s="3">
        <f t="shared" si="310"/>
        <v>1</v>
      </c>
      <c r="T320" s="3">
        <f t="shared" si="310"/>
        <v>1</v>
      </c>
      <c r="U320" s="3">
        <f t="shared" si="310"/>
        <v>1</v>
      </c>
      <c r="V320" s="3">
        <f t="shared" si="310"/>
        <v>1</v>
      </c>
      <c r="W320" s="3">
        <f t="shared" si="310"/>
        <v>1</v>
      </c>
    </row>
    <row r="321" customHeight="1" spans="1:23">
      <c r="A321" s="2">
        <v>308</v>
      </c>
      <c r="B321" s="3">
        <f t="shared" ref="B321:W321" si="311">MIN(1,IF($A321&lt;B$4+B$3,0,IF(B$2=0,1,IF(B$5=0,1/(1+(B$6*EXP(-($A321-B$4)/B$7))),IF(MOD($A321-B$4,B$5)=0,1/(1+(B$6*EXP(-($A321-B$4)/B$7))),1/(1+(B$6*EXP(-(QUOTIENT($A321-B$4,B$5)*B$5)/B$7))))))))</f>
        <v>1</v>
      </c>
      <c r="C321" s="3">
        <f t="shared" si="311"/>
        <v>1</v>
      </c>
      <c r="D321" s="3" t="e">
        <f t="shared" si="311"/>
        <v>#DIV/0!</v>
      </c>
      <c r="E321" s="3" t="e">
        <f t="shared" si="311"/>
        <v>#REF!</v>
      </c>
      <c r="F321" s="3">
        <f t="shared" si="311"/>
        <v>1</v>
      </c>
      <c r="G321" s="3">
        <f t="shared" si="311"/>
        <v>1</v>
      </c>
      <c r="H321" s="3">
        <f t="shared" si="311"/>
        <v>1</v>
      </c>
      <c r="I321" s="3">
        <f t="shared" si="311"/>
        <v>1</v>
      </c>
      <c r="J321" s="3">
        <f t="shared" si="311"/>
        <v>1</v>
      </c>
      <c r="K321" s="3">
        <f t="shared" si="311"/>
        <v>1</v>
      </c>
      <c r="L321" s="3">
        <f t="shared" si="311"/>
        <v>1</v>
      </c>
      <c r="M321" s="3" t="e">
        <f t="shared" si="311"/>
        <v>#REF!</v>
      </c>
      <c r="N321" s="3">
        <f t="shared" si="311"/>
        <v>1</v>
      </c>
      <c r="O321" s="3">
        <f t="shared" si="311"/>
        <v>1</v>
      </c>
      <c r="P321" s="3">
        <f t="shared" si="311"/>
        <v>1</v>
      </c>
      <c r="Q321" s="3">
        <f t="shared" si="311"/>
        <v>1</v>
      </c>
      <c r="R321" s="3">
        <f t="shared" si="311"/>
        <v>1</v>
      </c>
      <c r="S321" s="3">
        <f t="shared" si="311"/>
        <v>1</v>
      </c>
      <c r="T321" s="3">
        <f t="shared" si="311"/>
        <v>1</v>
      </c>
      <c r="U321" s="3">
        <f t="shared" si="311"/>
        <v>1</v>
      </c>
      <c r="V321" s="3">
        <f t="shared" si="311"/>
        <v>1</v>
      </c>
      <c r="W321" s="3">
        <f t="shared" si="311"/>
        <v>1</v>
      </c>
    </row>
    <row r="322" customHeight="1" spans="1:23">
      <c r="A322" s="2">
        <v>309</v>
      </c>
      <c r="B322" s="3">
        <f t="shared" ref="B322:W322" si="312">MIN(1,IF($A322&lt;B$4+B$3,0,IF(B$2=0,1,IF(B$5=0,1/(1+(B$6*EXP(-($A322-B$4)/B$7))),IF(MOD($A322-B$4,B$5)=0,1/(1+(B$6*EXP(-($A322-B$4)/B$7))),1/(1+(B$6*EXP(-(QUOTIENT($A322-B$4,B$5)*B$5)/B$7))))))))</f>
        <v>1</v>
      </c>
      <c r="C322" s="3">
        <f t="shared" si="312"/>
        <v>1</v>
      </c>
      <c r="D322" s="3" t="e">
        <f t="shared" si="312"/>
        <v>#DIV/0!</v>
      </c>
      <c r="E322" s="3" t="e">
        <f t="shared" si="312"/>
        <v>#REF!</v>
      </c>
      <c r="F322" s="3">
        <f t="shared" si="312"/>
        <v>1</v>
      </c>
      <c r="G322" s="3">
        <f t="shared" si="312"/>
        <v>1</v>
      </c>
      <c r="H322" s="3">
        <f t="shared" si="312"/>
        <v>1</v>
      </c>
      <c r="I322" s="3">
        <f t="shared" si="312"/>
        <v>1</v>
      </c>
      <c r="J322" s="3">
        <f t="shared" si="312"/>
        <v>1</v>
      </c>
      <c r="K322" s="3">
        <f t="shared" si="312"/>
        <v>1</v>
      </c>
      <c r="L322" s="3">
        <f t="shared" si="312"/>
        <v>1</v>
      </c>
      <c r="M322" s="3" t="e">
        <f t="shared" si="312"/>
        <v>#REF!</v>
      </c>
      <c r="N322" s="3">
        <f t="shared" si="312"/>
        <v>1</v>
      </c>
      <c r="O322" s="3">
        <f t="shared" si="312"/>
        <v>1</v>
      </c>
      <c r="P322" s="3">
        <f t="shared" si="312"/>
        <v>1</v>
      </c>
      <c r="Q322" s="3">
        <f t="shared" si="312"/>
        <v>1</v>
      </c>
      <c r="R322" s="3">
        <f t="shared" si="312"/>
        <v>1</v>
      </c>
      <c r="S322" s="3">
        <f t="shared" si="312"/>
        <v>1</v>
      </c>
      <c r="T322" s="3">
        <f t="shared" si="312"/>
        <v>1</v>
      </c>
      <c r="U322" s="3">
        <f t="shared" si="312"/>
        <v>1</v>
      </c>
      <c r="V322" s="3">
        <f t="shared" si="312"/>
        <v>1</v>
      </c>
      <c r="W322" s="3">
        <f t="shared" si="312"/>
        <v>1</v>
      </c>
    </row>
    <row r="323" customHeight="1" spans="1:23">
      <c r="A323" s="2">
        <v>310</v>
      </c>
      <c r="B323" s="3">
        <f t="shared" ref="B323:W323" si="313">MIN(1,IF($A323&lt;B$4+B$3,0,IF(B$2=0,1,IF(B$5=0,1/(1+(B$6*EXP(-($A323-B$4)/B$7))),IF(MOD($A323-B$4,B$5)=0,1/(1+(B$6*EXP(-($A323-B$4)/B$7))),1/(1+(B$6*EXP(-(QUOTIENT($A323-B$4,B$5)*B$5)/B$7))))))))</f>
        <v>1</v>
      </c>
      <c r="C323" s="3">
        <f t="shared" si="313"/>
        <v>1</v>
      </c>
      <c r="D323" s="3" t="e">
        <f t="shared" si="313"/>
        <v>#DIV/0!</v>
      </c>
      <c r="E323" s="3" t="e">
        <f t="shared" si="313"/>
        <v>#REF!</v>
      </c>
      <c r="F323" s="3">
        <f t="shared" si="313"/>
        <v>1</v>
      </c>
      <c r="G323" s="3">
        <f t="shared" si="313"/>
        <v>1</v>
      </c>
      <c r="H323" s="3">
        <f t="shared" si="313"/>
        <v>1</v>
      </c>
      <c r="I323" s="3">
        <f t="shared" si="313"/>
        <v>1</v>
      </c>
      <c r="J323" s="3">
        <f t="shared" si="313"/>
        <v>1</v>
      </c>
      <c r="K323" s="3">
        <f t="shared" si="313"/>
        <v>1</v>
      </c>
      <c r="L323" s="3">
        <f t="shared" si="313"/>
        <v>1</v>
      </c>
      <c r="M323" s="3" t="e">
        <f t="shared" si="313"/>
        <v>#REF!</v>
      </c>
      <c r="N323" s="3">
        <f t="shared" si="313"/>
        <v>1</v>
      </c>
      <c r="O323" s="3">
        <f t="shared" si="313"/>
        <v>1</v>
      </c>
      <c r="P323" s="3">
        <f t="shared" si="313"/>
        <v>1</v>
      </c>
      <c r="Q323" s="3">
        <f t="shared" si="313"/>
        <v>1</v>
      </c>
      <c r="R323" s="3">
        <f t="shared" si="313"/>
        <v>1</v>
      </c>
      <c r="S323" s="3">
        <f t="shared" si="313"/>
        <v>1</v>
      </c>
      <c r="T323" s="3">
        <f t="shared" si="313"/>
        <v>1</v>
      </c>
      <c r="U323" s="3">
        <f t="shared" si="313"/>
        <v>1</v>
      </c>
      <c r="V323" s="3">
        <f t="shared" si="313"/>
        <v>1</v>
      </c>
      <c r="W323" s="3">
        <f t="shared" si="313"/>
        <v>1</v>
      </c>
    </row>
    <row r="324" customHeight="1" spans="1:23">
      <c r="A324" s="2">
        <v>311</v>
      </c>
      <c r="B324" s="3">
        <f t="shared" ref="B324:W324" si="314">MIN(1,IF($A324&lt;B$4+B$3,0,IF(B$2=0,1,IF(B$5=0,1/(1+(B$6*EXP(-($A324-B$4)/B$7))),IF(MOD($A324-B$4,B$5)=0,1/(1+(B$6*EXP(-($A324-B$4)/B$7))),1/(1+(B$6*EXP(-(QUOTIENT($A324-B$4,B$5)*B$5)/B$7))))))))</f>
        <v>1</v>
      </c>
      <c r="C324" s="3">
        <f t="shared" si="314"/>
        <v>1</v>
      </c>
      <c r="D324" s="3" t="e">
        <f t="shared" si="314"/>
        <v>#DIV/0!</v>
      </c>
      <c r="E324" s="3" t="e">
        <f t="shared" si="314"/>
        <v>#REF!</v>
      </c>
      <c r="F324" s="3">
        <f t="shared" si="314"/>
        <v>1</v>
      </c>
      <c r="G324" s="3">
        <f t="shared" si="314"/>
        <v>1</v>
      </c>
      <c r="H324" s="3">
        <f t="shared" si="314"/>
        <v>1</v>
      </c>
      <c r="I324" s="3">
        <f t="shared" si="314"/>
        <v>1</v>
      </c>
      <c r="J324" s="3">
        <f t="shared" si="314"/>
        <v>1</v>
      </c>
      <c r="K324" s="3">
        <f t="shared" si="314"/>
        <v>1</v>
      </c>
      <c r="L324" s="3">
        <f t="shared" si="314"/>
        <v>1</v>
      </c>
      <c r="M324" s="3" t="e">
        <f t="shared" si="314"/>
        <v>#REF!</v>
      </c>
      <c r="N324" s="3">
        <f t="shared" si="314"/>
        <v>1</v>
      </c>
      <c r="O324" s="3">
        <f t="shared" si="314"/>
        <v>1</v>
      </c>
      <c r="P324" s="3">
        <f t="shared" si="314"/>
        <v>1</v>
      </c>
      <c r="Q324" s="3">
        <f t="shared" si="314"/>
        <v>1</v>
      </c>
      <c r="R324" s="3">
        <f t="shared" si="314"/>
        <v>1</v>
      </c>
      <c r="S324" s="3">
        <f t="shared" si="314"/>
        <v>1</v>
      </c>
      <c r="T324" s="3">
        <f t="shared" si="314"/>
        <v>1</v>
      </c>
      <c r="U324" s="3">
        <f t="shared" si="314"/>
        <v>1</v>
      </c>
      <c r="V324" s="3">
        <f t="shared" si="314"/>
        <v>1</v>
      </c>
      <c r="W324" s="3">
        <f t="shared" si="314"/>
        <v>1</v>
      </c>
    </row>
    <row r="325" customHeight="1" spans="1:23">
      <c r="A325" s="2">
        <v>312</v>
      </c>
      <c r="B325" s="3">
        <f t="shared" ref="B325:W325" si="315">MIN(1,IF($A325&lt;B$4+B$3,0,IF(B$2=0,1,IF(B$5=0,1/(1+(B$6*EXP(-($A325-B$4)/B$7))),IF(MOD($A325-B$4,B$5)=0,1/(1+(B$6*EXP(-($A325-B$4)/B$7))),1/(1+(B$6*EXP(-(QUOTIENT($A325-B$4,B$5)*B$5)/B$7))))))))</f>
        <v>1</v>
      </c>
      <c r="C325" s="3">
        <f t="shared" si="315"/>
        <v>1</v>
      </c>
      <c r="D325" s="3" t="e">
        <f t="shared" si="315"/>
        <v>#DIV/0!</v>
      </c>
      <c r="E325" s="3" t="e">
        <f t="shared" si="315"/>
        <v>#REF!</v>
      </c>
      <c r="F325" s="3">
        <f t="shared" si="315"/>
        <v>1</v>
      </c>
      <c r="G325" s="3">
        <f t="shared" si="315"/>
        <v>1</v>
      </c>
      <c r="H325" s="3">
        <f t="shared" si="315"/>
        <v>1</v>
      </c>
      <c r="I325" s="3">
        <f t="shared" si="315"/>
        <v>1</v>
      </c>
      <c r="J325" s="3">
        <f t="shared" si="315"/>
        <v>1</v>
      </c>
      <c r="K325" s="3">
        <f t="shared" si="315"/>
        <v>1</v>
      </c>
      <c r="L325" s="3">
        <f t="shared" si="315"/>
        <v>1</v>
      </c>
      <c r="M325" s="3" t="e">
        <f t="shared" si="315"/>
        <v>#REF!</v>
      </c>
      <c r="N325" s="3">
        <f t="shared" si="315"/>
        <v>1</v>
      </c>
      <c r="O325" s="3">
        <f t="shared" si="315"/>
        <v>1</v>
      </c>
      <c r="P325" s="3">
        <f t="shared" si="315"/>
        <v>1</v>
      </c>
      <c r="Q325" s="3">
        <f t="shared" si="315"/>
        <v>1</v>
      </c>
      <c r="R325" s="3">
        <f t="shared" si="315"/>
        <v>1</v>
      </c>
      <c r="S325" s="3">
        <f t="shared" si="315"/>
        <v>1</v>
      </c>
      <c r="T325" s="3">
        <f t="shared" si="315"/>
        <v>1</v>
      </c>
      <c r="U325" s="3">
        <f t="shared" si="315"/>
        <v>1</v>
      </c>
      <c r="V325" s="3">
        <f t="shared" si="315"/>
        <v>1</v>
      </c>
      <c r="W325" s="3">
        <f t="shared" si="315"/>
        <v>1</v>
      </c>
    </row>
    <row r="326" customHeight="1" spans="1:23">
      <c r="A326" s="2">
        <v>313</v>
      </c>
      <c r="B326" s="3">
        <f t="shared" ref="B326:W326" si="316">MIN(1,IF($A326&lt;B$4+B$3,0,IF(B$2=0,1,IF(B$5=0,1/(1+(B$6*EXP(-($A326-B$4)/B$7))),IF(MOD($A326-B$4,B$5)=0,1/(1+(B$6*EXP(-($A326-B$4)/B$7))),1/(1+(B$6*EXP(-(QUOTIENT($A326-B$4,B$5)*B$5)/B$7))))))))</f>
        <v>1</v>
      </c>
      <c r="C326" s="3">
        <f t="shared" si="316"/>
        <v>1</v>
      </c>
      <c r="D326" s="3" t="e">
        <f t="shared" si="316"/>
        <v>#DIV/0!</v>
      </c>
      <c r="E326" s="3" t="e">
        <f t="shared" si="316"/>
        <v>#REF!</v>
      </c>
      <c r="F326" s="3">
        <f t="shared" si="316"/>
        <v>1</v>
      </c>
      <c r="G326" s="3">
        <f t="shared" si="316"/>
        <v>1</v>
      </c>
      <c r="H326" s="3">
        <f t="shared" si="316"/>
        <v>1</v>
      </c>
      <c r="I326" s="3">
        <f t="shared" si="316"/>
        <v>1</v>
      </c>
      <c r="J326" s="3">
        <f t="shared" si="316"/>
        <v>1</v>
      </c>
      <c r="K326" s="3">
        <f t="shared" si="316"/>
        <v>1</v>
      </c>
      <c r="L326" s="3">
        <f t="shared" si="316"/>
        <v>1</v>
      </c>
      <c r="M326" s="3" t="e">
        <f t="shared" si="316"/>
        <v>#REF!</v>
      </c>
      <c r="N326" s="3">
        <f t="shared" si="316"/>
        <v>1</v>
      </c>
      <c r="O326" s="3">
        <f t="shared" si="316"/>
        <v>1</v>
      </c>
      <c r="P326" s="3">
        <f t="shared" si="316"/>
        <v>1</v>
      </c>
      <c r="Q326" s="3">
        <f t="shared" si="316"/>
        <v>1</v>
      </c>
      <c r="R326" s="3">
        <f t="shared" si="316"/>
        <v>1</v>
      </c>
      <c r="S326" s="3">
        <f t="shared" si="316"/>
        <v>1</v>
      </c>
      <c r="T326" s="3">
        <f t="shared" si="316"/>
        <v>1</v>
      </c>
      <c r="U326" s="3">
        <f t="shared" si="316"/>
        <v>1</v>
      </c>
      <c r="V326" s="3">
        <f t="shared" si="316"/>
        <v>1</v>
      </c>
      <c r="W326" s="3">
        <f t="shared" si="316"/>
        <v>1</v>
      </c>
    </row>
    <row r="327" customHeight="1" spans="1:23">
      <c r="A327" s="2">
        <v>314</v>
      </c>
      <c r="B327" s="3">
        <f t="shared" ref="B327:W327" si="317">MIN(1,IF($A327&lt;B$4+B$3,0,IF(B$2=0,1,IF(B$5=0,1/(1+(B$6*EXP(-($A327-B$4)/B$7))),IF(MOD($A327-B$4,B$5)=0,1/(1+(B$6*EXP(-($A327-B$4)/B$7))),1/(1+(B$6*EXP(-(QUOTIENT($A327-B$4,B$5)*B$5)/B$7))))))))</f>
        <v>1</v>
      </c>
      <c r="C327" s="3">
        <f t="shared" si="317"/>
        <v>1</v>
      </c>
      <c r="D327" s="3" t="e">
        <f t="shared" si="317"/>
        <v>#DIV/0!</v>
      </c>
      <c r="E327" s="3" t="e">
        <f t="shared" si="317"/>
        <v>#REF!</v>
      </c>
      <c r="F327" s="3">
        <f t="shared" si="317"/>
        <v>1</v>
      </c>
      <c r="G327" s="3">
        <f t="shared" si="317"/>
        <v>1</v>
      </c>
      <c r="H327" s="3">
        <f t="shared" si="317"/>
        <v>1</v>
      </c>
      <c r="I327" s="3">
        <f t="shared" si="317"/>
        <v>1</v>
      </c>
      <c r="J327" s="3">
        <f t="shared" si="317"/>
        <v>1</v>
      </c>
      <c r="K327" s="3">
        <f t="shared" si="317"/>
        <v>1</v>
      </c>
      <c r="L327" s="3">
        <f t="shared" si="317"/>
        <v>1</v>
      </c>
      <c r="M327" s="3" t="e">
        <f t="shared" si="317"/>
        <v>#REF!</v>
      </c>
      <c r="N327" s="3">
        <f t="shared" si="317"/>
        <v>1</v>
      </c>
      <c r="O327" s="3">
        <f t="shared" si="317"/>
        <v>1</v>
      </c>
      <c r="P327" s="3">
        <f t="shared" si="317"/>
        <v>1</v>
      </c>
      <c r="Q327" s="3">
        <f t="shared" si="317"/>
        <v>1</v>
      </c>
      <c r="R327" s="3">
        <f t="shared" si="317"/>
        <v>1</v>
      </c>
      <c r="S327" s="3">
        <f t="shared" si="317"/>
        <v>1</v>
      </c>
      <c r="T327" s="3">
        <f t="shared" si="317"/>
        <v>1</v>
      </c>
      <c r="U327" s="3">
        <f t="shared" si="317"/>
        <v>1</v>
      </c>
      <c r="V327" s="3">
        <f t="shared" si="317"/>
        <v>1</v>
      </c>
      <c r="W327" s="3">
        <f t="shared" si="317"/>
        <v>1</v>
      </c>
    </row>
    <row r="328" customHeight="1" spans="1:23">
      <c r="A328" s="2">
        <v>315</v>
      </c>
      <c r="B328" s="3">
        <f t="shared" ref="B328:W328" si="318">MIN(1,IF($A328&lt;B$4+B$3,0,IF(B$2=0,1,IF(B$5=0,1/(1+(B$6*EXP(-($A328-B$4)/B$7))),IF(MOD($A328-B$4,B$5)=0,1/(1+(B$6*EXP(-($A328-B$4)/B$7))),1/(1+(B$6*EXP(-(QUOTIENT($A328-B$4,B$5)*B$5)/B$7))))))))</f>
        <v>1</v>
      </c>
      <c r="C328" s="3">
        <f t="shared" si="318"/>
        <v>1</v>
      </c>
      <c r="D328" s="3" t="e">
        <f t="shared" si="318"/>
        <v>#DIV/0!</v>
      </c>
      <c r="E328" s="3" t="e">
        <f t="shared" si="318"/>
        <v>#REF!</v>
      </c>
      <c r="F328" s="3">
        <f t="shared" si="318"/>
        <v>1</v>
      </c>
      <c r="G328" s="3">
        <f t="shared" si="318"/>
        <v>1</v>
      </c>
      <c r="H328" s="3">
        <f t="shared" si="318"/>
        <v>1</v>
      </c>
      <c r="I328" s="3">
        <f t="shared" si="318"/>
        <v>1</v>
      </c>
      <c r="J328" s="3">
        <f t="shared" si="318"/>
        <v>1</v>
      </c>
      <c r="K328" s="3">
        <f t="shared" si="318"/>
        <v>1</v>
      </c>
      <c r="L328" s="3">
        <f t="shared" si="318"/>
        <v>1</v>
      </c>
      <c r="M328" s="3" t="e">
        <f t="shared" si="318"/>
        <v>#REF!</v>
      </c>
      <c r="N328" s="3">
        <f t="shared" si="318"/>
        <v>1</v>
      </c>
      <c r="O328" s="3">
        <f t="shared" si="318"/>
        <v>1</v>
      </c>
      <c r="P328" s="3">
        <f t="shared" si="318"/>
        <v>1</v>
      </c>
      <c r="Q328" s="3">
        <f t="shared" si="318"/>
        <v>1</v>
      </c>
      <c r="R328" s="3">
        <f t="shared" si="318"/>
        <v>1</v>
      </c>
      <c r="S328" s="3">
        <f t="shared" si="318"/>
        <v>1</v>
      </c>
      <c r="T328" s="3">
        <f t="shared" si="318"/>
        <v>1</v>
      </c>
      <c r="U328" s="3">
        <f t="shared" si="318"/>
        <v>1</v>
      </c>
      <c r="V328" s="3">
        <f t="shared" si="318"/>
        <v>1</v>
      </c>
      <c r="W328" s="3">
        <f t="shared" si="318"/>
        <v>1</v>
      </c>
    </row>
    <row r="329" customHeight="1" spans="1:23">
      <c r="A329" s="2">
        <v>316</v>
      </c>
      <c r="B329" s="3">
        <f t="shared" ref="B329:W329" si="319">MIN(1,IF($A329&lt;B$4+B$3,0,IF(B$2=0,1,IF(B$5=0,1/(1+(B$6*EXP(-($A329-B$4)/B$7))),IF(MOD($A329-B$4,B$5)=0,1/(1+(B$6*EXP(-($A329-B$4)/B$7))),1/(1+(B$6*EXP(-(QUOTIENT($A329-B$4,B$5)*B$5)/B$7))))))))</f>
        <v>1</v>
      </c>
      <c r="C329" s="3">
        <f t="shared" si="319"/>
        <v>1</v>
      </c>
      <c r="D329" s="3" t="e">
        <f t="shared" si="319"/>
        <v>#DIV/0!</v>
      </c>
      <c r="E329" s="3" t="e">
        <f t="shared" si="319"/>
        <v>#REF!</v>
      </c>
      <c r="F329" s="3">
        <f t="shared" si="319"/>
        <v>1</v>
      </c>
      <c r="G329" s="3">
        <f t="shared" si="319"/>
        <v>1</v>
      </c>
      <c r="H329" s="3">
        <f t="shared" si="319"/>
        <v>1</v>
      </c>
      <c r="I329" s="3">
        <f t="shared" si="319"/>
        <v>1</v>
      </c>
      <c r="J329" s="3">
        <f t="shared" si="319"/>
        <v>1</v>
      </c>
      <c r="K329" s="3">
        <f t="shared" si="319"/>
        <v>1</v>
      </c>
      <c r="L329" s="3">
        <f t="shared" si="319"/>
        <v>1</v>
      </c>
      <c r="M329" s="3" t="e">
        <f t="shared" si="319"/>
        <v>#REF!</v>
      </c>
      <c r="N329" s="3">
        <f t="shared" si="319"/>
        <v>1</v>
      </c>
      <c r="O329" s="3">
        <f t="shared" si="319"/>
        <v>1</v>
      </c>
      <c r="P329" s="3">
        <f t="shared" si="319"/>
        <v>1</v>
      </c>
      <c r="Q329" s="3">
        <f t="shared" si="319"/>
        <v>1</v>
      </c>
      <c r="R329" s="3">
        <f t="shared" si="319"/>
        <v>1</v>
      </c>
      <c r="S329" s="3">
        <f t="shared" si="319"/>
        <v>1</v>
      </c>
      <c r="T329" s="3">
        <f t="shared" si="319"/>
        <v>1</v>
      </c>
      <c r="U329" s="3">
        <f t="shared" si="319"/>
        <v>1</v>
      </c>
      <c r="V329" s="3">
        <f t="shared" si="319"/>
        <v>1</v>
      </c>
      <c r="W329" s="3">
        <f t="shared" si="319"/>
        <v>1</v>
      </c>
    </row>
    <row r="330" customHeight="1" spans="1:23">
      <c r="A330" s="2">
        <v>317</v>
      </c>
      <c r="B330" s="3">
        <f t="shared" ref="B330:W330" si="320">MIN(1,IF($A330&lt;B$4+B$3,0,IF(B$2=0,1,IF(B$5=0,1/(1+(B$6*EXP(-($A330-B$4)/B$7))),IF(MOD($A330-B$4,B$5)=0,1/(1+(B$6*EXP(-($A330-B$4)/B$7))),1/(1+(B$6*EXP(-(QUOTIENT($A330-B$4,B$5)*B$5)/B$7))))))))</f>
        <v>1</v>
      </c>
      <c r="C330" s="3">
        <f t="shared" si="320"/>
        <v>1</v>
      </c>
      <c r="D330" s="3" t="e">
        <f t="shared" si="320"/>
        <v>#DIV/0!</v>
      </c>
      <c r="E330" s="3" t="e">
        <f t="shared" si="320"/>
        <v>#REF!</v>
      </c>
      <c r="F330" s="3">
        <f t="shared" si="320"/>
        <v>1</v>
      </c>
      <c r="G330" s="3">
        <f t="shared" si="320"/>
        <v>1</v>
      </c>
      <c r="H330" s="3">
        <f t="shared" si="320"/>
        <v>1</v>
      </c>
      <c r="I330" s="3">
        <f t="shared" si="320"/>
        <v>1</v>
      </c>
      <c r="J330" s="3">
        <f t="shared" si="320"/>
        <v>1</v>
      </c>
      <c r="K330" s="3">
        <f t="shared" si="320"/>
        <v>1</v>
      </c>
      <c r="L330" s="3">
        <f t="shared" si="320"/>
        <v>1</v>
      </c>
      <c r="M330" s="3" t="e">
        <f t="shared" si="320"/>
        <v>#REF!</v>
      </c>
      <c r="N330" s="3">
        <f t="shared" si="320"/>
        <v>1</v>
      </c>
      <c r="O330" s="3">
        <f t="shared" si="320"/>
        <v>1</v>
      </c>
      <c r="P330" s="3">
        <f t="shared" si="320"/>
        <v>1</v>
      </c>
      <c r="Q330" s="3">
        <f t="shared" si="320"/>
        <v>1</v>
      </c>
      <c r="R330" s="3">
        <f t="shared" si="320"/>
        <v>1</v>
      </c>
      <c r="S330" s="3">
        <f t="shared" si="320"/>
        <v>1</v>
      </c>
      <c r="T330" s="3">
        <f t="shared" si="320"/>
        <v>1</v>
      </c>
      <c r="U330" s="3">
        <f t="shared" si="320"/>
        <v>1</v>
      </c>
      <c r="V330" s="3">
        <f t="shared" si="320"/>
        <v>1</v>
      </c>
      <c r="W330" s="3">
        <f t="shared" si="320"/>
        <v>1</v>
      </c>
    </row>
    <row r="331" customHeight="1" spans="1:23">
      <c r="A331" s="2">
        <v>318</v>
      </c>
      <c r="B331" s="3">
        <f t="shared" ref="B331:W331" si="321">MIN(1,IF($A331&lt;B$4+B$3,0,IF(B$2=0,1,IF(B$5=0,1/(1+(B$6*EXP(-($A331-B$4)/B$7))),IF(MOD($A331-B$4,B$5)=0,1/(1+(B$6*EXP(-($A331-B$4)/B$7))),1/(1+(B$6*EXP(-(QUOTIENT($A331-B$4,B$5)*B$5)/B$7))))))))</f>
        <v>1</v>
      </c>
      <c r="C331" s="3">
        <f t="shared" si="321"/>
        <v>1</v>
      </c>
      <c r="D331" s="3" t="e">
        <f t="shared" si="321"/>
        <v>#DIV/0!</v>
      </c>
      <c r="E331" s="3" t="e">
        <f t="shared" si="321"/>
        <v>#REF!</v>
      </c>
      <c r="F331" s="3">
        <f t="shared" si="321"/>
        <v>1</v>
      </c>
      <c r="G331" s="3">
        <f t="shared" si="321"/>
        <v>1</v>
      </c>
      <c r="H331" s="3">
        <f t="shared" si="321"/>
        <v>1</v>
      </c>
      <c r="I331" s="3">
        <f t="shared" si="321"/>
        <v>1</v>
      </c>
      <c r="J331" s="3">
        <f t="shared" si="321"/>
        <v>1</v>
      </c>
      <c r="K331" s="3">
        <f t="shared" si="321"/>
        <v>1</v>
      </c>
      <c r="L331" s="3">
        <f t="shared" si="321"/>
        <v>1</v>
      </c>
      <c r="M331" s="3" t="e">
        <f t="shared" si="321"/>
        <v>#REF!</v>
      </c>
      <c r="N331" s="3">
        <f t="shared" si="321"/>
        <v>1</v>
      </c>
      <c r="O331" s="3">
        <f t="shared" si="321"/>
        <v>1</v>
      </c>
      <c r="P331" s="3">
        <f t="shared" si="321"/>
        <v>1</v>
      </c>
      <c r="Q331" s="3">
        <f t="shared" si="321"/>
        <v>1</v>
      </c>
      <c r="R331" s="3">
        <f t="shared" si="321"/>
        <v>1</v>
      </c>
      <c r="S331" s="3">
        <f t="shared" si="321"/>
        <v>1</v>
      </c>
      <c r="T331" s="3">
        <f t="shared" si="321"/>
        <v>1</v>
      </c>
      <c r="U331" s="3">
        <f t="shared" si="321"/>
        <v>1</v>
      </c>
      <c r="V331" s="3">
        <f t="shared" si="321"/>
        <v>1</v>
      </c>
      <c r="W331" s="3">
        <f t="shared" si="321"/>
        <v>1</v>
      </c>
    </row>
    <row r="332" customHeight="1" spans="1:23">
      <c r="A332" s="2">
        <v>319</v>
      </c>
      <c r="B332" s="3">
        <f t="shared" ref="B332:W332" si="322">MIN(1,IF($A332&lt;B$4+B$3,0,IF(B$2=0,1,IF(B$5=0,1/(1+(B$6*EXP(-($A332-B$4)/B$7))),IF(MOD($A332-B$4,B$5)=0,1/(1+(B$6*EXP(-($A332-B$4)/B$7))),1/(1+(B$6*EXP(-(QUOTIENT($A332-B$4,B$5)*B$5)/B$7))))))))</f>
        <v>1</v>
      </c>
      <c r="C332" s="3">
        <f t="shared" si="322"/>
        <v>1</v>
      </c>
      <c r="D332" s="3" t="e">
        <f t="shared" si="322"/>
        <v>#DIV/0!</v>
      </c>
      <c r="E332" s="3" t="e">
        <f t="shared" si="322"/>
        <v>#REF!</v>
      </c>
      <c r="F332" s="3">
        <f t="shared" si="322"/>
        <v>1</v>
      </c>
      <c r="G332" s="3">
        <f t="shared" si="322"/>
        <v>1</v>
      </c>
      <c r="H332" s="3">
        <f t="shared" si="322"/>
        <v>1</v>
      </c>
      <c r="I332" s="3">
        <f t="shared" si="322"/>
        <v>1</v>
      </c>
      <c r="J332" s="3">
        <f t="shared" si="322"/>
        <v>1</v>
      </c>
      <c r="K332" s="3">
        <f t="shared" si="322"/>
        <v>1</v>
      </c>
      <c r="L332" s="3">
        <f t="shared" si="322"/>
        <v>1</v>
      </c>
      <c r="M332" s="3" t="e">
        <f t="shared" si="322"/>
        <v>#REF!</v>
      </c>
      <c r="N332" s="3">
        <f t="shared" si="322"/>
        <v>1</v>
      </c>
      <c r="O332" s="3">
        <f t="shared" si="322"/>
        <v>1</v>
      </c>
      <c r="P332" s="3">
        <f t="shared" si="322"/>
        <v>1</v>
      </c>
      <c r="Q332" s="3">
        <f t="shared" si="322"/>
        <v>1</v>
      </c>
      <c r="R332" s="3">
        <f t="shared" si="322"/>
        <v>1</v>
      </c>
      <c r="S332" s="3">
        <f t="shared" si="322"/>
        <v>1</v>
      </c>
      <c r="T332" s="3">
        <f t="shared" si="322"/>
        <v>1</v>
      </c>
      <c r="U332" s="3">
        <f t="shared" si="322"/>
        <v>1</v>
      </c>
      <c r="V332" s="3">
        <f t="shared" si="322"/>
        <v>1</v>
      </c>
      <c r="W332" s="3">
        <f t="shared" si="322"/>
        <v>1</v>
      </c>
    </row>
    <row r="333" customHeight="1" spans="1:23">
      <c r="A333" s="2">
        <v>320</v>
      </c>
      <c r="B333" s="3">
        <f t="shared" ref="B333:W333" si="323">MIN(1,IF($A333&lt;B$4+B$3,0,IF(B$2=0,1,IF(B$5=0,1/(1+(B$6*EXP(-($A333-B$4)/B$7))),IF(MOD($A333-B$4,B$5)=0,1/(1+(B$6*EXP(-($A333-B$4)/B$7))),1/(1+(B$6*EXP(-(QUOTIENT($A333-B$4,B$5)*B$5)/B$7))))))))</f>
        <v>1</v>
      </c>
      <c r="C333" s="3">
        <f t="shared" si="323"/>
        <v>1</v>
      </c>
      <c r="D333" s="3" t="e">
        <f t="shared" si="323"/>
        <v>#DIV/0!</v>
      </c>
      <c r="E333" s="3" t="e">
        <f t="shared" si="323"/>
        <v>#REF!</v>
      </c>
      <c r="F333" s="3">
        <f t="shared" si="323"/>
        <v>1</v>
      </c>
      <c r="G333" s="3">
        <f t="shared" si="323"/>
        <v>1</v>
      </c>
      <c r="H333" s="3">
        <f t="shared" si="323"/>
        <v>1</v>
      </c>
      <c r="I333" s="3">
        <f t="shared" si="323"/>
        <v>1</v>
      </c>
      <c r="J333" s="3">
        <f t="shared" si="323"/>
        <v>1</v>
      </c>
      <c r="K333" s="3">
        <f t="shared" si="323"/>
        <v>1</v>
      </c>
      <c r="L333" s="3">
        <f t="shared" si="323"/>
        <v>1</v>
      </c>
      <c r="M333" s="3" t="e">
        <f t="shared" si="323"/>
        <v>#REF!</v>
      </c>
      <c r="N333" s="3">
        <f t="shared" si="323"/>
        <v>1</v>
      </c>
      <c r="O333" s="3">
        <f t="shared" si="323"/>
        <v>1</v>
      </c>
      <c r="P333" s="3">
        <f t="shared" si="323"/>
        <v>1</v>
      </c>
      <c r="Q333" s="3">
        <f t="shared" si="323"/>
        <v>1</v>
      </c>
      <c r="R333" s="3">
        <f t="shared" si="323"/>
        <v>1</v>
      </c>
      <c r="S333" s="3">
        <f t="shared" si="323"/>
        <v>1</v>
      </c>
      <c r="T333" s="3">
        <f t="shared" si="323"/>
        <v>1</v>
      </c>
      <c r="U333" s="3">
        <f t="shared" si="323"/>
        <v>1</v>
      </c>
      <c r="V333" s="3">
        <f t="shared" si="323"/>
        <v>1</v>
      </c>
      <c r="W333" s="3">
        <f t="shared" si="323"/>
        <v>1</v>
      </c>
    </row>
    <row r="334" customHeight="1" spans="1:23">
      <c r="A334" s="2">
        <v>321</v>
      </c>
      <c r="B334" s="3">
        <f t="shared" ref="B334:W334" si="324">MIN(1,IF($A334&lt;B$4+B$3,0,IF(B$2=0,1,IF(B$5=0,1/(1+(B$6*EXP(-($A334-B$4)/B$7))),IF(MOD($A334-B$4,B$5)=0,1/(1+(B$6*EXP(-($A334-B$4)/B$7))),1/(1+(B$6*EXP(-(QUOTIENT($A334-B$4,B$5)*B$5)/B$7))))))))</f>
        <v>1</v>
      </c>
      <c r="C334" s="3">
        <f t="shared" si="324"/>
        <v>1</v>
      </c>
      <c r="D334" s="3" t="e">
        <f t="shared" si="324"/>
        <v>#DIV/0!</v>
      </c>
      <c r="E334" s="3" t="e">
        <f t="shared" si="324"/>
        <v>#REF!</v>
      </c>
      <c r="F334" s="3">
        <f t="shared" si="324"/>
        <v>1</v>
      </c>
      <c r="G334" s="3">
        <f t="shared" si="324"/>
        <v>1</v>
      </c>
      <c r="H334" s="3">
        <f t="shared" si="324"/>
        <v>1</v>
      </c>
      <c r="I334" s="3">
        <f t="shared" si="324"/>
        <v>1</v>
      </c>
      <c r="J334" s="3">
        <f t="shared" si="324"/>
        <v>1</v>
      </c>
      <c r="K334" s="3">
        <f t="shared" si="324"/>
        <v>1</v>
      </c>
      <c r="L334" s="3">
        <f t="shared" si="324"/>
        <v>1</v>
      </c>
      <c r="M334" s="3" t="e">
        <f t="shared" si="324"/>
        <v>#REF!</v>
      </c>
      <c r="N334" s="3">
        <f t="shared" si="324"/>
        <v>1</v>
      </c>
      <c r="O334" s="3">
        <f t="shared" si="324"/>
        <v>1</v>
      </c>
      <c r="P334" s="3">
        <f t="shared" si="324"/>
        <v>1</v>
      </c>
      <c r="Q334" s="3">
        <f t="shared" si="324"/>
        <v>1</v>
      </c>
      <c r="R334" s="3">
        <f t="shared" si="324"/>
        <v>1</v>
      </c>
      <c r="S334" s="3">
        <f t="shared" si="324"/>
        <v>1</v>
      </c>
      <c r="T334" s="3">
        <f t="shared" si="324"/>
        <v>1</v>
      </c>
      <c r="U334" s="3">
        <f t="shared" si="324"/>
        <v>1</v>
      </c>
      <c r="V334" s="3">
        <f t="shared" si="324"/>
        <v>1</v>
      </c>
      <c r="W334" s="3">
        <f t="shared" si="324"/>
        <v>1</v>
      </c>
    </row>
    <row r="335" customHeight="1" spans="1:23">
      <c r="A335" s="2">
        <v>322</v>
      </c>
      <c r="B335" s="3">
        <f t="shared" ref="B335:W335" si="325">MIN(1,IF($A335&lt;B$4+B$3,0,IF(B$2=0,1,IF(B$5=0,1/(1+(B$6*EXP(-($A335-B$4)/B$7))),IF(MOD($A335-B$4,B$5)=0,1/(1+(B$6*EXP(-($A335-B$4)/B$7))),1/(1+(B$6*EXP(-(QUOTIENT($A335-B$4,B$5)*B$5)/B$7))))))))</f>
        <v>1</v>
      </c>
      <c r="C335" s="3">
        <f t="shared" si="325"/>
        <v>1</v>
      </c>
      <c r="D335" s="3" t="e">
        <f t="shared" si="325"/>
        <v>#DIV/0!</v>
      </c>
      <c r="E335" s="3" t="e">
        <f t="shared" si="325"/>
        <v>#REF!</v>
      </c>
      <c r="F335" s="3">
        <f t="shared" si="325"/>
        <v>1</v>
      </c>
      <c r="G335" s="3">
        <f t="shared" si="325"/>
        <v>1</v>
      </c>
      <c r="H335" s="3">
        <f t="shared" si="325"/>
        <v>1</v>
      </c>
      <c r="I335" s="3">
        <f t="shared" si="325"/>
        <v>1</v>
      </c>
      <c r="J335" s="3">
        <f t="shared" si="325"/>
        <v>1</v>
      </c>
      <c r="K335" s="3">
        <f t="shared" si="325"/>
        <v>1</v>
      </c>
      <c r="L335" s="3">
        <f t="shared" si="325"/>
        <v>1</v>
      </c>
      <c r="M335" s="3" t="e">
        <f t="shared" si="325"/>
        <v>#REF!</v>
      </c>
      <c r="N335" s="3">
        <f t="shared" si="325"/>
        <v>1</v>
      </c>
      <c r="O335" s="3">
        <f t="shared" si="325"/>
        <v>1</v>
      </c>
      <c r="P335" s="3">
        <f t="shared" si="325"/>
        <v>1</v>
      </c>
      <c r="Q335" s="3">
        <f t="shared" si="325"/>
        <v>1</v>
      </c>
      <c r="R335" s="3">
        <f t="shared" si="325"/>
        <v>1</v>
      </c>
      <c r="S335" s="3">
        <f t="shared" si="325"/>
        <v>1</v>
      </c>
      <c r="T335" s="3">
        <f t="shared" si="325"/>
        <v>1</v>
      </c>
      <c r="U335" s="3">
        <f t="shared" si="325"/>
        <v>1</v>
      </c>
      <c r="V335" s="3">
        <f t="shared" si="325"/>
        <v>1</v>
      </c>
      <c r="W335" s="3">
        <f t="shared" si="325"/>
        <v>1</v>
      </c>
    </row>
    <row r="336" customHeight="1" spans="1:23">
      <c r="A336" s="2">
        <v>323</v>
      </c>
      <c r="B336" s="3">
        <f t="shared" ref="B336:W336" si="326">MIN(1,IF($A336&lt;B$4+B$3,0,IF(B$2=0,1,IF(B$5=0,1/(1+(B$6*EXP(-($A336-B$4)/B$7))),IF(MOD($A336-B$4,B$5)=0,1/(1+(B$6*EXP(-($A336-B$4)/B$7))),1/(1+(B$6*EXP(-(QUOTIENT($A336-B$4,B$5)*B$5)/B$7))))))))</f>
        <v>1</v>
      </c>
      <c r="C336" s="3">
        <f t="shared" si="326"/>
        <v>1</v>
      </c>
      <c r="D336" s="3" t="e">
        <f t="shared" si="326"/>
        <v>#DIV/0!</v>
      </c>
      <c r="E336" s="3" t="e">
        <f t="shared" si="326"/>
        <v>#REF!</v>
      </c>
      <c r="F336" s="3">
        <f t="shared" si="326"/>
        <v>1</v>
      </c>
      <c r="G336" s="3">
        <f t="shared" si="326"/>
        <v>1</v>
      </c>
      <c r="H336" s="3">
        <f t="shared" si="326"/>
        <v>1</v>
      </c>
      <c r="I336" s="3">
        <f t="shared" si="326"/>
        <v>1</v>
      </c>
      <c r="J336" s="3">
        <f t="shared" si="326"/>
        <v>1</v>
      </c>
      <c r="K336" s="3">
        <f t="shared" si="326"/>
        <v>1</v>
      </c>
      <c r="L336" s="3">
        <f t="shared" si="326"/>
        <v>1</v>
      </c>
      <c r="M336" s="3" t="e">
        <f t="shared" si="326"/>
        <v>#REF!</v>
      </c>
      <c r="N336" s="3">
        <f t="shared" si="326"/>
        <v>1</v>
      </c>
      <c r="O336" s="3">
        <f t="shared" si="326"/>
        <v>1</v>
      </c>
      <c r="P336" s="3">
        <f t="shared" si="326"/>
        <v>1</v>
      </c>
      <c r="Q336" s="3">
        <f t="shared" si="326"/>
        <v>1</v>
      </c>
      <c r="R336" s="3">
        <f t="shared" si="326"/>
        <v>1</v>
      </c>
      <c r="S336" s="3">
        <f t="shared" si="326"/>
        <v>1</v>
      </c>
      <c r="T336" s="3">
        <f t="shared" si="326"/>
        <v>1</v>
      </c>
      <c r="U336" s="3">
        <f t="shared" si="326"/>
        <v>1</v>
      </c>
      <c r="V336" s="3">
        <f t="shared" si="326"/>
        <v>1</v>
      </c>
      <c r="W336" s="3">
        <f t="shared" si="326"/>
        <v>1</v>
      </c>
    </row>
    <row r="337" customHeight="1" spans="1:23">
      <c r="A337" s="2">
        <v>324</v>
      </c>
      <c r="B337" s="3">
        <f t="shared" ref="B337:W337" si="327">MIN(1,IF($A337&lt;B$4+B$3,0,IF(B$2=0,1,IF(B$5=0,1/(1+(B$6*EXP(-($A337-B$4)/B$7))),IF(MOD($A337-B$4,B$5)=0,1/(1+(B$6*EXP(-($A337-B$4)/B$7))),1/(1+(B$6*EXP(-(QUOTIENT($A337-B$4,B$5)*B$5)/B$7))))))))</f>
        <v>1</v>
      </c>
      <c r="C337" s="3">
        <f t="shared" si="327"/>
        <v>1</v>
      </c>
      <c r="D337" s="3" t="e">
        <f t="shared" si="327"/>
        <v>#DIV/0!</v>
      </c>
      <c r="E337" s="3" t="e">
        <f t="shared" si="327"/>
        <v>#REF!</v>
      </c>
      <c r="F337" s="3">
        <f t="shared" si="327"/>
        <v>1</v>
      </c>
      <c r="G337" s="3">
        <f t="shared" si="327"/>
        <v>1</v>
      </c>
      <c r="H337" s="3">
        <f t="shared" si="327"/>
        <v>1</v>
      </c>
      <c r="I337" s="3">
        <f t="shared" si="327"/>
        <v>1</v>
      </c>
      <c r="J337" s="3">
        <f t="shared" si="327"/>
        <v>1</v>
      </c>
      <c r="K337" s="3">
        <f t="shared" si="327"/>
        <v>1</v>
      </c>
      <c r="L337" s="3">
        <f t="shared" si="327"/>
        <v>1</v>
      </c>
      <c r="M337" s="3" t="e">
        <f t="shared" si="327"/>
        <v>#REF!</v>
      </c>
      <c r="N337" s="3">
        <f t="shared" si="327"/>
        <v>1</v>
      </c>
      <c r="O337" s="3">
        <f t="shared" si="327"/>
        <v>1</v>
      </c>
      <c r="P337" s="3">
        <f t="shared" si="327"/>
        <v>1</v>
      </c>
      <c r="Q337" s="3">
        <f t="shared" si="327"/>
        <v>1</v>
      </c>
      <c r="R337" s="3">
        <f t="shared" si="327"/>
        <v>1</v>
      </c>
      <c r="S337" s="3">
        <f t="shared" si="327"/>
        <v>1</v>
      </c>
      <c r="T337" s="3">
        <f t="shared" si="327"/>
        <v>1</v>
      </c>
      <c r="U337" s="3">
        <f t="shared" si="327"/>
        <v>1</v>
      </c>
      <c r="V337" s="3">
        <f t="shared" si="327"/>
        <v>1</v>
      </c>
      <c r="W337" s="3">
        <f t="shared" si="327"/>
        <v>1</v>
      </c>
    </row>
    <row r="338" customHeight="1" spans="1:23">
      <c r="A338" s="2">
        <v>325</v>
      </c>
      <c r="B338" s="3">
        <f t="shared" ref="B338:W338" si="328">MIN(1,IF($A338&lt;B$4+B$3,0,IF(B$2=0,1,IF(B$5=0,1/(1+(B$6*EXP(-($A338-B$4)/B$7))),IF(MOD($A338-B$4,B$5)=0,1/(1+(B$6*EXP(-($A338-B$4)/B$7))),1/(1+(B$6*EXP(-(QUOTIENT($A338-B$4,B$5)*B$5)/B$7))))))))</f>
        <v>1</v>
      </c>
      <c r="C338" s="3">
        <f t="shared" si="328"/>
        <v>1</v>
      </c>
      <c r="D338" s="3" t="e">
        <f t="shared" si="328"/>
        <v>#DIV/0!</v>
      </c>
      <c r="E338" s="3" t="e">
        <f t="shared" si="328"/>
        <v>#REF!</v>
      </c>
      <c r="F338" s="3">
        <f t="shared" si="328"/>
        <v>1</v>
      </c>
      <c r="G338" s="3">
        <f t="shared" si="328"/>
        <v>1</v>
      </c>
      <c r="H338" s="3">
        <f t="shared" si="328"/>
        <v>1</v>
      </c>
      <c r="I338" s="3">
        <f t="shared" si="328"/>
        <v>1</v>
      </c>
      <c r="J338" s="3">
        <f t="shared" si="328"/>
        <v>1</v>
      </c>
      <c r="K338" s="3">
        <f t="shared" si="328"/>
        <v>1</v>
      </c>
      <c r="L338" s="3">
        <f t="shared" si="328"/>
        <v>1</v>
      </c>
      <c r="M338" s="3" t="e">
        <f t="shared" si="328"/>
        <v>#REF!</v>
      </c>
      <c r="N338" s="3">
        <f t="shared" si="328"/>
        <v>1</v>
      </c>
      <c r="O338" s="3">
        <f t="shared" si="328"/>
        <v>1</v>
      </c>
      <c r="P338" s="3">
        <f t="shared" si="328"/>
        <v>1</v>
      </c>
      <c r="Q338" s="3">
        <f t="shared" si="328"/>
        <v>1</v>
      </c>
      <c r="R338" s="3">
        <f t="shared" si="328"/>
        <v>1</v>
      </c>
      <c r="S338" s="3">
        <f t="shared" si="328"/>
        <v>1</v>
      </c>
      <c r="T338" s="3">
        <f t="shared" si="328"/>
        <v>1</v>
      </c>
      <c r="U338" s="3">
        <f t="shared" si="328"/>
        <v>1</v>
      </c>
      <c r="V338" s="3">
        <f t="shared" si="328"/>
        <v>1</v>
      </c>
      <c r="W338" s="3">
        <f t="shared" si="328"/>
        <v>1</v>
      </c>
    </row>
    <row r="339" customHeight="1" spans="1:23">
      <c r="A339" s="2">
        <v>326</v>
      </c>
      <c r="B339" s="3">
        <f t="shared" ref="B339:W339" si="329">MIN(1,IF($A339&lt;B$4+B$3,0,IF(B$2=0,1,IF(B$5=0,1/(1+(B$6*EXP(-($A339-B$4)/B$7))),IF(MOD($A339-B$4,B$5)=0,1/(1+(B$6*EXP(-($A339-B$4)/B$7))),1/(1+(B$6*EXP(-(QUOTIENT($A339-B$4,B$5)*B$5)/B$7))))))))</f>
        <v>1</v>
      </c>
      <c r="C339" s="3">
        <f t="shared" si="329"/>
        <v>1</v>
      </c>
      <c r="D339" s="3" t="e">
        <f t="shared" si="329"/>
        <v>#DIV/0!</v>
      </c>
      <c r="E339" s="3" t="e">
        <f t="shared" si="329"/>
        <v>#REF!</v>
      </c>
      <c r="F339" s="3">
        <f t="shared" si="329"/>
        <v>1</v>
      </c>
      <c r="G339" s="3">
        <f t="shared" si="329"/>
        <v>1</v>
      </c>
      <c r="H339" s="3">
        <f t="shared" si="329"/>
        <v>1</v>
      </c>
      <c r="I339" s="3">
        <f t="shared" si="329"/>
        <v>1</v>
      </c>
      <c r="J339" s="3">
        <f t="shared" si="329"/>
        <v>1</v>
      </c>
      <c r="K339" s="3">
        <f t="shared" si="329"/>
        <v>1</v>
      </c>
      <c r="L339" s="3">
        <f t="shared" si="329"/>
        <v>1</v>
      </c>
      <c r="M339" s="3" t="e">
        <f t="shared" si="329"/>
        <v>#REF!</v>
      </c>
      <c r="N339" s="3">
        <f t="shared" si="329"/>
        <v>1</v>
      </c>
      <c r="O339" s="3">
        <f t="shared" si="329"/>
        <v>1</v>
      </c>
      <c r="P339" s="3">
        <f t="shared" si="329"/>
        <v>1</v>
      </c>
      <c r="Q339" s="3">
        <f t="shared" si="329"/>
        <v>1</v>
      </c>
      <c r="R339" s="3">
        <f t="shared" si="329"/>
        <v>1</v>
      </c>
      <c r="S339" s="3">
        <f t="shared" si="329"/>
        <v>1</v>
      </c>
      <c r="T339" s="3">
        <f t="shared" si="329"/>
        <v>1</v>
      </c>
      <c r="U339" s="3">
        <f t="shared" si="329"/>
        <v>1</v>
      </c>
      <c r="V339" s="3">
        <f t="shared" si="329"/>
        <v>1</v>
      </c>
      <c r="W339" s="3">
        <f t="shared" si="329"/>
        <v>1</v>
      </c>
    </row>
    <row r="340" customHeight="1" spans="1:23">
      <c r="A340" s="2">
        <v>327</v>
      </c>
      <c r="B340" s="3">
        <f t="shared" ref="B340:W340" si="330">MIN(1,IF($A340&lt;B$4+B$3,0,IF(B$2=0,1,IF(B$5=0,1/(1+(B$6*EXP(-($A340-B$4)/B$7))),IF(MOD($A340-B$4,B$5)=0,1/(1+(B$6*EXP(-($A340-B$4)/B$7))),1/(1+(B$6*EXP(-(QUOTIENT($A340-B$4,B$5)*B$5)/B$7))))))))</f>
        <v>1</v>
      </c>
      <c r="C340" s="3">
        <f t="shared" si="330"/>
        <v>1</v>
      </c>
      <c r="D340" s="3" t="e">
        <f t="shared" si="330"/>
        <v>#DIV/0!</v>
      </c>
      <c r="E340" s="3" t="e">
        <f t="shared" si="330"/>
        <v>#REF!</v>
      </c>
      <c r="F340" s="3">
        <f t="shared" si="330"/>
        <v>1</v>
      </c>
      <c r="G340" s="3">
        <f t="shared" si="330"/>
        <v>1</v>
      </c>
      <c r="H340" s="3">
        <f t="shared" si="330"/>
        <v>1</v>
      </c>
      <c r="I340" s="3">
        <f t="shared" si="330"/>
        <v>1</v>
      </c>
      <c r="J340" s="3">
        <f t="shared" si="330"/>
        <v>1</v>
      </c>
      <c r="K340" s="3">
        <f t="shared" si="330"/>
        <v>1</v>
      </c>
      <c r="L340" s="3">
        <f t="shared" si="330"/>
        <v>1</v>
      </c>
      <c r="M340" s="3" t="e">
        <f t="shared" si="330"/>
        <v>#REF!</v>
      </c>
      <c r="N340" s="3">
        <f t="shared" si="330"/>
        <v>1</v>
      </c>
      <c r="O340" s="3">
        <f t="shared" si="330"/>
        <v>1</v>
      </c>
      <c r="P340" s="3">
        <f t="shared" si="330"/>
        <v>1</v>
      </c>
      <c r="Q340" s="3">
        <f t="shared" si="330"/>
        <v>1</v>
      </c>
      <c r="R340" s="3">
        <f t="shared" si="330"/>
        <v>1</v>
      </c>
      <c r="S340" s="3">
        <f t="shared" si="330"/>
        <v>1</v>
      </c>
      <c r="T340" s="3">
        <f t="shared" si="330"/>
        <v>1</v>
      </c>
      <c r="U340" s="3">
        <f t="shared" si="330"/>
        <v>1</v>
      </c>
      <c r="V340" s="3">
        <f t="shared" si="330"/>
        <v>1</v>
      </c>
      <c r="W340" s="3">
        <f t="shared" si="330"/>
        <v>1</v>
      </c>
    </row>
    <row r="341" customHeight="1" spans="1:23">
      <c r="A341" s="2">
        <v>328</v>
      </c>
      <c r="B341" s="3">
        <f t="shared" ref="B341:W341" si="331">MIN(1,IF($A341&lt;B$4+B$3,0,IF(B$2=0,1,IF(B$5=0,1/(1+(B$6*EXP(-($A341-B$4)/B$7))),IF(MOD($A341-B$4,B$5)=0,1/(1+(B$6*EXP(-($A341-B$4)/B$7))),1/(1+(B$6*EXP(-(QUOTIENT($A341-B$4,B$5)*B$5)/B$7))))))))</f>
        <v>1</v>
      </c>
      <c r="C341" s="3">
        <f t="shared" si="331"/>
        <v>1</v>
      </c>
      <c r="D341" s="3" t="e">
        <f t="shared" si="331"/>
        <v>#DIV/0!</v>
      </c>
      <c r="E341" s="3" t="e">
        <f t="shared" si="331"/>
        <v>#REF!</v>
      </c>
      <c r="F341" s="3">
        <f t="shared" si="331"/>
        <v>1</v>
      </c>
      <c r="G341" s="3">
        <f t="shared" si="331"/>
        <v>1</v>
      </c>
      <c r="H341" s="3">
        <f t="shared" si="331"/>
        <v>1</v>
      </c>
      <c r="I341" s="3">
        <f t="shared" si="331"/>
        <v>1</v>
      </c>
      <c r="J341" s="3">
        <f t="shared" si="331"/>
        <v>1</v>
      </c>
      <c r="K341" s="3">
        <f t="shared" si="331"/>
        <v>1</v>
      </c>
      <c r="L341" s="3">
        <f t="shared" si="331"/>
        <v>1</v>
      </c>
      <c r="M341" s="3" t="e">
        <f t="shared" si="331"/>
        <v>#REF!</v>
      </c>
      <c r="N341" s="3">
        <f t="shared" si="331"/>
        <v>1</v>
      </c>
      <c r="O341" s="3">
        <f t="shared" si="331"/>
        <v>1</v>
      </c>
      <c r="P341" s="3">
        <f t="shared" si="331"/>
        <v>1</v>
      </c>
      <c r="Q341" s="3">
        <f t="shared" si="331"/>
        <v>1</v>
      </c>
      <c r="R341" s="3">
        <f t="shared" si="331"/>
        <v>1</v>
      </c>
      <c r="S341" s="3">
        <f t="shared" si="331"/>
        <v>1</v>
      </c>
      <c r="T341" s="3">
        <f t="shared" si="331"/>
        <v>1</v>
      </c>
      <c r="U341" s="3">
        <f t="shared" si="331"/>
        <v>1</v>
      </c>
      <c r="V341" s="3">
        <f t="shared" si="331"/>
        <v>1</v>
      </c>
      <c r="W341" s="3">
        <f t="shared" si="331"/>
        <v>1</v>
      </c>
    </row>
    <row r="342" customHeight="1" spans="1:23">
      <c r="A342" s="2">
        <v>329</v>
      </c>
      <c r="B342" s="3">
        <f t="shared" ref="B342:W342" si="332">MIN(1,IF($A342&lt;B$4+B$3,0,IF(B$2=0,1,IF(B$5=0,1/(1+(B$6*EXP(-($A342-B$4)/B$7))),IF(MOD($A342-B$4,B$5)=0,1/(1+(B$6*EXP(-($A342-B$4)/B$7))),1/(1+(B$6*EXP(-(QUOTIENT($A342-B$4,B$5)*B$5)/B$7))))))))</f>
        <v>1</v>
      </c>
      <c r="C342" s="3">
        <f t="shared" si="332"/>
        <v>1</v>
      </c>
      <c r="D342" s="3" t="e">
        <f t="shared" si="332"/>
        <v>#DIV/0!</v>
      </c>
      <c r="E342" s="3" t="e">
        <f t="shared" si="332"/>
        <v>#REF!</v>
      </c>
      <c r="F342" s="3">
        <f t="shared" si="332"/>
        <v>1</v>
      </c>
      <c r="G342" s="3">
        <f t="shared" si="332"/>
        <v>1</v>
      </c>
      <c r="H342" s="3">
        <f t="shared" si="332"/>
        <v>1</v>
      </c>
      <c r="I342" s="3">
        <f t="shared" si="332"/>
        <v>1</v>
      </c>
      <c r="J342" s="3">
        <f t="shared" si="332"/>
        <v>1</v>
      </c>
      <c r="K342" s="3">
        <f t="shared" si="332"/>
        <v>1</v>
      </c>
      <c r="L342" s="3">
        <f t="shared" si="332"/>
        <v>1</v>
      </c>
      <c r="M342" s="3" t="e">
        <f t="shared" si="332"/>
        <v>#REF!</v>
      </c>
      <c r="N342" s="3">
        <f t="shared" si="332"/>
        <v>1</v>
      </c>
      <c r="O342" s="3">
        <f t="shared" si="332"/>
        <v>1</v>
      </c>
      <c r="P342" s="3">
        <f t="shared" si="332"/>
        <v>1</v>
      </c>
      <c r="Q342" s="3">
        <f t="shared" si="332"/>
        <v>1</v>
      </c>
      <c r="R342" s="3">
        <f t="shared" si="332"/>
        <v>1</v>
      </c>
      <c r="S342" s="3">
        <f t="shared" si="332"/>
        <v>1</v>
      </c>
      <c r="T342" s="3">
        <f t="shared" si="332"/>
        <v>1</v>
      </c>
      <c r="U342" s="3">
        <f t="shared" si="332"/>
        <v>1</v>
      </c>
      <c r="V342" s="3">
        <f t="shared" si="332"/>
        <v>1</v>
      </c>
      <c r="W342" s="3">
        <f t="shared" si="332"/>
        <v>1</v>
      </c>
    </row>
    <row r="343" customHeight="1" spans="1:23">
      <c r="A343" s="2">
        <v>330</v>
      </c>
      <c r="B343" s="3">
        <f t="shared" ref="B343:W343" si="333">MIN(1,IF($A343&lt;B$4+B$3,0,IF(B$2=0,1,IF(B$5=0,1/(1+(B$6*EXP(-($A343-B$4)/B$7))),IF(MOD($A343-B$4,B$5)=0,1/(1+(B$6*EXP(-($A343-B$4)/B$7))),1/(1+(B$6*EXP(-(QUOTIENT($A343-B$4,B$5)*B$5)/B$7))))))))</f>
        <v>1</v>
      </c>
      <c r="C343" s="3">
        <f t="shared" si="333"/>
        <v>1</v>
      </c>
      <c r="D343" s="3" t="e">
        <f t="shared" si="333"/>
        <v>#DIV/0!</v>
      </c>
      <c r="E343" s="3" t="e">
        <f t="shared" si="333"/>
        <v>#REF!</v>
      </c>
      <c r="F343" s="3">
        <f t="shared" si="333"/>
        <v>1</v>
      </c>
      <c r="G343" s="3">
        <f t="shared" si="333"/>
        <v>1</v>
      </c>
      <c r="H343" s="3">
        <f t="shared" si="333"/>
        <v>1</v>
      </c>
      <c r="I343" s="3">
        <f t="shared" si="333"/>
        <v>1</v>
      </c>
      <c r="J343" s="3">
        <f t="shared" si="333"/>
        <v>1</v>
      </c>
      <c r="K343" s="3">
        <f t="shared" si="333"/>
        <v>1</v>
      </c>
      <c r="L343" s="3">
        <f t="shared" si="333"/>
        <v>1</v>
      </c>
      <c r="M343" s="3" t="e">
        <f t="shared" si="333"/>
        <v>#REF!</v>
      </c>
      <c r="N343" s="3">
        <f t="shared" si="333"/>
        <v>1</v>
      </c>
      <c r="O343" s="3">
        <f t="shared" si="333"/>
        <v>1</v>
      </c>
      <c r="P343" s="3">
        <f t="shared" si="333"/>
        <v>1</v>
      </c>
      <c r="Q343" s="3">
        <f t="shared" si="333"/>
        <v>1</v>
      </c>
      <c r="R343" s="3">
        <f t="shared" si="333"/>
        <v>1</v>
      </c>
      <c r="S343" s="3">
        <f t="shared" si="333"/>
        <v>1</v>
      </c>
      <c r="T343" s="3">
        <f t="shared" si="333"/>
        <v>1</v>
      </c>
      <c r="U343" s="3">
        <f t="shared" si="333"/>
        <v>1</v>
      </c>
      <c r="V343" s="3">
        <f t="shared" si="333"/>
        <v>1</v>
      </c>
      <c r="W343" s="3">
        <f t="shared" si="333"/>
        <v>1</v>
      </c>
    </row>
    <row r="344" customHeight="1" spans="1:23">
      <c r="A344" s="2">
        <v>331</v>
      </c>
      <c r="B344" s="3">
        <f t="shared" ref="B344:W344" si="334">MIN(1,IF($A344&lt;B$4+B$3,0,IF(B$2=0,1,IF(B$5=0,1/(1+(B$6*EXP(-($A344-B$4)/B$7))),IF(MOD($A344-B$4,B$5)=0,1/(1+(B$6*EXP(-($A344-B$4)/B$7))),1/(1+(B$6*EXP(-(QUOTIENT($A344-B$4,B$5)*B$5)/B$7))))))))</f>
        <v>1</v>
      </c>
      <c r="C344" s="3">
        <f t="shared" si="334"/>
        <v>1</v>
      </c>
      <c r="D344" s="3" t="e">
        <f t="shared" si="334"/>
        <v>#DIV/0!</v>
      </c>
      <c r="E344" s="3" t="e">
        <f t="shared" si="334"/>
        <v>#REF!</v>
      </c>
      <c r="F344" s="3">
        <f t="shared" si="334"/>
        <v>1</v>
      </c>
      <c r="G344" s="3">
        <f t="shared" si="334"/>
        <v>1</v>
      </c>
      <c r="H344" s="3">
        <f t="shared" si="334"/>
        <v>1</v>
      </c>
      <c r="I344" s="3">
        <f t="shared" si="334"/>
        <v>1</v>
      </c>
      <c r="J344" s="3">
        <f t="shared" si="334"/>
        <v>1</v>
      </c>
      <c r="K344" s="3">
        <f t="shared" si="334"/>
        <v>1</v>
      </c>
      <c r="L344" s="3">
        <f t="shared" si="334"/>
        <v>1</v>
      </c>
      <c r="M344" s="3" t="e">
        <f t="shared" si="334"/>
        <v>#REF!</v>
      </c>
      <c r="N344" s="3">
        <f t="shared" si="334"/>
        <v>1</v>
      </c>
      <c r="O344" s="3">
        <f t="shared" si="334"/>
        <v>1</v>
      </c>
      <c r="P344" s="3">
        <f t="shared" si="334"/>
        <v>1</v>
      </c>
      <c r="Q344" s="3">
        <f t="shared" si="334"/>
        <v>1</v>
      </c>
      <c r="R344" s="3">
        <f t="shared" si="334"/>
        <v>1</v>
      </c>
      <c r="S344" s="3">
        <f t="shared" si="334"/>
        <v>1</v>
      </c>
      <c r="T344" s="3">
        <f t="shared" si="334"/>
        <v>1</v>
      </c>
      <c r="U344" s="3">
        <f t="shared" si="334"/>
        <v>1</v>
      </c>
      <c r="V344" s="3">
        <f t="shared" si="334"/>
        <v>1</v>
      </c>
      <c r="W344" s="3">
        <f t="shared" si="334"/>
        <v>1</v>
      </c>
    </row>
    <row r="345" customHeight="1" spans="1:23">
      <c r="A345" s="2">
        <v>332</v>
      </c>
      <c r="B345" s="3">
        <f t="shared" ref="B345:W345" si="335">MIN(1,IF($A345&lt;B$4+B$3,0,IF(B$2=0,1,IF(B$5=0,1/(1+(B$6*EXP(-($A345-B$4)/B$7))),IF(MOD($A345-B$4,B$5)=0,1/(1+(B$6*EXP(-($A345-B$4)/B$7))),1/(1+(B$6*EXP(-(QUOTIENT($A345-B$4,B$5)*B$5)/B$7))))))))</f>
        <v>1</v>
      </c>
      <c r="C345" s="3">
        <f t="shared" si="335"/>
        <v>1</v>
      </c>
      <c r="D345" s="3" t="e">
        <f t="shared" si="335"/>
        <v>#DIV/0!</v>
      </c>
      <c r="E345" s="3" t="e">
        <f t="shared" si="335"/>
        <v>#REF!</v>
      </c>
      <c r="F345" s="3">
        <f t="shared" si="335"/>
        <v>1</v>
      </c>
      <c r="G345" s="3">
        <f t="shared" si="335"/>
        <v>1</v>
      </c>
      <c r="H345" s="3">
        <f t="shared" si="335"/>
        <v>1</v>
      </c>
      <c r="I345" s="3">
        <f t="shared" si="335"/>
        <v>1</v>
      </c>
      <c r="J345" s="3">
        <f t="shared" si="335"/>
        <v>1</v>
      </c>
      <c r="K345" s="3">
        <f t="shared" si="335"/>
        <v>1</v>
      </c>
      <c r="L345" s="3">
        <f t="shared" si="335"/>
        <v>1</v>
      </c>
      <c r="M345" s="3" t="e">
        <f t="shared" si="335"/>
        <v>#REF!</v>
      </c>
      <c r="N345" s="3">
        <f t="shared" si="335"/>
        <v>1</v>
      </c>
      <c r="O345" s="3">
        <f t="shared" si="335"/>
        <v>1</v>
      </c>
      <c r="P345" s="3">
        <f t="shared" si="335"/>
        <v>1</v>
      </c>
      <c r="Q345" s="3">
        <f t="shared" si="335"/>
        <v>1</v>
      </c>
      <c r="R345" s="3">
        <f t="shared" si="335"/>
        <v>1</v>
      </c>
      <c r="S345" s="3">
        <f t="shared" si="335"/>
        <v>1</v>
      </c>
      <c r="T345" s="3">
        <f t="shared" si="335"/>
        <v>1</v>
      </c>
      <c r="U345" s="3">
        <f t="shared" si="335"/>
        <v>1</v>
      </c>
      <c r="V345" s="3">
        <f t="shared" si="335"/>
        <v>1</v>
      </c>
      <c r="W345" s="3">
        <f t="shared" si="335"/>
        <v>1</v>
      </c>
    </row>
    <row r="346" customHeight="1" spans="1:23">
      <c r="A346" s="2">
        <v>333</v>
      </c>
      <c r="B346" s="3">
        <f t="shared" ref="B346:W346" si="336">MIN(1,IF($A346&lt;B$4+B$3,0,IF(B$2=0,1,IF(B$5=0,1/(1+(B$6*EXP(-($A346-B$4)/B$7))),IF(MOD($A346-B$4,B$5)=0,1/(1+(B$6*EXP(-($A346-B$4)/B$7))),1/(1+(B$6*EXP(-(QUOTIENT($A346-B$4,B$5)*B$5)/B$7))))))))</f>
        <v>1</v>
      </c>
      <c r="C346" s="3">
        <f t="shared" si="336"/>
        <v>1</v>
      </c>
      <c r="D346" s="3" t="e">
        <f t="shared" si="336"/>
        <v>#DIV/0!</v>
      </c>
      <c r="E346" s="3" t="e">
        <f t="shared" si="336"/>
        <v>#REF!</v>
      </c>
      <c r="F346" s="3">
        <f t="shared" si="336"/>
        <v>1</v>
      </c>
      <c r="G346" s="3">
        <f t="shared" si="336"/>
        <v>1</v>
      </c>
      <c r="H346" s="3">
        <f t="shared" si="336"/>
        <v>1</v>
      </c>
      <c r="I346" s="3">
        <f t="shared" si="336"/>
        <v>1</v>
      </c>
      <c r="J346" s="3">
        <f t="shared" si="336"/>
        <v>1</v>
      </c>
      <c r="K346" s="3">
        <f t="shared" si="336"/>
        <v>1</v>
      </c>
      <c r="L346" s="3">
        <f t="shared" si="336"/>
        <v>1</v>
      </c>
      <c r="M346" s="3" t="e">
        <f t="shared" si="336"/>
        <v>#REF!</v>
      </c>
      <c r="N346" s="3">
        <f t="shared" si="336"/>
        <v>1</v>
      </c>
      <c r="O346" s="3">
        <f t="shared" si="336"/>
        <v>1</v>
      </c>
      <c r="P346" s="3">
        <f t="shared" si="336"/>
        <v>1</v>
      </c>
      <c r="Q346" s="3">
        <f t="shared" si="336"/>
        <v>1</v>
      </c>
      <c r="R346" s="3">
        <f t="shared" si="336"/>
        <v>1</v>
      </c>
      <c r="S346" s="3">
        <f t="shared" si="336"/>
        <v>1</v>
      </c>
      <c r="T346" s="3">
        <f t="shared" si="336"/>
        <v>1</v>
      </c>
      <c r="U346" s="3">
        <f t="shared" si="336"/>
        <v>1</v>
      </c>
      <c r="V346" s="3">
        <f t="shared" si="336"/>
        <v>1</v>
      </c>
      <c r="W346" s="3">
        <f t="shared" si="336"/>
        <v>1</v>
      </c>
    </row>
    <row r="347" customHeight="1" spans="1:23">
      <c r="A347" s="2">
        <v>334</v>
      </c>
      <c r="B347" s="3">
        <f t="shared" ref="B347:W347" si="337">MIN(1,IF($A347&lt;B$4+B$3,0,IF(B$2=0,1,IF(B$5=0,1/(1+(B$6*EXP(-($A347-B$4)/B$7))),IF(MOD($A347-B$4,B$5)=0,1/(1+(B$6*EXP(-($A347-B$4)/B$7))),1/(1+(B$6*EXP(-(QUOTIENT($A347-B$4,B$5)*B$5)/B$7))))))))</f>
        <v>1</v>
      </c>
      <c r="C347" s="3">
        <f t="shared" si="337"/>
        <v>1</v>
      </c>
      <c r="D347" s="3" t="e">
        <f t="shared" si="337"/>
        <v>#DIV/0!</v>
      </c>
      <c r="E347" s="3" t="e">
        <f t="shared" si="337"/>
        <v>#REF!</v>
      </c>
      <c r="F347" s="3">
        <f t="shared" si="337"/>
        <v>1</v>
      </c>
      <c r="G347" s="3">
        <f t="shared" si="337"/>
        <v>1</v>
      </c>
      <c r="H347" s="3">
        <f t="shared" si="337"/>
        <v>1</v>
      </c>
      <c r="I347" s="3">
        <f t="shared" si="337"/>
        <v>1</v>
      </c>
      <c r="J347" s="3">
        <f t="shared" si="337"/>
        <v>1</v>
      </c>
      <c r="K347" s="3">
        <f t="shared" si="337"/>
        <v>1</v>
      </c>
      <c r="L347" s="3">
        <f t="shared" si="337"/>
        <v>1</v>
      </c>
      <c r="M347" s="3" t="e">
        <f t="shared" si="337"/>
        <v>#REF!</v>
      </c>
      <c r="N347" s="3">
        <f t="shared" si="337"/>
        <v>1</v>
      </c>
      <c r="O347" s="3">
        <f t="shared" si="337"/>
        <v>1</v>
      </c>
      <c r="P347" s="3">
        <f t="shared" si="337"/>
        <v>1</v>
      </c>
      <c r="Q347" s="3">
        <f t="shared" si="337"/>
        <v>1</v>
      </c>
      <c r="R347" s="3">
        <f t="shared" si="337"/>
        <v>1</v>
      </c>
      <c r="S347" s="3">
        <f t="shared" si="337"/>
        <v>1</v>
      </c>
      <c r="T347" s="3">
        <f t="shared" si="337"/>
        <v>1</v>
      </c>
      <c r="U347" s="3">
        <f t="shared" si="337"/>
        <v>1</v>
      </c>
      <c r="V347" s="3">
        <f t="shared" si="337"/>
        <v>1</v>
      </c>
      <c r="W347" s="3">
        <f t="shared" si="337"/>
        <v>1</v>
      </c>
    </row>
    <row r="348" customHeight="1" spans="1:23">
      <c r="A348" s="2">
        <v>335</v>
      </c>
      <c r="B348" s="3">
        <f t="shared" ref="B348:W348" si="338">MIN(1,IF($A348&lt;B$4+B$3,0,IF(B$2=0,1,IF(B$5=0,1/(1+(B$6*EXP(-($A348-B$4)/B$7))),IF(MOD($A348-B$4,B$5)=0,1/(1+(B$6*EXP(-($A348-B$4)/B$7))),1/(1+(B$6*EXP(-(QUOTIENT($A348-B$4,B$5)*B$5)/B$7))))))))</f>
        <v>1</v>
      </c>
      <c r="C348" s="3">
        <f t="shared" si="338"/>
        <v>1</v>
      </c>
      <c r="D348" s="3" t="e">
        <f t="shared" si="338"/>
        <v>#DIV/0!</v>
      </c>
      <c r="E348" s="3" t="e">
        <f t="shared" si="338"/>
        <v>#REF!</v>
      </c>
      <c r="F348" s="3">
        <f t="shared" si="338"/>
        <v>1</v>
      </c>
      <c r="G348" s="3">
        <f t="shared" si="338"/>
        <v>1</v>
      </c>
      <c r="H348" s="3">
        <f t="shared" si="338"/>
        <v>1</v>
      </c>
      <c r="I348" s="3">
        <f t="shared" si="338"/>
        <v>1</v>
      </c>
      <c r="J348" s="3">
        <f t="shared" si="338"/>
        <v>1</v>
      </c>
      <c r="K348" s="3">
        <f t="shared" si="338"/>
        <v>1</v>
      </c>
      <c r="L348" s="3">
        <f t="shared" si="338"/>
        <v>1</v>
      </c>
      <c r="M348" s="3" t="e">
        <f t="shared" si="338"/>
        <v>#REF!</v>
      </c>
      <c r="N348" s="3">
        <f t="shared" si="338"/>
        <v>1</v>
      </c>
      <c r="O348" s="3">
        <f t="shared" si="338"/>
        <v>1</v>
      </c>
      <c r="P348" s="3">
        <f t="shared" si="338"/>
        <v>1</v>
      </c>
      <c r="Q348" s="3">
        <f t="shared" si="338"/>
        <v>1</v>
      </c>
      <c r="R348" s="3">
        <f t="shared" si="338"/>
        <v>1</v>
      </c>
      <c r="S348" s="3">
        <f t="shared" si="338"/>
        <v>1</v>
      </c>
      <c r="T348" s="3">
        <f t="shared" si="338"/>
        <v>1</v>
      </c>
      <c r="U348" s="3">
        <f t="shared" si="338"/>
        <v>1</v>
      </c>
      <c r="V348" s="3">
        <f t="shared" si="338"/>
        <v>1</v>
      </c>
      <c r="W348" s="3">
        <f t="shared" si="338"/>
        <v>1</v>
      </c>
    </row>
    <row r="349" customHeight="1" spans="1:23">
      <c r="A349" s="2">
        <v>336</v>
      </c>
      <c r="B349" s="3">
        <f t="shared" ref="B349:W349" si="339">MIN(1,IF($A349&lt;B$4+B$3,0,IF(B$2=0,1,IF(B$5=0,1/(1+(B$6*EXP(-($A349-B$4)/B$7))),IF(MOD($A349-B$4,B$5)=0,1/(1+(B$6*EXP(-($A349-B$4)/B$7))),1/(1+(B$6*EXP(-(QUOTIENT($A349-B$4,B$5)*B$5)/B$7))))))))</f>
        <v>1</v>
      </c>
      <c r="C349" s="3">
        <f t="shared" si="339"/>
        <v>1</v>
      </c>
      <c r="D349" s="3" t="e">
        <f t="shared" si="339"/>
        <v>#DIV/0!</v>
      </c>
      <c r="E349" s="3" t="e">
        <f t="shared" si="339"/>
        <v>#REF!</v>
      </c>
      <c r="F349" s="3">
        <f t="shared" si="339"/>
        <v>1</v>
      </c>
      <c r="G349" s="3">
        <f t="shared" si="339"/>
        <v>1</v>
      </c>
      <c r="H349" s="3">
        <f t="shared" si="339"/>
        <v>1</v>
      </c>
      <c r="I349" s="3">
        <f t="shared" si="339"/>
        <v>1</v>
      </c>
      <c r="J349" s="3">
        <f t="shared" si="339"/>
        <v>1</v>
      </c>
      <c r="K349" s="3">
        <f t="shared" si="339"/>
        <v>1</v>
      </c>
      <c r="L349" s="3">
        <f t="shared" si="339"/>
        <v>1</v>
      </c>
      <c r="M349" s="3" t="e">
        <f t="shared" si="339"/>
        <v>#REF!</v>
      </c>
      <c r="N349" s="3">
        <f t="shared" si="339"/>
        <v>1</v>
      </c>
      <c r="O349" s="3">
        <f t="shared" si="339"/>
        <v>1</v>
      </c>
      <c r="P349" s="3">
        <f t="shared" si="339"/>
        <v>1</v>
      </c>
      <c r="Q349" s="3">
        <f t="shared" si="339"/>
        <v>1</v>
      </c>
      <c r="R349" s="3">
        <f t="shared" si="339"/>
        <v>1</v>
      </c>
      <c r="S349" s="3">
        <f t="shared" si="339"/>
        <v>1</v>
      </c>
      <c r="T349" s="3">
        <f t="shared" si="339"/>
        <v>1</v>
      </c>
      <c r="U349" s="3">
        <f t="shared" si="339"/>
        <v>1</v>
      </c>
      <c r="V349" s="3">
        <f t="shared" si="339"/>
        <v>1</v>
      </c>
      <c r="W349" s="3">
        <f t="shared" si="339"/>
        <v>1</v>
      </c>
    </row>
    <row r="350" customHeight="1" spans="1:23">
      <c r="A350" s="2">
        <v>337</v>
      </c>
      <c r="B350" s="3">
        <f t="shared" ref="B350:W350" si="340">MIN(1,IF($A350&lt;B$4+B$3,0,IF(B$2=0,1,IF(B$5=0,1/(1+(B$6*EXP(-($A350-B$4)/B$7))),IF(MOD($A350-B$4,B$5)=0,1/(1+(B$6*EXP(-($A350-B$4)/B$7))),1/(1+(B$6*EXP(-(QUOTIENT($A350-B$4,B$5)*B$5)/B$7))))))))</f>
        <v>1</v>
      </c>
      <c r="C350" s="3">
        <f t="shared" si="340"/>
        <v>1</v>
      </c>
      <c r="D350" s="3" t="e">
        <f t="shared" si="340"/>
        <v>#DIV/0!</v>
      </c>
      <c r="E350" s="3" t="e">
        <f t="shared" si="340"/>
        <v>#REF!</v>
      </c>
      <c r="F350" s="3">
        <f t="shared" si="340"/>
        <v>1</v>
      </c>
      <c r="G350" s="3">
        <f t="shared" si="340"/>
        <v>1</v>
      </c>
      <c r="H350" s="3">
        <f t="shared" si="340"/>
        <v>1</v>
      </c>
      <c r="I350" s="3">
        <f t="shared" si="340"/>
        <v>1</v>
      </c>
      <c r="J350" s="3">
        <f t="shared" si="340"/>
        <v>1</v>
      </c>
      <c r="K350" s="3">
        <f t="shared" si="340"/>
        <v>1</v>
      </c>
      <c r="L350" s="3">
        <f t="shared" si="340"/>
        <v>1</v>
      </c>
      <c r="M350" s="3" t="e">
        <f t="shared" si="340"/>
        <v>#REF!</v>
      </c>
      <c r="N350" s="3">
        <f t="shared" si="340"/>
        <v>1</v>
      </c>
      <c r="O350" s="3">
        <f t="shared" si="340"/>
        <v>1</v>
      </c>
      <c r="P350" s="3">
        <f t="shared" si="340"/>
        <v>1</v>
      </c>
      <c r="Q350" s="3">
        <f t="shared" si="340"/>
        <v>1</v>
      </c>
      <c r="R350" s="3">
        <f t="shared" si="340"/>
        <v>1</v>
      </c>
      <c r="S350" s="3">
        <f t="shared" si="340"/>
        <v>1</v>
      </c>
      <c r="T350" s="3">
        <f t="shared" si="340"/>
        <v>1</v>
      </c>
      <c r="U350" s="3">
        <f t="shared" si="340"/>
        <v>1</v>
      </c>
      <c r="V350" s="3">
        <f t="shared" si="340"/>
        <v>1</v>
      </c>
      <c r="W350" s="3">
        <f t="shared" si="340"/>
        <v>1</v>
      </c>
    </row>
    <row r="351" customHeight="1" spans="1:23">
      <c r="A351" s="2">
        <v>338</v>
      </c>
      <c r="B351" s="3">
        <f t="shared" ref="B351:W351" si="341">MIN(1,IF($A351&lt;B$4+B$3,0,IF(B$2=0,1,IF(B$5=0,1/(1+(B$6*EXP(-($A351-B$4)/B$7))),IF(MOD($A351-B$4,B$5)=0,1/(1+(B$6*EXP(-($A351-B$4)/B$7))),1/(1+(B$6*EXP(-(QUOTIENT($A351-B$4,B$5)*B$5)/B$7))))))))</f>
        <v>1</v>
      </c>
      <c r="C351" s="3">
        <f t="shared" si="341"/>
        <v>1</v>
      </c>
      <c r="D351" s="3" t="e">
        <f t="shared" si="341"/>
        <v>#DIV/0!</v>
      </c>
      <c r="E351" s="3" t="e">
        <f t="shared" si="341"/>
        <v>#REF!</v>
      </c>
      <c r="F351" s="3">
        <f t="shared" si="341"/>
        <v>1</v>
      </c>
      <c r="G351" s="3">
        <f t="shared" si="341"/>
        <v>1</v>
      </c>
      <c r="H351" s="3">
        <f t="shared" si="341"/>
        <v>1</v>
      </c>
      <c r="I351" s="3">
        <f t="shared" si="341"/>
        <v>1</v>
      </c>
      <c r="J351" s="3">
        <f t="shared" si="341"/>
        <v>1</v>
      </c>
      <c r="K351" s="3">
        <f t="shared" si="341"/>
        <v>1</v>
      </c>
      <c r="L351" s="3">
        <f t="shared" si="341"/>
        <v>1</v>
      </c>
      <c r="M351" s="3" t="e">
        <f t="shared" si="341"/>
        <v>#REF!</v>
      </c>
      <c r="N351" s="3">
        <f t="shared" si="341"/>
        <v>1</v>
      </c>
      <c r="O351" s="3">
        <f t="shared" si="341"/>
        <v>1</v>
      </c>
      <c r="P351" s="3">
        <f t="shared" si="341"/>
        <v>1</v>
      </c>
      <c r="Q351" s="3">
        <f t="shared" si="341"/>
        <v>1</v>
      </c>
      <c r="R351" s="3">
        <f t="shared" si="341"/>
        <v>1</v>
      </c>
      <c r="S351" s="3">
        <f t="shared" si="341"/>
        <v>1</v>
      </c>
      <c r="T351" s="3">
        <f t="shared" si="341"/>
        <v>1</v>
      </c>
      <c r="U351" s="3">
        <f t="shared" si="341"/>
        <v>1</v>
      </c>
      <c r="V351" s="3">
        <f t="shared" si="341"/>
        <v>1</v>
      </c>
      <c r="W351" s="3">
        <f t="shared" si="341"/>
        <v>1</v>
      </c>
    </row>
    <row r="352" customHeight="1" spans="1:23">
      <c r="A352" s="2">
        <v>339</v>
      </c>
      <c r="B352" s="3">
        <f t="shared" ref="B352:W352" si="342">MIN(1,IF($A352&lt;B$4+B$3,0,IF(B$2=0,1,IF(B$5=0,1/(1+(B$6*EXP(-($A352-B$4)/B$7))),IF(MOD($A352-B$4,B$5)=0,1/(1+(B$6*EXP(-($A352-B$4)/B$7))),1/(1+(B$6*EXP(-(QUOTIENT($A352-B$4,B$5)*B$5)/B$7))))))))</f>
        <v>1</v>
      </c>
      <c r="C352" s="3">
        <f t="shared" si="342"/>
        <v>1</v>
      </c>
      <c r="D352" s="3" t="e">
        <f t="shared" si="342"/>
        <v>#DIV/0!</v>
      </c>
      <c r="E352" s="3" t="e">
        <f t="shared" si="342"/>
        <v>#REF!</v>
      </c>
      <c r="F352" s="3">
        <f t="shared" si="342"/>
        <v>1</v>
      </c>
      <c r="G352" s="3">
        <f t="shared" si="342"/>
        <v>1</v>
      </c>
      <c r="H352" s="3">
        <f t="shared" si="342"/>
        <v>1</v>
      </c>
      <c r="I352" s="3">
        <f t="shared" si="342"/>
        <v>1</v>
      </c>
      <c r="J352" s="3">
        <f t="shared" si="342"/>
        <v>1</v>
      </c>
      <c r="K352" s="3">
        <f t="shared" si="342"/>
        <v>1</v>
      </c>
      <c r="L352" s="3">
        <f t="shared" si="342"/>
        <v>1</v>
      </c>
      <c r="M352" s="3" t="e">
        <f t="shared" si="342"/>
        <v>#REF!</v>
      </c>
      <c r="N352" s="3">
        <f t="shared" si="342"/>
        <v>1</v>
      </c>
      <c r="O352" s="3">
        <f t="shared" si="342"/>
        <v>1</v>
      </c>
      <c r="P352" s="3">
        <f t="shared" si="342"/>
        <v>1</v>
      </c>
      <c r="Q352" s="3">
        <f t="shared" si="342"/>
        <v>1</v>
      </c>
      <c r="R352" s="3">
        <f t="shared" si="342"/>
        <v>1</v>
      </c>
      <c r="S352" s="3">
        <f t="shared" si="342"/>
        <v>1</v>
      </c>
      <c r="T352" s="3">
        <f t="shared" si="342"/>
        <v>1</v>
      </c>
      <c r="U352" s="3">
        <f t="shared" si="342"/>
        <v>1</v>
      </c>
      <c r="V352" s="3">
        <f t="shared" si="342"/>
        <v>1</v>
      </c>
      <c r="W352" s="3">
        <f t="shared" si="342"/>
        <v>1</v>
      </c>
    </row>
    <row r="353" customHeight="1" spans="1:23">
      <c r="A353" s="2">
        <v>340</v>
      </c>
      <c r="B353" s="3">
        <f t="shared" ref="B353:W353" si="343">MIN(1,IF($A353&lt;B$4+B$3,0,IF(B$2=0,1,IF(B$5=0,1/(1+(B$6*EXP(-($A353-B$4)/B$7))),IF(MOD($A353-B$4,B$5)=0,1/(1+(B$6*EXP(-($A353-B$4)/B$7))),1/(1+(B$6*EXP(-(QUOTIENT($A353-B$4,B$5)*B$5)/B$7))))))))</f>
        <v>1</v>
      </c>
      <c r="C353" s="3">
        <f t="shared" si="343"/>
        <v>1</v>
      </c>
      <c r="D353" s="3" t="e">
        <f t="shared" si="343"/>
        <v>#DIV/0!</v>
      </c>
      <c r="E353" s="3" t="e">
        <f t="shared" si="343"/>
        <v>#REF!</v>
      </c>
      <c r="F353" s="3">
        <f t="shared" si="343"/>
        <v>1</v>
      </c>
      <c r="G353" s="3">
        <f t="shared" si="343"/>
        <v>1</v>
      </c>
      <c r="H353" s="3">
        <f t="shared" si="343"/>
        <v>1</v>
      </c>
      <c r="I353" s="3">
        <f t="shared" si="343"/>
        <v>1</v>
      </c>
      <c r="J353" s="3">
        <f t="shared" si="343"/>
        <v>1</v>
      </c>
      <c r="K353" s="3">
        <f t="shared" si="343"/>
        <v>1</v>
      </c>
      <c r="L353" s="3">
        <f t="shared" si="343"/>
        <v>1</v>
      </c>
      <c r="M353" s="3" t="e">
        <f t="shared" si="343"/>
        <v>#REF!</v>
      </c>
      <c r="N353" s="3">
        <f t="shared" si="343"/>
        <v>1</v>
      </c>
      <c r="O353" s="3">
        <f t="shared" si="343"/>
        <v>1</v>
      </c>
      <c r="P353" s="3">
        <f t="shared" si="343"/>
        <v>1</v>
      </c>
      <c r="Q353" s="3">
        <f t="shared" si="343"/>
        <v>1</v>
      </c>
      <c r="R353" s="3">
        <f t="shared" si="343"/>
        <v>1</v>
      </c>
      <c r="S353" s="3">
        <f t="shared" si="343"/>
        <v>1</v>
      </c>
      <c r="T353" s="3">
        <f t="shared" si="343"/>
        <v>1</v>
      </c>
      <c r="U353" s="3">
        <f t="shared" si="343"/>
        <v>1</v>
      </c>
      <c r="V353" s="3">
        <f t="shared" si="343"/>
        <v>1</v>
      </c>
      <c r="W353" s="3">
        <f t="shared" si="343"/>
        <v>1</v>
      </c>
    </row>
    <row r="354" customHeight="1" spans="1:23">
      <c r="A354" s="2">
        <v>341</v>
      </c>
      <c r="B354" s="3">
        <f t="shared" ref="B354:W354" si="344">MIN(1,IF($A354&lt;B$4+B$3,0,IF(B$2=0,1,IF(B$5=0,1/(1+(B$6*EXP(-($A354-B$4)/B$7))),IF(MOD($A354-B$4,B$5)=0,1/(1+(B$6*EXP(-($A354-B$4)/B$7))),1/(1+(B$6*EXP(-(QUOTIENT($A354-B$4,B$5)*B$5)/B$7))))))))</f>
        <v>1</v>
      </c>
      <c r="C354" s="3">
        <f t="shared" si="344"/>
        <v>1</v>
      </c>
      <c r="D354" s="3" t="e">
        <f t="shared" si="344"/>
        <v>#DIV/0!</v>
      </c>
      <c r="E354" s="3" t="e">
        <f t="shared" si="344"/>
        <v>#REF!</v>
      </c>
      <c r="F354" s="3">
        <f t="shared" si="344"/>
        <v>1</v>
      </c>
      <c r="G354" s="3">
        <f t="shared" si="344"/>
        <v>1</v>
      </c>
      <c r="H354" s="3">
        <f t="shared" si="344"/>
        <v>1</v>
      </c>
      <c r="I354" s="3">
        <f t="shared" si="344"/>
        <v>1</v>
      </c>
      <c r="J354" s="3">
        <f t="shared" si="344"/>
        <v>1</v>
      </c>
      <c r="K354" s="3">
        <f t="shared" si="344"/>
        <v>1</v>
      </c>
      <c r="L354" s="3">
        <f t="shared" si="344"/>
        <v>1</v>
      </c>
      <c r="M354" s="3" t="e">
        <f t="shared" si="344"/>
        <v>#REF!</v>
      </c>
      <c r="N354" s="3">
        <f t="shared" si="344"/>
        <v>1</v>
      </c>
      <c r="O354" s="3">
        <f t="shared" si="344"/>
        <v>1</v>
      </c>
      <c r="P354" s="3">
        <f t="shared" si="344"/>
        <v>1</v>
      </c>
      <c r="Q354" s="3">
        <f t="shared" si="344"/>
        <v>1</v>
      </c>
      <c r="R354" s="3">
        <f t="shared" si="344"/>
        <v>1</v>
      </c>
      <c r="S354" s="3">
        <f t="shared" si="344"/>
        <v>1</v>
      </c>
      <c r="T354" s="3">
        <f t="shared" si="344"/>
        <v>1</v>
      </c>
      <c r="U354" s="3">
        <f t="shared" si="344"/>
        <v>1</v>
      </c>
      <c r="V354" s="3">
        <f t="shared" si="344"/>
        <v>1</v>
      </c>
      <c r="W354" s="3">
        <f t="shared" si="344"/>
        <v>1</v>
      </c>
    </row>
    <row r="355" customHeight="1" spans="1:23">
      <c r="A355" s="2">
        <v>342</v>
      </c>
      <c r="B355" s="3">
        <f t="shared" ref="B355:W355" si="345">MIN(1,IF($A355&lt;B$4+B$3,0,IF(B$2=0,1,IF(B$5=0,1/(1+(B$6*EXP(-($A355-B$4)/B$7))),IF(MOD($A355-B$4,B$5)=0,1/(1+(B$6*EXP(-($A355-B$4)/B$7))),1/(1+(B$6*EXP(-(QUOTIENT($A355-B$4,B$5)*B$5)/B$7))))))))</f>
        <v>1</v>
      </c>
      <c r="C355" s="3">
        <f t="shared" si="345"/>
        <v>1</v>
      </c>
      <c r="D355" s="3" t="e">
        <f t="shared" si="345"/>
        <v>#DIV/0!</v>
      </c>
      <c r="E355" s="3" t="e">
        <f t="shared" si="345"/>
        <v>#REF!</v>
      </c>
      <c r="F355" s="3">
        <f t="shared" si="345"/>
        <v>1</v>
      </c>
      <c r="G355" s="3">
        <f t="shared" si="345"/>
        <v>1</v>
      </c>
      <c r="H355" s="3">
        <f t="shared" si="345"/>
        <v>1</v>
      </c>
      <c r="I355" s="3">
        <f t="shared" si="345"/>
        <v>1</v>
      </c>
      <c r="J355" s="3">
        <f t="shared" si="345"/>
        <v>1</v>
      </c>
      <c r="K355" s="3">
        <f t="shared" si="345"/>
        <v>1</v>
      </c>
      <c r="L355" s="3">
        <f t="shared" si="345"/>
        <v>1</v>
      </c>
      <c r="M355" s="3" t="e">
        <f t="shared" si="345"/>
        <v>#REF!</v>
      </c>
      <c r="N355" s="3">
        <f t="shared" si="345"/>
        <v>1</v>
      </c>
      <c r="O355" s="3">
        <f t="shared" si="345"/>
        <v>1</v>
      </c>
      <c r="P355" s="3">
        <f t="shared" si="345"/>
        <v>1</v>
      </c>
      <c r="Q355" s="3">
        <f t="shared" si="345"/>
        <v>1</v>
      </c>
      <c r="R355" s="3">
        <f t="shared" si="345"/>
        <v>1</v>
      </c>
      <c r="S355" s="3">
        <f t="shared" si="345"/>
        <v>1</v>
      </c>
      <c r="T355" s="3">
        <f t="shared" si="345"/>
        <v>1</v>
      </c>
      <c r="U355" s="3">
        <f t="shared" si="345"/>
        <v>1</v>
      </c>
      <c r="V355" s="3">
        <f t="shared" si="345"/>
        <v>1</v>
      </c>
      <c r="W355" s="3">
        <f t="shared" si="345"/>
        <v>1</v>
      </c>
    </row>
    <row r="356" customHeight="1" spans="1:23">
      <c r="A356" s="2">
        <v>343</v>
      </c>
      <c r="B356" s="3">
        <f t="shared" ref="B356:W356" si="346">MIN(1,IF($A356&lt;B$4+B$3,0,IF(B$2=0,1,IF(B$5=0,1/(1+(B$6*EXP(-($A356-B$4)/B$7))),IF(MOD($A356-B$4,B$5)=0,1/(1+(B$6*EXP(-($A356-B$4)/B$7))),1/(1+(B$6*EXP(-(QUOTIENT($A356-B$4,B$5)*B$5)/B$7))))))))</f>
        <v>1</v>
      </c>
      <c r="C356" s="3">
        <f t="shared" si="346"/>
        <v>1</v>
      </c>
      <c r="D356" s="3" t="e">
        <f t="shared" si="346"/>
        <v>#DIV/0!</v>
      </c>
      <c r="E356" s="3" t="e">
        <f t="shared" si="346"/>
        <v>#REF!</v>
      </c>
      <c r="F356" s="3">
        <f t="shared" si="346"/>
        <v>1</v>
      </c>
      <c r="G356" s="3">
        <f t="shared" si="346"/>
        <v>1</v>
      </c>
      <c r="H356" s="3">
        <f t="shared" si="346"/>
        <v>1</v>
      </c>
      <c r="I356" s="3">
        <f t="shared" si="346"/>
        <v>1</v>
      </c>
      <c r="J356" s="3">
        <f t="shared" si="346"/>
        <v>1</v>
      </c>
      <c r="K356" s="3">
        <f t="shared" si="346"/>
        <v>1</v>
      </c>
      <c r="L356" s="3">
        <f t="shared" si="346"/>
        <v>1</v>
      </c>
      <c r="M356" s="3" t="e">
        <f t="shared" si="346"/>
        <v>#REF!</v>
      </c>
      <c r="N356" s="3">
        <f t="shared" si="346"/>
        <v>1</v>
      </c>
      <c r="O356" s="3">
        <f t="shared" si="346"/>
        <v>1</v>
      </c>
      <c r="P356" s="3">
        <f t="shared" si="346"/>
        <v>1</v>
      </c>
      <c r="Q356" s="3">
        <f t="shared" si="346"/>
        <v>1</v>
      </c>
      <c r="R356" s="3">
        <f t="shared" si="346"/>
        <v>1</v>
      </c>
      <c r="S356" s="3">
        <f t="shared" si="346"/>
        <v>1</v>
      </c>
      <c r="T356" s="3">
        <f t="shared" si="346"/>
        <v>1</v>
      </c>
      <c r="U356" s="3">
        <f t="shared" si="346"/>
        <v>1</v>
      </c>
      <c r="V356" s="3">
        <f t="shared" si="346"/>
        <v>1</v>
      </c>
      <c r="W356" s="3">
        <f t="shared" si="346"/>
        <v>1</v>
      </c>
    </row>
    <row r="357" customHeight="1" spans="1:23">
      <c r="A357" s="2">
        <v>344</v>
      </c>
      <c r="B357" s="3">
        <f t="shared" ref="B357:W357" si="347">MIN(1,IF($A357&lt;B$4+B$3,0,IF(B$2=0,1,IF(B$5=0,1/(1+(B$6*EXP(-($A357-B$4)/B$7))),IF(MOD($A357-B$4,B$5)=0,1/(1+(B$6*EXP(-($A357-B$4)/B$7))),1/(1+(B$6*EXP(-(QUOTIENT($A357-B$4,B$5)*B$5)/B$7))))))))</f>
        <v>1</v>
      </c>
      <c r="C357" s="3">
        <f t="shared" si="347"/>
        <v>1</v>
      </c>
      <c r="D357" s="3" t="e">
        <f t="shared" si="347"/>
        <v>#DIV/0!</v>
      </c>
      <c r="E357" s="3" t="e">
        <f t="shared" si="347"/>
        <v>#REF!</v>
      </c>
      <c r="F357" s="3">
        <f t="shared" si="347"/>
        <v>1</v>
      </c>
      <c r="G357" s="3">
        <f t="shared" si="347"/>
        <v>1</v>
      </c>
      <c r="H357" s="3">
        <f t="shared" si="347"/>
        <v>1</v>
      </c>
      <c r="I357" s="3">
        <f t="shared" si="347"/>
        <v>1</v>
      </c>
      <c r="J357" s="3">
        <f t="shared" si="347"/>
        <v>1</v>
      </c>
      <c r="K357" s="3">
        <f t="shared" si="347"/>
        <v>1</v>
      </c>
      <c r="L357" s="3">
        <f t="shared" si="347"/>
        <v>1</v>
      </c>
      <c r="M357" s="3" t="e">
        <f t="shared" si="347"/>
        <v>#REF!</v>
      </c>
      <c r="N357" s="3">
        <f t="shared" si="347"/>
        <v>1</v>
      </c>
      <c r="O357" s="3">
        <f t="shared" si="347"/>
        <v>1</v>
      </c>
      <c r="P357" s="3">
        <f t="shared" si="347"/>
        <v>1</v>
      </c>
      <c r="Q357" s="3">
        <f t="shared" si="347"/>
        <v>1</v>
      </c>
      <c r="R357" s="3">
        <f t="shared" si="347"/>
        <v>1</v>
      </c>
      <c r="S357" s="3">
        <f t="shared" si="347"/>
        <v>1</v>
      </c>
      <c r="T357" s="3">
        <f t="shared" si="347"/>
        <v>1</v>
      </c>
      <c r="U357" s="3">
        <f t="shared" si="347"/>
        <v>1</v>
      </c>
      <c r="V357" s="3">
        <f t="shared" si="347"/>
        <v>1</v>
      </c>
      <c r="W357" s="3">
        <f t="shared" si="347"/>
        <v>1</v>
      </c>
    </row>
    <row r="358" customHeight="1" spans="1:23">
      <c r="A358" s="2">
        <v>345</v>
      </c>
      <c r="B358" s="3">
        <f t="shared" ref="B358:W358" si="348">MIN(1,IF($A358&lt;B$4+B$3,0,IF(B$2=0,1,IF(B$5=0,1/(1+(B$6*EXP(-($A358-B$4)/B$7))),IF(MOD($A358-B$4,B$5)=0,1/(1+(B$6*EXP(-($A358-B$4)/B$7))),1/(1+(B$6*EXP(-(QUOTIENT($A358-B$4,B$5)*B$5)/B$7))))))))</f>
        <v>1</v>
      </c>
      <c r="C358" s="3">
        <f t="shared" si="348"/>
        <v>1</v>
      </c>
      <c r="D358" s="3" t="e">
        <f t="shared" si="348"/>
        <v>#DIV/0!</v>
      </c>
      <c r="E358" s="3" t="e">
        <f t="shared" si="348"/>
        <v>#REF!</v>
      </c>
      <c r="F358" s="3">
        <f t="shared" si="348"/>
        <v>1</v>
      </c>
      <c r="G358" s="3">
        <f t="shared" si="348"/>
        <v>1</v>
      </c>
      <c r="H358" s="3">
        <f t="shared" si="348"/>
        <v>1</v>
      </c>
      <c r="I358" s="3">
        <f t="shared" si="348"/>
        <v>1</v>
      </c>
      <c r="J358" s="3">
        <f t="shared" si="348"/>
        <v>1</v>
      </c>
      <c r="K358" s="3">
        <f t="shared" si="348"/>
        <v>1</v>
      </c>
      <c r="L358" s="3">
        <f t="shared" si="348"/>
        <v>1</v>
      </c>
      <c r="M358" s="3" t="e">
        <f t="shared" si="348"/>
        <v>#REF!</v>
      </c>
      <c r="N358" s="3">
        <f t="shared" si="348"/>
        <v>1</v>
      </c>
      <c r="O358" s="3">
        <f t="shared" si="348"/>
        <v>1</v>
      </c>
      <c r="P358" s="3">
        <f t="shared" si="348"/>
        <v>1</v>
      </c>
      <c r="Q358" s="3">
        <f t="shared" si="348"/>
        <v>1</v>
      </c>
      <c r="R358" s="3">
        <f t="shared" si="348"/>
        <v>1</v>
      </c>
      <c r="S358" s="3">
        <f t="shared" si="348"/>
        <v>1</v>
      </c>
      <c r="T358" s="3">
        <f t="shared" si="348"/>
        <v>1</v>
      </c>
      <c r="U358" s="3">
        <f t="shared" si="348"/>
        <v>1</v>
      </c>
      <c r="V358" s="3">
        <f t="shared" si="348"/>
        <v>1</v>
      </c>
      <c r="W358" s="3">
        <f t="shared" si="348"/>
        <v>1</v>
      </c>
    </row>
    <row r="359" customHeight="1" spans="1:23">
      <c r="A359" s="2">
        <v>346</v>
      </c>
      <c r="B359" s="3">
        <f t="shared" ref="B359:W359" si="349">MIN(1,IF($A359&lt;B$4+B$3,0,IF(B$2=0,1,IF(B$5=0,1/(1+(B$6*EXP(-($A359-B$4)/B$7))),IF(MOD($A359-B$4,B$5)=0,1/(1+(B$6*EXP(-($A359-B$4)/B$7))),1/(1+(B$6*EXP(-(QUOTIENT($A359-B$4,B$5)*B$5)/B$7))))))))</f>
        <v>1</v>
      </c>
      <c r="C359" s="3">
        <f t="shared" si="349"/>
        <v>1</v>
      </c>
      <c r="D359" s="3" t="e">
        <f t="shared" si="349"/>
        <v>#DIV/0!</v>
      </c>
      <c r="E359" s="3" t="e">
        <f t="shared" si="349"/>
        <v>#REF!</v>
      </c>
      <c r="F359" s="3">
        <f t="shared" si="349"/>
        <v>1</v>
      </c>
      <c r="G359" s="3">
        <f t="shared" si="349"/>
        <v>1</v>
      </c>
      <c r="H359" s="3">
        <f t="shared" si="349"/>
        <v>1</v>
      </c>
      <c r="I359" s="3">
        <f t="shared" si="349"/>
        <v>1</v>
      </c>
      <c r="J359" s="3">
        <f t="shared" si="349"/>
        <v>1</v>
      </c>
      <c r="K359" s="3">
        <f t="shared" si="349"/>
        <v>1</v>
      </c>
      <c r="L359" s="3">
        <f t="shared" si="349"/>
        <v>1</v>
      </c>
      <c r="M359" s="3" t="e">
        <f t="shared" si="349"/>
        <v>#REF!</v>
      </c>
      <c r="N359" s="3">
        <f t="shared" si="349"/>
        <v>1</v>
      </c>
      <c r="O359" s="3">
        <f t="shared" si="349"/>
        <v>1</v>
      </c>
      <c r="P359" s="3">
        <f t="shared" si="349"/>
        <v>1</v>
      </c>
      <c r="Q359" s="3">
        <f t="shared" si="349"/>
        <v>1</v>
      </c>
      <c r="R359" s="3">
        <f t="shared" si="349"/>
        <v>1</v>
      </c>
      <c r="S359" s="3">
        <f t="shared" si="349"/>
        <v>1</v>
      </c>
      <c r="T359" s="3">
        <f t="shared" si="349"/>
        <v>1</v>
      </c>
      <c r="U359" s="3">
        <f t="shared" si="349"/>
        <v>1</v>
      </c>
      <c r="V359" s="3">
        <f t="shared" si="349"/>
        <v>1</v>
      </c>
      <c r="W359" s="3">
        <f t="shared" si="349"/>
        <v>1</v>
      </c>
    </row>
    <row r="360" customHeight="1" spans="1:23">
      <c r="A360" s="2">
        <v>347</v>
      </c>
      <c r="B360" s="3">
        <f t="shared" ref="B360:W360" si="350">MIN(1,IF($A360&lt;B$4+B$3,0,IF(B$2=0,1,IF(B$5=0,1/(1+(B$6*EXP(-($A360-B$4)/B$7))),IF(MOD($A360-B$4,B$5)=0,1/(1+(B$6*EXP(-($A360-B$4)/B$7))),1/(1+(B$6*EXP(-(QUOTIENT($A360-B$4,B$5)*B$5)/B$7))))))))</f>
        <v>1</v>
      </c>
      <c r="C360" s="3">
        <f t="shared" si="350"/>
        <v>1</v>
      </c>
      <c r="D360" s="3" t="e">
        <f t="shared" si="350"/>
        <v>#DIV/0!</v>
      </c>
      <c r="E360" s="3" t="e">
        <f t="shared" si="350"/>
        <v>#REF!</v>
      </c>
      <c r="F360" s="3">
        <f t="shared" si="350"/>
        <v>1</v>
      </c>
      <c r="G360" s="3">
        <f t="shared" si="350"/>
        <v>1</v>
      </c>
      <c r="H360" s="3">
        <f t="shared" si="350"/>
        <v>1</v>
      </c>
      <c r="I360" s="3">
        <f t="shared" si="350"/>
        <v>1</v>
      </c>
      <c r="J360" s="3">
        <f t="shared" si="350"/>
        <v>1</v>
      </c>
      <c r="K360" s="3">
        <f t="shared" si="350"/>
        <v>1</v>
      </c>
      <c r="L360" s="3">
        <f t="shared" si="350"/>
        <v>1</v>
      </c>
      <c r="M360" s="3" t="e">
        <f t="shared" si="350"/>
        <v>#REF!</v>
      </c>
      <c r="N360" s="3">
        <f t="shared" si="350"/>
        <v>1</v>
      </c>
      <c r="O360" s="3">
        <f t="shared" si="350"/>
        <v>1</v>
      </c>
      <c r="P360" s="3">
        <f t="shared" si="350"/>
        <v>1</v>
      </c>
      <c r="Q360" s="3">
        <f t="shared" si="350"/>
        <v>1</v>
      </c>
      <c r="R360" s="3">
        <f t="shared" si="350"/>
        <v>1</v>
      </c>
      <c r="S360" s="3">
        <f t="shared" si="350"/>
        <v>1</v>
      </c>
      <c r="T360" s="3">
        <f t="shared" si="350"/>
        <v>1</v>
      </c>
      <c r="U360" s="3">
        <f t="shared" si="350"/>
        <v>1</v>
      </c>
      <c r="V360" s="3">
        <f t="shared" si="350"/>
        <v>1</v>
      </c>
      <c r="W360" s="3">
        <f t="shared" si="350"/>
        <v>1</v>
      </c>
    </row>
    <row r="361" customHeight="1" spans="1:23">
      <c r="A361" s="2">
        <v>348</v>
      </c>
      <c r="B361" s="3">
        <f t="shared" ref="B361:W361" si="351">MIN(1,IF($A361&lt;B$4+B$3,0,IF(B$2=0,1,IF(B$5=0,1/(1+(B$6*EXP(-($A361-B$4)/B$7))),IF(MOD($A361-B$4,B$5)=0,1/(1+(B$6*EXP(-($A361-B$4)/B$7))),1/(1+(B$6*EXP(-(QUOTIENT($A361-B$4,B$5)*B$5)/B$7))))))))</f>
        <v>1</v>
      </c>
      <c r="C361" s="3">
        <f t="shared" si="351"/>
        <v>1</v>
      </c>
      <c r="D361" s="3" t="e">
        <f t="shared" si="351"/>
        <v>#DIV/0!</v>
      </c>
      <c r="E361" s="3" t="e">
        <f t="shared" si="351"/>
        <v>#REF!</v>
      </c>
      <c r="F361" s="3">
        <f t="shared" si="351"/>
        <v>1</v>
      </c>
      <c r="G361" s="3">
        <f t="shared" si="351"/>
        <v>1</v>
      </c>
      <c r="H361" s="3">
        <f t="shared" si="351"/>
        <v>1</v>
      </c>
      <c r="I361" s="3">
        <f t="shared" si="351"/>
        <v>1</v>
      </c>
      <c r="J361" s="3">
        <f t="shared" si="351"/>
        <v>1</v>
      </c>
      <c r="K361" s="3">
        <f t="shared" si="351"/>
        <v>1</v>
      </c>
      <c r="L361" s="3">
        <f t="shared" si="351"/>
        <v>1</v>
      </c>
      <c r="M361" s="3" t="e">
        <f t="shared" si="351"/>
        <v>#REF!</v>
      </c>
      <c r="N361" s="3">
        <f t="shared" si="351"/>
        <v>1</v>
      </c>
      <c r="O361" s="3">
        <f t="shared" si="351"/>
        <v>1</v>
      </c>
      <c r="P361" s="3">
        <f t="shared" si="351"/>
        <v>1</v>
      </c>
      <c r="Q361" s="3">
        <f t="shared" si="351"/>
        <v>1</v>
      </c>
      <c r="R361" s="3">
        <f t="shared" si="351"/>
        <v>1</v>
      </c>
      <c r="S361" s="3">
        <f t="shared" si="351"/>
        <v>1</v>
      </c>
      <c r="T361" s="3">
        <f t="shared" si="351"/>
        <v>1</v>
      </c>
      <c r="U361" s="3">
        <f t="shared" si="351"/>
        <v>1</v>
      </c>
      <c r="V361" s="3">
        <f t="shared" si="351"/>
        <v>1</v>
      </c>
      <c r="W361" s="3">
        <f t="shared" si="351"/>
        <v>1</v>
      </c>
    </row>
    <row r="362" customHeight="1" spans="1:23">
      <c r="A362" s="2">
        <v>349</v>
      </c>
      <c r="B362" s="3">
        <f t="shared" ref="B362:W362" si="352">MIN(1,IF($A362&lt;B$4+B$3,0,IF(B$2=0,1,IF(B$5=0,1/(1+(B$6*EXP(-($A362-B$4)/B$7))),IF(MOD($A362-B$4,B$5)=0,1/(1+(B$6*EXP(-($A362-B$4)/B$7))),1/(1+(B$6*EXP(-(QUOTIENT($A362-B$4,B$5)*B$5)/B$7))))))))</f>
        <v>1</v>
      </c>
      <c r="C362" s="3">
        <f t="shared" si="352"/>
        <v>1</v>
      </c>
      <c r="D362" s="3" t="e">
        <f t="shared" si="352"/>
        <v>#DIV/0!</v>
      </c>
      <c r="E362" s="3" t="e">
        <f t="shared" si="352"/>
        <v>#REF!</v>
      </c>
      <c r="F362" s="3">
        <f t="shared" si="352"/>
        <v>1</v>
      </c>
      <c r="G362" s="3">
        <f t="shared" si="352"/>
        <v>1</v>
      </c>
      <c r="H362" s="3">
        <f t="shared" si="352"/>
        <v>1</v>
      </c>
      <c r="I362" s="3">
        <f t="shared" si="352"/>
        <v>1</v>
      </c>
      <c r="J362" s="3">
        <f t="shared" si="352"/>
        <v>1</v>
      </c>
      <c r="K362" s="3">
        <f t="shared" si="352"/>
        <v>1</v>
      </c>
      <c r="L362" s="3">
        <f t="shared" si="352"/>
        <v>1</v>
      </c>
      <c r="M362" s="3" t="e">
        <f t="shared" si="352"/>
        <v>#REF!</v>
      </c>
      <c r="N362" s="3">
        <f t="shared" si="352"/>
        <v>1</v>
      </c>
      <c r="O362" s="3">
        <f t="shared" si="352"/>
        <v>1</v>
      </c>
      <c r="P362" s="3">
        <f t="shared" si="352"/>
        <v>1</v>
      </c>
      <c r="Q362" s="3">
        <f t="shared" si="352"/>
        <v>1</v>
      </c>
      <c r="R362" s="3">
        <f t="shared" si="352"/>
        <v>1</v>
      </c>
      <c r="S362" s="3">
        <f t="shared" si="352"/>
        <v>1</v>
      </c>
      <c r="T362" s="3">
        <f t="shared" si="352"/>
        <v>1</v>
      </c>
      <c r="U362" s="3">
        <f t="shared" si="352"/>
        <v>1</v>
      </c>
      <c r="V362" s="3">
        <f t="shared" si="352"/>
        <v>1</v>
      </c>
      <c r="W362" s="3">
        <f t="shared" si="352"/>
        <v>1</v>
      </c>
    </row>
    <row r="363" customHeight="1" spans="1:23">
      <c r="A363" s="2">
        <v>350</v>
      </c>
      <c r="B363" s="3">
        <f t="shared" ref="B363:W363" si="353">MIN(1,IF($A363&lt;B$4+B$3,0,IF(B$2=0,1,IF(B$5=0,1/(1+(B$6*EXP(-($A363-B$4)/B$7))),IF(MOD($A363-B$4,B$5)=0,1/(1+(B$6*EXP(-($A363-B$4)/B$7))),1/(1+(B$6*EXP(-(QUOTIENT($A363-B$4,B$5)*B$5)/B$7))))))))</f>
        <v>1</v>
      </c>
      <c r="C363" s="3">
        <f t="shared" si="353"/>
        <v>1</v>
      </c>
      <c r="D363" s="3" t="e">
        <f t="shared" si="353"/>
        <v>#DIV/0!</v>
      </c>
      <c r="E363" s="3" t="e">
        <f t="shared" si="353"/>
        <v>#REF!</v>
      </c>
      <c r="F363" s="3">
        <f t="shared" si="353"/>
        <v>1</v>
      </c>
      <c r="G363" s="3">
        <f t="shared" si="353"/>
        <v>1</v>
      </c>
      <c r="H363" s="3">
        <f t="shared" si="353"/>
        <v>1</v>
      </c>
      <c r="I363" s="3">
        <f t="shared" si="353"/>
        <v>1</v>
      </c>
      <c r="J363" s="3">
        <f t="shared" si="353"/>
        <v>1</v>
      </c>
      <c r="K363" s="3">
        <f t="shared" si="353"/>
        <v>1</v>
      </c>
      <c r="L363" s="3">
        <f t="shared" si="353"/>
        <v>1</v>
      </c>
      <c r="M363" s="3" t="e">
        <f t="shared" si="353"/>
        <v>#REF!</v>
      </c>
      <c r="N363" s="3">
        <f t="shared" si="353"/>
        <v>1</v>
      </c>
      <c r="O363" s="3">
        <f t="shared" si="353"/>
        <v>1</v>
      </c>
      <c r="P363" s="3">
        <f t="shared" si="353"/>
        <v>1</v>
      </c>
      <c r="Q363" s="3">
        <f t="shared" si="353"/>
        <v>1</v>
      </c>
      <c r="R363" s="3">
        <f t="shared" si="353"/>
        <v>1</v>
      </c>
      <c r="S363" s="3">
        <f t="shared" si="353"/>
        <v>1</v>
      </c>
      <c r="T363" s="3">
        <f t="shared" si="353"/>
        <v>1</v>
      </c>
      <c r="U363" s="3">
        <f t="shared" si="353"/>
        <v>1</v>
      </c>
      <c r="V363" s="3">
        <f t="shared" si="353"/>
        <v>1</v>
      </c>
      <c r="W363" s="3">
        <f t="shared" si="353"/>
        <v>1</v>
      </c>
    </row>
    <row r="364" customHeight="1" spans="1:23">
      <c r="A364" s="2">
        <v>351</v>
      </c>
      <c r="B364" s="3">
        <f t="shared" ref="B364:W364" si="354">MIN(1,IF($A364&lt;B$4+B$3,0,IF(B$2=0,1,IF(B$5=0,1/(1+(B$6*EXP(-($A364-B$4)/B$7))),IF(MOD($A364-B$4,B$5)=0,1/(1+(B$6*EXP(-($A364-B$4)/B$7))),1/(1+(B$6*EXP(-(QUOTIENT($A364-B$4,B$5)*B$5)/B$7))))))))</f>
        <v>1</v>
      </c>
      <c r="C364" s="3">
        <f t="shared" si="354"/>
        <v>1</v>
      </c>
      <c r="D364" s="3" t="e">
        <f t="shared" si="354"/>
        <v>#DIV/0!</v>
      </c>
      <c r="E364" s="3" t="e">
        <f t="shared" si="354"/>
        <v>#REF!</v>
      </c>
      <c r="F364" s="3">
        <f t="shared" si="354"/>
        <v>1</v>
      </c>
      <c r="G364" s="3">
        <f t="shared" si="354"/>
        <v>1</v>
      </c>
      <c r="H364" s="3">
        <f t="shared" si="354"/>
        <v>1</v>
      </c>
      <c r="I364" s="3">
        <f t="shared" si="354"/>
        <v>1</v>
      </c>
      <c r="J364" s="3">
        <f t="shared" si="354"/>
        <v>1</v>
      </c>
      <c r="K364" s="3">
        <f t="shared" si="354"/>
        <v>1</v>
      </c>
      <c r="L364" s="3">
        <f t="shared" si="354"/>
        <v>1</v>
      </c>
      <c r="M364" s="3" t="e">
        <f t="shared" si="354"/>
        <v>#REF!</v>
      </c>
      <c r="N364" s="3">
        <f t="shared" si="354"/>
        <v>1</v>
      </c>
      <c r="O364" s="3">
        <f t="shared" si="354"/>
        <v>1</v>
      </c>
      <c r="P364" s="3">
        <f t="shared" si="354"/>
        <v>1</v>
      </c>
      <c r="Q364" s="3">
        <f t="shared" si="354"/>
        <v>1</v>
      </c>
      <c r="R364" s="3">
        <f t="shared" si="354"/>
        <v>1</v>
      </c>
      <c r="S364" s="3">
        <f t="shared" si="354"/>
        <v>1</v>
      </c>
      <c r="T364" s="3">
        <f t="shared" si="354"/>
        <v>1</v>
      </c>
      <c r="U364" s="3">
        <f t="shared" si="354"/>
        <v>1</v>
      </c>
      <c r="V364" s="3">
        <f t="shared" si="354"/>
        <v>1</v>
      </c>
      <c r="W364" s="3">
        <f t="shared" si="354"/>
        <v>1</v>
      </c>
    </row>
    <row r="365" customHeight="1" spans="1:23">
      <c r="A365" s="2">
        <v>352</v>
      </c>
      <c r="B365" s="3">
        <f t="shared" ref="B365:W365" si="355">MIN(1,IF($A365&lt;B$4+B$3,0,IF(B$2=0,1,IF(B$5=0,1/(1+(B$6*EXP(-($A365-B$4)/B$7))),IF(MOD($A365-B$4,B$5)=0,1/(1+(B$6*EXP(-($A365-B$4)/B$7))),1/(1+(B$6*EXP(-(QUOTIENT($A365-B$4,B$5)*B$5)/B$7))))))))</f>
        <v>1</v>
      </c>
      <c r="C365" s="3">
        <f t="shared" si="355"/>
        <v>1</v>
      </c>
      <c r="D365" s="3" t="e">
        <f t="shared" si="355"/>
        <v>#DIV/0!</v>
      </c>
      <c r="E365" s="3" t="e">
        <f t="shared" si="355"/>
        <v>#REF!</v>
      </c>
      <c r="F365" s="3">
        <f t="shared" si="355"/>
        <v>1</v>
      </c>
      <c r="G365" s="3">
        <f t="shared" si="355"/>
        <v>1</v>
      </c>
      <c r="H365" s="3">
        <f t="shared" si="355"/>
        <v>1</v>
      </c>
      <c r="I365" s="3">
        <f t="shared" si="355"/>
        <v>1</v>
      </c>
      <c r="J365" s="3">
        <f t="shared" si="355"/>
        <v>1</v>
      </c>
      <c r="K365" s="3">
        <f t="shared" si="355"/>
        <v>1</v>
      </c>
      <c r="L365" s="3">
        <f t="shared" si="355"/>
        <v>1</v>
      </c>
      <c r="M365" s="3" t="e">
        <f t="shared" si="355"/>
        <v>#REF!</v>
      </c>
      <c r="N365" s="3">
        <f t="shared" si="355"/>
        <v>1</v>
      </c>
      <c r="O365" s="3">
        <f t="shared" si="355"/>
        <v>1</v>
      </c>
      <c r="P365" s="3">
        <f t="shared" si="355"/>
        <v>1</v>
      </c>
      <c r="Q365" s="3">
        <f t="shared" si="355"/>
        <v>1</v>
      </c>
      <c r="R365" s="3">
        <f t="shared" si="355"/>
        <v>1</v>
      </c>
      <c r="S365" s="3">
        <f t="shared" si="355"/>
        <v>1</v>
      </c>
      <c r="T365" s="3">
        <f t="shared" si="355"/>
        <v>1</v>
      </c>
      <c r="U365" s="3">
        <f t="shared" si="355"/>
        <v>1</v>
      </c>
      <c r="V365" s="3">
        <f t="shared" si="355"/>
        <v>1</v>
      </c>
      <c r="W365" s="3">
        <f t="shared" si="355"/>
        <v>1</v>
      </c>
    </row>
    <row r="366" customHeight="1" spans="1:23">
      <c r="A366" s="2">
        <v>353</v>
      </c>
      <c r="B366" s="3">
        <f t="shared" ref="B366:W366" si="356">MIN(1,IF($A366&lt;B$4+B$3,0,IF(B$2=0,1,IF(B$5=0,1/(1+(B$6*EXP(-($A366-B$4)/B$7))),IF(MOD($A366-B$4,B$5)=0,1/(1+(B$6*EXP(-($A366-B$4)/B$7))),1/(1+(B$6*EXP(-(QUOTIENT($A366-B$4,B$5)*B$5)/B$7))))))))</f>
        <v>1</v>
      </c>
      <c r="C366" s="3">
        <f t="shared" si="356"/>
        <v>1</v>
      </c>
      <c r="D366" s="3" t="e">
        <f t="shared" si="356"/>
        <v>#DIV/0!</v>
      </c>
      <c r="E366" s="3" t="e">
        <f t="shared" si="356"/>
        <v>#REF!</v>
      </c>
      <c r="F366" s="3">
        <f t="shared" si="356"/>
        <v>1</v>
      </c>
      <c r="G366" s="3">
        <f t="shared" si="356"/>
        <v>1</v>
      </c>
      <c r="H366" s="3">
        <f t="shared" si="356"/>
        <v>1</v>
      </c>
      <c r="I366" s="3">
        <f t="shared" si="356"/>
        <v>1</v>
      </c>
      <c r="J366" s="3">
        <f t="shared" si="356"/>
        <v>1</v>
      </c>
      <c r="K366" s="3">
        <f t="shared" si="356"/>
        <v>1</v>
      </c>
      <c r="L366" s="3">
        <f t="shared" si="356"/>
        <v>1</v>
      </c>
      <c r="M366" s="3" t="e">
        <f t="shared" si="356"/>
        <v>#REF!</v>
      </c>
      <c r="N366" s="3">
        <f t="shared" si="356"/>
        <v>1</v>
      </c>
      <c r="O366" s="3">
        <f t="shared" si="356"/>
        <v>1</v>
      </c>
      <c r="P366" s="3">
        <f t="shared" si="356"/>
        <v>1</v>
      </c>
      <c r="Q366" s="3">
        <f t="shared" si="356"/>
        <v>1</v>
      </c>
      <c r="R366" s="3">
        <f t="shared" si="356"/>
        <v>1</v>
      </c>
      <c r="S366" s="3">
        <f t="shared" si="356"/>
        <v>1</v>
      </c>
      <c r="T366" s="3">
        <f t="shared" si="356"/>
        <v>1</v>
      </c>
      <c r="U366" s="3">
        <f t="shared" si="356"/>
        <v>1</v>
      </c>
      <c r="V366" s="3">
        <f t="shared" si="356"/>
        <v>1</v>
      </c>
      <c r="W366" s="3">
        <f t="shared" si="356"/>
        <v>1</v>
      </c>
    </row>
    <row r="367" customHeight="1" spans="1:23">
      <c r="A367" s="2">
        <v>354</v>
      </c>
      <c r="B367" s="3">
        <f t="shared" ref="B367:W367" si="357">MIN(1,IF($A367&lt;B$4+B$3,0,IF(B$2=0,1,IF(B$5=0,1/(1+(B$6*EXP(-($A367-B$4)/B$7))),IF(MOD($A367-B$4,B$5)=0,1/(1+(B$6*EXP(-($A367-B$4)/B$7))),1/(1+(B$6*EXP(-(QUOTIENT($A367-B$4,B$5)*B$5)/B$7))))))))</f>
        <v>1</v>
      </c>
      <c r="C367" s="3">
        <f t="shared" si="357"/>
        <v>1</v>
      </c>
      <c r="D367" s="3" t="e">
        <f t="shared" si="357"/>
        <v>#DIV/0!</v>
      </c>
      <c r="E367" s="3" t="e">
        <f t="shared" si="357"/>
        <v>#REF!</v>
      </c>
      <c r="F367" s="3">
        <f t="shared" si="357"/>
        <v>1</v>
      </c>
      <c r="G367" s="3">
        <f t="shared" si="357"/>
        <v>1</v>
      </c>
      <c r="H367" s="3">
        <f t="shared" si="357"/>
        <v>1</v>
      </c>
      <c r="I367" s="3">
        <f t="shared" si="357"/>
        <v>1</v>
      </c>
      <c r="J367" s="3">
        <f t="shared" si="357"/>
        <v>1</v>
      </c>
      <c r="K367" s="3">
        <f t="shared" si="357"/>
        <v>1</v>
      </c>
      <c r="L367" s="3">
        <f t="shared" si="357"/>
        <v>1</v>
      </c>
      <c r="M367" s="3" t="e">
        <f t="shared" si="357"/>
        <v>#REF!</v>
      </c>
      <c r="N367" s="3">
        <f t="shared" si="357"/>
        <v>1</v>
      </c>
      <c r="O367" s="3">
        <f t="shared" si="357"/>
        <v>1</v>
      </c>
      <c r="P367" s="3">
        <f t="shared" si="357"/>
        <v>1</v>
      </c>
      <c r="Q367" s="3">
        <f t="shared" si="357"/>
        <v>1</v>
      </c>
      <c r="R367" s="3">
        <f t="shared" si="357"/>
        <v>1</v>
      </c>
      <c r="S367" s="3">
        <f t="shared" si="357"/>
        <v>1</v>
      </c>
      <c r="T367" s="3">
        <f t="shared" si="357"/>
        <v>1</v>
      </c>
      <c r="U367" s="3">
        <f t="shared" si="357"/>
        <v>1</v>
      </c>
      <c r="V367" s="3">
        <f t="shared" si="357"/>
        <v>1</v>
      </c>
      <c r="W367" s="3">
        <f t="shared" si="357"/>
        <v>1</v>
      </c>
    </row>
    <row r="368" customHeight="1" spans="1:23">
      <c r="A368" s="2">
        <v>355</v>
      </c>
      <c r="B368" s="3">
        <f t="shared" ref="B368:W368" si="358">MIN(1,IF($A368&lt;B$4+B$3,0,IF(B$2=0,1,IF(B$5=0,1/(1+(B$6*EXP(-($A368-B$4)/B$7))),IF(MOD($A368-B$4,B$5)=0,1/(1+(B$6*EXP(-($A368-B$4)/B$7))),1/(1+(B$6*EXP(-(QUOTIENT($A368-B$4,B$5)*B$5)/B$7))))))))</f>
        <v>1</v>
      </c>
      <c r="C368" s="3">
        <f t="shared" si="358"/>
        <v>1</v>
      </c>
      <c r="D368" s="3" t="e">
        <f t="shared" si="358"/>
        <v>#DIV/0!</v>
      </c>
      <c r="E368" s="3" t="e">
        <f t="shared" si="358"/>
        <v>#REF!</v>
      </c>
      <c r="F368" s="3">
        <f t="shared" si="358"/>
        <v>1</v>
      </c>
      <c r="G368" s="3">
        <f t="shared" si="358"/>
        <v>1</v>
      </c>
      <c r="H368" s="3">
        <f t="shared" si="358"/>
        <v>1</v>
      </c>
      <c r="I368" s="3">
        <f t="shared" si="358"/>
        <v>1</v>
      </c>
      <c r="J368" s="3">
        <f t="shared" si="358"/>
        <v>1</v>
      </c>
      <c r="K368" s="3">
        <f t="shared" si="358"/>
        <v>1</v>
      </c>
      <c r="L368" s="3">
        <f t="shared" si="358"/>
        <v>1</v>
      </c>
      <c r="M368" s="3" t="e">
        <f t="shared" si="358"/>
        <v>#REF!</v>
      </c>
      <c r="N368" s="3">
        <f t="shared" si="358"/>
        <v>1</v>
      </c>
      <c r="O368" s="3">
        <f t="shared" si="358"/>
        <v>1</v>
      </c>
      <c r="P368" s="3">
        <f t="shared" si="358"/>
        <v>1</v>
      </c>
      <c r="Q368" s="3">
        <f t="shared" si="358"/>
        <v>1</v>
      </c>
      <c r="R368" s="3">
        <f t="shared" si="358"/>
        <v>1</v>
      </c>
      <c r="S368" s="3">
        <f t="shared" si="358"/>
        <v>1</v>
      </c>
      <c r="T368" s="3">
        <f t="shared" si="358"/>
        <v>1</v>
      </c>
      <c r="U368" s="3">
        <f t="shared" si="358"/>
        <v>1</v>
      </c>
      <c r="V368" s="3">
        <f t="shared" si="358"/>
        <v>1</v>
      </c>
      <c r="W368" s="3">
        <f t="shared" si="358"/>
        <v>1</v>
      </c>
    </row>
    <row r="369" customHeight="1" spans="1:23">
      <c r="A369" s="2">
        <v>356</v>
      </c>
      <c r="B369" s="3">
        <f t="shared" ref="B369:W369" si="359">MIN(1,IF($A369&lt;B$4+B$3,0,IF(B$2=0,1,IF(B$5=0,1/(1+(B$6*EXP(-($A369-B$4)/B$7))),IF(MOD($A369-B$4,B$5)=0,1/(1+(B$6*EXP(-($A369-B$4)/B$7))),1/(1+(B$6*EXP(-(QUOTIENT($A369-B$4,B$5)*B$5)/B$7))))))))</f>
        <v>1</v>
      </c>
      <c r="C369" s="3">
        <f t="shared" si="359"/>
        <v>1</v>
      </c>
      <c r="D369" s="3" t="e">
        <f t="shared" si="359"/>
        <v>#DIV/0!</v>
      </c>
      <c r="E369" s="3" t="e">
        <f t="shared" si="359"/>
        <v>#REF!</v>
      </c>
      <c r="F369" s="3">
        <f t="shared" si="359"/>
        <v>1</v>
      </c>
      <c r="G369" s="3">
        <f t="shared" si="359"/>
        <v>1</v>
      </c>
      <c r="H369" s="3">
        <f t="shared" si="359"/>
        <v>1</v>
      </c>
      <c r="I369" s="3">
        <f t="shared" si="359"/>
        <v>1</v>
      </c>
      <c r="J369" s="3">
        <f t="shared" si="359"/>
        <v>1</v>
      </c>
      <c r="K369" s="3">
        <f t="shared" si="359"/>
        <v>1</v>
      </c>
      <c r="L369" s="3">
        <f t="shared" si="359"/>
        <v>1</v>
      </c>
      <c r="M369" s="3" t="e">
        <f t="shared" si="359"/>
        <v>#REF!</v>
      </c>
      <c r="N369" s="3">
        <f t="shared" si="359"/>
        <v>1</v>
      </c>
      <c r="O369" s="3">
        <f t="shared" si="359"/>
        <v>1</v>
      </c>
      <c r="P369" s="3">
        <f t="shared" si="359"/>
        <v>1</v>
      </c>
      <c r="Q369" s="3">
        <f t="shared" si="359"/>
        <v>1</v>
      </c>
      <c r="R369" s="3">
        <f t="shared" si="359"/>
        <v>1</v>
      </c>
      <c r="S369" s="3">
        <f t="shared" si="359"/>
        <v>1</v>
      </c>
      <c r="T369" s="3">
        <f t="shared" si="359"/>
        <v>1</v>
      </c>
      <c r="U369" s="3">
        <f t="shared" si="359"/>
        <v>1</v>
      </c>
      <c r="V369" s="3">
        <f t="shared" si="359"/>
        <v>1</v>
      </c>
      <c r="W369" s="3">
        <f t="shared" si="359"/>
        <v>1</v>
      </c>
    </row>
    <row r="370" customHeight="1" spans="1:23">
      <c r="A370" s="2">
        <v>357</v>
      </c>
      <c r="B370" s="3">
        <f t="shared" ref="B370:W370" si="360">MIN(1,IF($A370&lt;B$4+B$3,0,IF(B$2=0,1,IF(B$5=0,1/(1+(B$6*EXP(-($A370-B$4)/B$7))),IF(MOD($A370-B$4,B$5)=0,1/(1+(B$6*EXP(-($A370-B$4)/B$7))),1/(1+(B$6*EXP(-(QUOTIENT($A370-B$4,B$5)*B$5)/B$7))))))))</f>
        <v>1</v>
      </c>
      <c r="C370" s="3">
        <f t="shared" si="360"/>
        <v>1</v>
      </c>
      <c r="D370" s="3" t="e">
        <f t="shared" si="360"/>
        <v>#DIV/0!</v>
      </c>
      <c r="E370" s="3" t="e">
        <f t="shared" si="360"/>
        <v>#REF!</v>
      </c>
      <c r="F370" s="3">
        <f t="shared" si="360"/>
        <v>1</v>
      </c>
      <c r="G370" s="3">
        <f t="shared" si="360"/>
        <v>1</v>
      </c>
      <c r="H370" s="3">
        <f t="shared" si="360"/>
        <v>1</v>
      </c>
      <c r="I370" s="3">
        <f t="shared" si="360"/>
        <v>1</v>
      </c>
      <c r="J370" s="3">
        <f t="shared" si="360"/>
        <v>1</v>
      </c>
      <c r="K370" s="3">
        <f t="shared" si="360"/>
        <v>1</v>
      </c>
      <c r="L370" s="3">
        <f t="shared" si="360"/>
        <v>1</v>
      </c>
      <c r="M370" s="3" t="e">
        <f t="shared" si="360"/>
        <v>#REF!</v>
      </c>
      <c r="N370" s="3">
        <f t="shared" si="360"/>
        <v>1</v>
      </c>
      <c r="O370" s="3">
        <f t="shared" si="360"/>
        <v>1</v>
      </c>
      <c r="P370" s="3">
        <f t="shared" si="360"/>
        <v>1</v>
      </c>
      <c r="Q370" s="3">
        <f t="shared" si="360"/>
        <v>1</v>
      </c>
      <c r="R370" s="3">
        <f t="shared" si="360"/>
        <v>1</v>
      </c>
      <c r="S370" s="3">
        <f t="shared" si="360"/>
        <v>1</v>
      </c>
      <c r="T370" s="3">
        <f t="shared" si="360"/>
        <v>1</v>
      </c>
      <c r="U370" s="3">
        <f t="shared" si="360"/>
        <v>1</v>
      </c>
      <c r="V370" s="3">
        <f t="shared" si="360"/>
        <v>1</v>
      </c>
      <c r="W370" s="3">
        <f t="shared" si="360"/>
        <v>1</v>
      </c>
    </row>
    <row r="371" customHeight="1" spans="1:23">
      <c r="A371" s="2">
        <v>358</v>
      </c>
      <c r="B371" s="3">
        <f t="shared" ref="B371:W371" si="361">MIN(1,IF($A371&lt;B$4+B$3,0,IF(B$2=0,1,IF(B$5=0,1/(1+(B$6*EXP(-($A371-B$4)/B$7))),IF(MOD($A371-B$4,B$5)=0,1/(1+(B$6*EXP(-($A371-B$4)/B$7))),1/(1+(B$6*EXP(-(QUOTIENT($A371-B$4,B$5)*B$5)/B$7))))))))</f>
        <v>1</v>
      </c>
      <c r="C371" s="3">
        <f t="shared" si="361"/>
        <v>1</v>
      </c>
      <c r="D371" s="3" t="e">
        <f t="shared" si="361"/>
        <v>#DIV/0!</v>
      </c>
      <c r="E371" s="3" t="e">
        <f t="shared" si="361"/>
        <v>#REF!</v>
      </c>
      <c r="F371" s="3">
        <f t="shared" si="361"/>
        <v>1</v>
      </c>
      <c r="G371" s="3">
        <f t="shared" si="361"/>
        <v>1</v>
      </c>
      <c r="H371" s="3">
        <f t="shared" si="361"/>
        <v>1</v>
      </c>
      <c r="I371" s="3">
        <f t="shared" si="361"/>
        <v>1</v>
      </c>
      <c r="J371" s="3">
        <f t="shared" si="361"/>
        <v>1</v>
      </c>
      <c r="K371" s="3">
        <f t="shared" si="361"/>
        <v>1</v>
      </c>
      <c r="L371" s="3">
        <f t="shared" si="361"/>
        <v>1</v>
      </c>
      <c r="M371" s="3" t="e">
        <f t="shared" si="361"/>
        <v>#REF!</v>
      </c>
      <c r="N371" s="3">
        <f t="shared" si="361"/>
        <v>1</v>
      </c>
      <c r="O371" s="3">
        <f t="shared" si="361"/>
        <v>1</v>
      </c>
      <c r="P371" s="3">
        <f t="shared" si="361"/>
        <v>1</v>
      </c>
      <c r="Q371" s="3">
        <f t="shared" si="361"/>
        <v>1</v>
      </c>
      <c r="R371" s="3">
        <f t="shared" si="361"/>
        <v>1</v>
      </c>
      <c r="S371" s="3">
        <f t="shared" si="361"/>
        <v>1</v>
      </c>
      <c r="T371" s="3">
        <f t="shared" si="361"/>
        <v>1</v>
      </c>
      <c r="U371" s="3">
        <f t="shared" si="361"/>
        <v>1</v>
      </c>
      <c r="V371" s="3">
        <f t="shared" si="361"/>
        <v>1</v>
      </c>
      <c r="W371" s="3">
        <f t="shared" si="361"/>
        <v>1</v>
      </c>
    </row>
    <row r="372" customHeight="1" spans="1:23">
      <c r="A372" s="2">
        <v>359</v>
      </c>
      <c r="B372" s="3">
        <f t="shared" ref="B372:W372" si="362">MIN(1,IF($A372&lt;B$4+B$3,0,IF(B$2=0,1,IF(B$5=0,1/(1+(B$6*EXP(-($A372-B$4)/B$7))),IF(MOD($A372-B$4,B$5)=0,1/(1+(B$6*EXP(-($A372-B$4)/B$7))),1/(1+(B$6*EXP(-(QUOTIENT($A372-B$4,B$5)*B$5)/B$7))))))))</f>
        <v>1</v>
      </c>
      <c r="C372" s="3">
        <f t="shared" si="362"/>
        <v>1</v>
      </c>
      <c r="D372" s="3" t="e">
        <f t="shared" si="362"/>
        <v>#DIV/0!</v>
      </c>
      <c r="E372" s="3" t="e">
        <f t="shared" si="362"/>
        <v>#REF!</v>
      </c>
      <c r="F372" s="3">
        <f t="shared" si="362"/>
        <v>1</v>
      </c>
      <c r="G372" s="3">
        <f t="shared" si="362"/>
        <v>1</v>
      </c>
      <c r="H372" s="3">
        <f t="shared" si="362"/>
        <v>1</v>
      </c>
      <c r="I372" s="3">
        <f t="shared" si="362"/>
        <v>1</v>
      </c>
      <c r="J372" s="3">
        <f t="shared" si="362"/>
        <v>1</v>
      </c>
      <c r="K372" s="3">
        <f t="shared" si="362"/>
        <v>1</v>
      </c>
      <c r="L372" s="3">
        <f t="shared" si="362"/>
        <v>1</v>
      </c>
      <c r="M372" s="3" t="e">
        <f t="shared" si="362"/>
        <v>#REF!</v>
      </c>
      <c r="N372" s="3">
        <f t="shared" si="362"/>
        <v>1</v>
      </c>
      <c r="O372" s="3">
        <f t="shared" si="362"/>
        <v>1</v>
      </c>
      <c r="P372" s="3">
        <f t="shared" si="362"/>
        <v>1</v>
      </c>
      <c r="Q372" s="3">
        <f t="shared" si="362"/>
        <v>1</v>
      </c>
      <c r="R372" s="3">
        <f t="shared" si="362"/>
        <v>1</v>
      </c>
      <c r="S372" s="3">
        <f t="shared" si="362"/>
        <v>1</v>
      </c>
      <c r="T372" s="3">
        <f t="shared" si="362"/>
        <v>1</v>
      </c>
      <c r="U372" s="3">
        <f t="shared" si="362"/>
        <v>1</v>
      </c>
      <c r="V372" s="3">
        <f t="shared" si="362"/>
        <v>1</v>
      </c>
      <c r="W372" s="3">
        <f t="shared" si="362"/>
        <v>1</v>
      </c>
    </row>
    <row r="373" customHeight="1" spans="1:23">
      <c r="A373" s="2">
        <v>360</v>
      </c>
      <c r="B373" s="3">
        <f t="shared" ref="B373:W373" si="363">MIN(1,IF($A373&lt;B$4+B$3,0,IF(B$2=0,1,IF(B$5=0,1/(1+(B$6*EXP(-($A373-B$4)/B$7))),IF(MOD($A373-B$4,B$5)=0,1/(1+(B$6*EXP(-($A373-B$4)/B$7))),1/(1+(B$6*EXP(-(QUOTIENT($A373-B$4,B$5)*B$5)/B$7))))))))</f>
        <v>1</v>
      </c>
      <c r="C373" s="3">
        <f t="shared" si="363"/>
        <v>1</v>
      </c>
      <c r="D373" s="3" t="e">
        <f t="shared" si="363"/>
        <v>#DIV/0!</v>
      </c>
      <c r="E373" s="3" t="e">
        <f t="shared" si="363"/>
        <v>#REF!</v>
      </c>
      <c r="F373" s="3">
        <f t="shared" si="363"/>
        <v>1</v>
      </c>
      <c r="G373" s="3">
        <f t="shared" si="363"/>
        <v>1</v>
      </c>
      <c r="H373" s="3">
        <f t="shared" si="363"/>
        <v>1</v>
      </c>
      <c r="I373" s="3">
        <f t="shared" si="363"/>
        <v>1</v>
      </c>
      <c r="J373" s="3">
        <f t="shared" si="363"/>
        <v>1</v>
      </c>
      <c r="K373" s="3">
        <f t="shared" si="363"/>
        <v>1</v>
      </c>
      <c r="L373" s="3">
        <f t="shared" si="363"/>
        <v>1</v>
      </c>
      <c r="M373" s="3" t="e">
        <f t="shared" si="363"/>
        <v>#REF!</v>
      </c>
      <c r="N373" s="3">
        <f t="shared" si="363"/>
        <v>1</v>
      </c>
      <c r="O373" s="3">
        <f t="shared" si="363"/>
        <v>1</v>
      </c>
      <c r="P373" s="3">
        <f t="shared" si="363"/>
        <v>1</v>
      </c>
      <c r="Q373" s="3">
        <f t="shared" si="363"/>
        <v>1</v>
      </c>
      <c r="R373" s="3">
        <f t="shared" si="363"/>
        <v>1</v>
      </c>
      <c r="S373" s="3">
        <f t="shared" si="363"/>
        <v>1</v>
      </c>
      <c r="T373" s="3">
        <f t="shared" si="363"/>
        <v>1</v>
      </c>
      <c r="U373" s="3">
        <f t="shared" si="363"/>
        <v>1</v>
      </c>
      <c r="V373" s="3">
        <f t="shared" si="363"/>
        <v>1</v>
      </c>
      <c r="W373" s="3">
        <f t="shared" si="363"/>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Supply Charts</vt:lpstr>
      <vt:lpstr>Supply (Allocation &amp; Emissions)</vt:lpstr>
      <vt:lpstr>Airdrop</vt:lpstr>
      <vt:lpstr>Linear Curves</vt:lpstr>
      <vt:lpstr>Sigmoid Curves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2025-11-28T20:07:37Z</dcterms:created>
  <dcterms:modified xsi:type="dcterms:W3CDTF">2025-11-28T20:20:58Z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22DC183832D94D81A02A0F7CFE12BCFB_12</vt:lpwstr>
  </property>
  <property fmtid="{D5CDD505-2E9C-101B-9397-08002B2CF9AE}" pid="3" name="KSOProductBuildVer">
    <vt:lpwstr>1033-12.2.0.21546</vt:lpwstr>
  </property>
</Properties>
</file>